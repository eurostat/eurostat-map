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U:\CommonEXT\RYB2026\Excels\"/>
    </mc:Choice>
  </mc:AlternateContent>
  <xr:revisionPtr revIDLastSave="0" documentId="13_ncr:1_{9962D68A-1969-4B8A-AFEA-FB5BD086CF29}" xr6:coauthVersionLast="47" xr6:coauthVersionMax="47" xr10:uidLastSave="{00000000-0000-0000-0000-000000000000}"/>
  <bookViews>
    <workbookView xWindow="-120" yWindow="-120" windowWidth="29040" windowHeight="15720" xr2:uid="{EAD08B06-E97B-4D68-9D1D-2AA22A6246DB}"/>
  </bookViews>
  <sheets>
    <sheet name="CH10M1" sheetId="42" r:id="rId1"/>
    <sheet name="CH10M2" sheetId="34" r:id="rId2"/>
    <sheet name="CH10M3" sheetId="45" r:id="rId3"/>
    <sheet name="CH10M4" sheetId="51" r:id="rId4"/>
    <sheet name="CH10M5" sheetId="52" r:id="rId5"/>
  </sheets>
  <externalReferences>
    <externalReference r:id="rId6"/>
    <externalReference r:id="rId7"/>
    <externalReference r:id="rId8"/>
  </externalReferences>
  <definedNames>
    <definedName name="_xlnm._FilterDatabase" localSheetId="0" hidden="1">CH10M1!#REF!</definedName>
    <definedName name="_xlcn.WorksheetConnection_T9A2C161" hidden="1">#REF!</definedName>
    <definedName name="ExternalData_1" localSheetId="1" hidden="1">CH10M2!#REF!</definedName>
    <definedName name="ExternalData_1" localSheetId="2" hidden="1">CH10M3!#REF!</definedName>
    <definedName name="ExternalData_1" localSheetId="3" hidden="1">CH10M4!#REF!</definedName>
    <definedName name="ExternalData_1" localSheetId="4" hidden="1">CH10M5!#REF!</definedName>
    <definedName name="ExternalData_2" localSheetId="1" hidden="1">CH10M2!#REF!</definedName>
    <definedName name="ExternalData_2" localSheetId="3" hidden="1">CH10M4!#REF!</definedName>
    <definedName name="ExternalData_2" localSheetId="4" hidden="1">CH10M5!#REF!</definedName>
    <definedName name="ExternalData_3" localSheetId="3" hidden="1">CH10M4!#REF!</definedName>
    <definedName name="ExternalData_3" localSheetId="4" hidden="1">CH10M5!#REF!</definedName>
    <definedName name="Flag">INDIRECT([1]Report!$C$2)</definedName>
    <definedName name="mydate">[2]IgnoreBlanks!$E$36:INDEX([2]IgnoreBlanks!$E$36:$E$56,COUNT([2]IgnoreBlanks!$E$36:$E$56))</definedName>
    <definedName name="mylist">INDEX(([3]!TableProd[Productivity],[3]!TableGame[Games],[3]!TableUtility[Utility]),,,MATCH([3]Table!$F$4,[3]Table!$A$4:$C$4,0))</definedName>
    <definedName name="myvalue">[2]IgnoreBlanks!$F$36:INDEX([2]IgnoreBlanks!$F$36:$F$56,COUNT([2]IgnoreBlanks!$E$36:$E$56))</definedName>
    <definedName name="waffl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2" i="34" l="1"/>
  <c r="X21" i="34"/>
  <c r="X20" i="34"/>
  <c r="X19" i="34"/>
  <c r="F86" i="42" a="1"/>
  <c r="F86" i="42" s="1"/>
  <c r="F85" i="42" a="1"/>
  <c r="F85" i="42" s="1"/>
  <c r="F84" i="42" a="1"/>
  <c r="F84" i="42" s="1"/>
  <c r="F83" i="42" a="1"/>
  <c r="F83" i="42" s="1"/>
  <c r="F82" i="42" a="1"/>
  <c r="F82" i="42" s="1"/>
  <c r="F81" i="42" a="1"/>
  <c r="F81" i="42" s="1"/>
  <c r="F80" i="42" a="1"/>
  <c r="F80" i="42" s="1"/>
  <c r="F79" i="42" a="1"/>
  <c r="F79" i="42" s="1"/>
  <c r="F78" i="42" a="1"/>
  <c r="F78" i="42" s="1"/>
  <c r="F77" i="42" a="1"/>
  <c r="F77" i="42" s="1"/>
  <c r="F76" i="42" a="1"/>
  <c r="F76" i="42" s="1"/>
  <c r="F75" i="42" a="1"/>
  <c r="F75" i="42" s="1"/>
  <c r="F74" i="42" a="1"/>
  <c r="F74" i="42" s="1"/>
  <c r="F73" i="42" a="1"/>
  <c r="F73" i="42" s="1"/>
  <c r="F72" i="42" a="1"/>
  <c r="F72" i="42" s="1"/>
  <c r="F71" i="42" a="1"/>
  <c r="F71" i="42" s="1"/>
  <c r="D273" i="45"/>
  <c r="D272" i="45"/>
  <c r="D271" i="45"/>
  <c r="D270" i="45"/>
  <c r="D269" i="45"/>
  <c r="D268" i="45"/>
  <c r="D267" i="45"/>
  <c r="D265" i="45"/>
  <c r="D263" i="45"/>
  <c r="D261" i="45"/>
  <c r="D260" i="45"/>
  <c r="D259" i="45"/>
  <c r="D258" i="45"/>
  <c r="D257" i="45"/>
  <c r="D256" i="45"/>
  <c r="D255" i="45"/>
  <c r="D254" i="45"/>
  <c r="D253" i="45"/>
  <c r="D252" i="45"/>
  <c r="D251" i="45"/>
  <c r="D250" i="45"/>
  <c r="D249" i="45"/>
  <c r="D248" i="45"/>
  <c r="D247" i="45"/>
  <c r="D246" i="45"/>
  <c r="D245" i="45"/>
  <c r="D244" i="45"/>
  <c r="D243" i="45"/>
  <c r="D242" i="45"/>
  <c r="D241" i="45"/>
  <c r="D240" i="45"/>
  <c r="D239" i="45"/>
  <c r="D238" i="45"/>
  <c r="D237" i="45"/>
  <c r="D236" i="45"/>
  <c r="D235" i="45"/>
  <c r="D234" i="45"/>
  <c r="D233" i="45"/>
  <c r="D232" i="45"/>
  <c r="D231" i="45"/>
  <c r="D230" i="45"/>
  <c r="D229" i="45"/>
  <c r="D228" i="45"/>
  <c r="D227" i="45"/>
  <c r="D226" i="45"/>
  <c r="D225" i="45"/>
  <c r="D224" i="45"/>
  <c r="D223" i="45"/>
  <c r="D222" i="45"/>
  <c r="D221" i="45"/>
  <c r="D220" i="45"/>
  <c r="D219" i="45"/>
  <c r="D218" i="45"/>
  <c r="D217" i="45"/>
  <c r="D216" i="45"/>
  <c r="D215" i="45"/>
  <c r="D214" i="45"/>
  <c r="D213" i="45"/>
  <c r="D212" i="45"/>
  <c r="D211" i="45"/>
  <c r="D210" i="45"/>
  <c r="D209" i="45"/>
  <c r="D208" i="45"/>
  <c r="D207" i="45"/>
  <c r="D206" i="45"/>
  <c r="D205" i="45"/>
  <c r="D204" i="45"/>
  <c r="D203" i="45"/>
  <c r="D202" i="45"/>
  <c r="D201" i="45"/>
  <c r="D200" i="45"/>
  <c r="D199" i="45"/>
  <c r="D198" i="45"/>
  <c r="D197" i="45"/>
  <c r="D196" i="45"/>
  <c r="D195" i="45"/>
  <c r="D194" i="45"/>
  <c r="D193" i="45"/>
  <c r="D192" i="45"/>
  <c r="D191" i="45"/>
  <c r="D190" i="45"/>
  <c r="D189" i="45"/>
  <c r="D188" i="45"/>
  <c r="D187" i="45"/>
  <c r="D186" i="45"/>
  <c r="D185" i="45"/>
  <c r="D184" i="45"/>
  <c r="D183" i="45"/>
  <c r="D182" i="45"/>
  <c r="D181" i="45"/>
  <c r="D180" i="45"/>
  <c r="D179" i="45"/>
  <c r="D178" i="45"/>
  <c r="D177" i="45"/>
  <c r="D176" i="45"/>
  <c r="D175" i="45"/>
  <c r="D174" i="45"/>
  <c r="D173" i="45"/>
  <c r="D172" i="45"/>
  <c r="D171" i="45"/>
  <c r="D170" i="45"/>
  <c r="D169" i="45"/>
  <c r="D168" i="45"/>
  <c r="D167" i="45"/>
  <c r="D166" i="45"/>
  <c r="D165" i="45"/>
  <c r="D164" i="45"/>
  <c r="D163" i="45"/>
  <c r="D162" i="45"/>
  <c r="D161" i="45"/>
  <c r="D160" i="45"/>
  <c r="D159" i="45"/>
  <c r="D158" i="45"/>
  <c r="D157" i="45"/>
  <c r="D156" i="45"/>
  <c r="D155" i="45"/>
  <c r="D154" i="45"/>
  <c r="D153" i="45"/>
  <c r="D152" i="45"/>
  <c r="D151" i="45"/>
  <c r="D150" i="45"/>
  <c r="D149" i="45"/>
  <c r="D148" i="45"/>
  <c r="D147" i="45"/>
  <c r="D146" i="45"/>
  <c r="D145" i="45"/>
  <c r="D144" i="45"/>
  <c r="D143" i="45"/>
  <c r="D142" i="45"/>
  <c r="D141" i="45"/>
  <c r="D140" i="45"/>
  <c r="D139" i="45"/>
  <c r="D138" i="45"/>
  <c r="D137" i="45"/>
  <c r="D136" i="45"/>
  <c r="D135" i="45"/>
  <c r="D134" i="45"/>
  <c r="D133" i="45"/>
  <c r="D132" i="45"/>
  <c r="D131" i="45"/>
  <c r="D130" i="45"/>
  <c r="D129" i="45"/>
  <c r="D128" i="45"/>
  <c r="D127" i="45"/>
  <c r="D126" i="45"/>
  <c r="D125" i="45"/>
  <c r="D124" i="45"/>
  <c r="D123" i="45"/>
  <c r="D122" i="45"/>
  <c r="D121" i="45"/>
  <c r="D120" i="45"/>
  <c r="D119" i="45"/>
  <c r="D118" i="45"/>
  <c r="D117" i="45"/>
  <c r="D116" i="45"/>
  <c r="D115" i="45"/>
  <c r="D114" i="45"/>
  <c r="D113" i="45"/>
  <c r="D112" i="45"/>
  <c r="D111" i="45"/>
  <c r="D110" i="45"/>
  <c r="D109" i="45"/>
  <c r="D108" i="45"/>
  <c r="D107" i="45"/>
  <c r="D106" i="45"/>
  <c r="D105" i="45"/>
  <c r="D104" i="45"/>
  <c r="D103" i="45"/>
  <c r="D102" i="45"/>
  <c r="D101" i="45"/>
  <c r="D100" i="45"/>
  <c r="D99" i="45"/>
  <c r="D98" i="45"/>
  <c r="D97" i="45"/>
  <c r="D96" i="45"/>
  <c r="D95" i="45"/>
  <c r="D94" i="45"/>
  <c r="D93" i="45"/>
  <c r="D92" i="45"/>
  <c r="D91" i="45"/>
  <c r="D90" i="45"/>
  <c r="D89" i="45"/>
  <c r="D88" i="45"/>
  <c r="D87" i="45"/>
  <c r="D86" i="45"/>
  <c r="D85" i="45"/>
  <c r="D84" i="45"/>
  <c r="D83" i="45"/>
  <c r="D82" i="45"/>
  <c r="D81" i="45"/>
  <c r="D80" i="45"/>
  <c r="D79" i="45"/>
  <c r="D78" i="45"/>
  <c r="D77" i="45"/>
  <c r="D76" i="45"/>
  <c r="D75" i="45"/>
  <c r="D74" i="45"/>
  <c r="D73" i="45"/>
  <c r="D72" i="45"/>
  <c r="D71" i="45"/>
  <c r="D70" i="45"/>
  <c r="D69" i="45"/>
  <c r="D68" i="45"/>
  <c r="D67" i="45"/>
  <c r="D66" i="45"/>
  <c r="D65" i="45"/>
  <c r="D64" i="45"/>
  <c r="D63" i="45"/>
  <c r="D62" i="45"/>
  <c r="D61" i="45"/>
  <c r="D60" i="45"/>
  <c r="D59" i="45"/>
  <c r="D58" i="45"/>
  <c r="D57" i="45"/>
  <c r="D56" i="45"/>
  <c r="D55" i="45"/>
  <c r="D54" i="45"/>
  <c r="D53" i="45"/>
  <c r="D52" i="45"/>
  <c r="D51" i="45"/>
  <c r="D50" i="45"/>
  <c r="D49" i="45"/>
  <c r="D48" i="45"/>
  <c r="D47" i="45"/>
  <c r="D46" i="45"/>
  <c r="D45" i="45"/>
  <c r="D44" i="45"/>
  <c r="D43" i="45"/>
  <c r="D42" i="45"/>
  <c r="D41" i="45"/>
  <c r="D40" i="45"/>
  <c r="D39" i="45"/>
  <c r="D38" i="45"/>
  <c r="D37" i="45"/>
  <c r="D36" i="45"/>
  <c r="D35" i="45"/>
  <c r="D34" i="45"/>
  <c r="D33" i="45"/>
  <c r="D32" i="45"/>
  <c r="D31" i="45"/>
  <c r="D30" i="45"/>
  <c r="D29" i="45"/>
  <c r="D28" i="45"/>
  <c r="D27" i="45"/>
  <c r="D26" i="45"/>
  <c r="D25" i="45"/>
  <c r="D24" i="45"/>
  <c r="D23" i="45"/>
  <c r="D22" i="45"/>
  <c r="D21" i="45"/>
  <c r="D20" i="45"/>
  <c r="D19" i="45"/>
  <c r="D18" i="45"/>
  <c r="D17" i="45"/>
  <c r="D16" i="45"/>
  <c r="D15" i="45"/>
  <c r="D14" i="45"/>
  <c r="D13" i="45"/>
  <c r="D12" i="45"/>
  <c r="D11" i="45"/>
  <c r="D10" i="45"/>
  <c r="D9" i="45"/>
  <c r="D8" i="45"/>
  <c r="D7" i="45"/>
  <c r="D6" i="45"/>
  <c r="D5" i="45"/>
  <c r="D4" i="45"/>
  <c r="D3" i="45"/>
  <c r="D2" i="45"/>
  <c r="F1255" i="42" a="1"/>
  <c r="F1255" i="42" s="1"/>
  <c r="F1254" i="42" a="1"/>
  <c r="F1254" i="42" s="1"/>
  <c r="F1253" i="42" a="1"/>
  <c r="F1253" i="42" s="1"/>
  <c r="F1252" i="42" a="1"/>
  <c r="F1252" i="42" s="1"/>
  <c r="F1251" i="42" a="1"/>
  <c r="F1251" i="42" s="1"/>
  <c r="F1250" i="42" a="1"/>
  <c r="F1250" i="42" s="1"/>
  <c r="F1249" i="42" a="1"/>
  <c r="F1249" i="42" s="1"/>
  <c r="F1248" i="42" a="1"/>
  <c r="F1248" i="42" s="1"/>
  <c r="F1247" i="42" a="1"/>
  <c r="F1247" i="42" s="1"/>
  <c r="F1246" i="42" a="1"/>
  <c r="F1246" i="42" s="1"/>
  <c r="F1245" i="42" a="1"/>
  <c r="F1245" i="42" s="1"/>
  <c r="F1244" i="42" a="1"/>
  <c r="F1244" i="42" s="1"/>
  <c r="F1243" i="42" a="1"/>
  <c r="F1243" i="42" s="1"/>
  <c r="F1242" i="42" a="1"/>
  <c r="F1242" i="42" s="1"/>
  <c r="F1241" i="42" a="1"/>
  <c r="F1241" i="42" s="1"/>
  <c r="F1240" i="42" a="1"/>
  <c r="F1240" i="42" s="1"/>
  <c r="F1239" i="42" a="1"/>
  <c r="F1239" i="42" s="1"/>
  <c r="F1238" i="42" a="1"/>
  <c r="F1238" i="42" s="1"/>
  <c r="F1237" i="42" a="1"/>
  <c r="F1237" i="42" s="1"/>
  <c r="F1236" i="42" a="1"/>
  <c r="F1236" i="42" s="1"/>
  <c r="F1235" i="42" a="1"/>
  <c r="F1235" i="42" s="1"/>
  <c r="F1234" i="42" a="1"/>
  <c r="F1234" i="42" s="1"/>
  <c r="F1233" i="42" a="1"/>
  <c r="F1233" i="42" s="1"/>
  <c r="F1232" i="42" a="1"/>
  <c r="F1232" i="42" s="1"/>
  <c r="F1231" i="42" a="1"/>
  <c r="F1231" i="42" s="1"/>
  <c r="F1230" i="42" a="1"/>
  <c r="F1230" i="42" s="1"/>
  <c r="F1229" i="42" a="1"/>
  <c r="F1229" i="42" s="1"/>
  <c r="F1228" i="42" a="1"/>
  <c r="F1228" i="42" s="1"/>
  <c r="F1227" i="42" a="1"/>
  <c r="F1227" i="42" s="1"/>
  <c r="F1226" i="42" a="1"/>
  <c r="F1226" i="42" s="1"/>
  <c r="F1225" i="42" a="1"/>
  <c r="F1225" i="42" s="1"/>
  <c r="F1224" i="42" a="1"/>
  <c r="F1224" i="42" s="1"/>
  <c r="F1223" i="42" a="1"/>
  <c r="F1223" i="42" s="1"/>
  <c r="F1222" i="42" a="1"/>
  <c r="F1222" i="42" s="1"/>
  <c r="F1221" i="42" a="1"/>
  <c r="F1221" i="42" s="1"/>
  <c r="F1220" i="42" a="1"/>
  <c r="F1220" i="42" s="1"/>
  <c r="F1219" i="42" a="1"/>
  <c r="F1219" i="42" s="1"/>
  <c r="F1218" i="42" a="1"/>
  <c r="F1218" i="42" s="1"/>
  <c r="F1217" i="42" a="1"/>
  <c r="F1217" i="42" s="1"/>
  <c r="F1216" i="42" a="1"/>
  <c r="F1216" i="42" s="1"/>
  <c r="F1215" i="42" a="1"/>
  <c r="F1215" i="42" s="1"/>
  <c r="F1214" i="42" a="1"/>
  <c r="F1214" i="42" s="1"/>
  <c r="F1213" i="42" a="1"/>
  <c r="F1213" i="42" s="1"/>
  <c r="F1212" i="42" a="1"/>
  <c r="F1212" i="42" s="1"/>
  <c r="F1211" i="42" a="1"/>
  <c r="F1211" i="42" s="1"/>
  <c r="F1210" i="42" a="1"/>
  <c r="F1210" i="42" s="1"/>
  <c r="F1209" i="42" a="1"/>
  <c r="F1209" i="42" s="1"/>
  <c r="F1208" i="42" a="1"/>
  <c r="F1208" i="42" s="1"/>
  <c r="F1207" i="42" a="1"/>
  <c r="F1207" i="42" s="1"/>
  <c r="F2" i="42" a="1"/>
  <c r="F2" i="42" s="1"/>
  <c r="F1206" i="42" a="1"/>
  <c r="F1206" i="42" s="1"/>
  <c r="F1205" i="42" a="1"/>
  <c r="F1205" i="42" s="1"/>
  <c r="F1204" i="42" a="1"/>
  <c r="F1204" i="42" s="1"/>
  <c r="F1203" i="42" a="1"/>
  <c r="F1203" i="42" s="1"/>
  <c r="F1202" i="42" a="1"/>
  <c r="F1202" i="42" s="1"/>
  <c r="F1201" i="42" a="1"/>
  <c r="F1201" i="42" s="1"/>
  <c r="F1200" i="42" a="1"/>
  <c r="F1200" i="42" s="1"/>
  <c r="F1199" i="42" a="1"/>
  <c r="F1199" i="42" s="1"/>
  <c r="F1198" i="42" a="1"/>
  <c r="F1198" i="42" s="1"/>
  <c r="F1197" i="42" a="1"/>
  <c r="F1197" i="42" s="1"/>
  <c r="F1196" i="42" a="1"/>
  <c r="F1196" i="42" s="1"/>
  <c r="F1195" i="42" a="1"/>
  <c r="F1195" i="42" s="1"/>
  <c r="F1194" i="42" a="1"/>
  <c r="F1194" i="42" s="1"/>
  <c r="F1193" i="42" a="1"/>
  <c r="F1193" i="42" s="1"/>
  <c r="F1192" i="42" a="1"/>
  <c r="F1192" i="42" s="1"/>
  <c r="F1183" i="42" a="1"/>
  <c r="F1183" i="42" s="1"/>
  <c r="F1191" i="42" a="1"/>
  <c r="F1191" i="42" s="1"/>
  <c r="F1190" i="42" a="1"/>
  <c r="F1190" i="42" s="1"/>
  <c r="F1189" i="42" a="1"/>
  <c r="F1189" i="42" s="1"/>
  <c r="F1188" i="42" a="1"/>
  <c r="F1188" i="42" s="1"/>
  <c r="F1187" i="42" a="1"/>
  <c r="F1187" i="42" s="1"/>
  <c r="F1186" i="42" a="1"/>
  <c r="F1186" i="42" s="1"/>
  <c r="F1185" i="42" a="1"/>
  <c r="F1185" i="42" s="1"/>
  <c r="F1184" i="42" a="1"/>
  <c r="F1184" i="42" s="1"/>
  <c r="F1182" i="42" a="1"/>
  <c r="F1182" i="42" s="1"/>
  <c r="F1181" i="42" a="1"/>
  <c r="F1181" i="42" s="1"/>
  <c r="F1180" i="42" a="1"/>
  <c r="F1180" i="42" s="1"/>
  <c r="F1179" i="42" a="1"/>
  <c r="F1179" i="42" s="1"/>
  <c r="F1178" i="42" a="1"/>
  <c r="F1178" i="42" s="1"/>
  <c r="F1177" i="42" a="1"/>
  <c r="F1177" i="42" s="1"/>
  <c r="F1176" i="42" a="1"/>
  <c r="F1176" i="42" s="1"/>
  <c r="F1175" i="42" a="1"/>
  <c r="F1175" i="42" s="1"/>
  <c r="F1174" i="42" a="1"/>
  <c r="F1174" i="42" s="1"/>
  <c r="F1173" i="42" a="1"/>
  <c r="F1173" i="42" s="1"/>
  <c r="F1172" i="42" a="1"/>
  <c r="F1172" i="42" s="1"/>
  <c r="F1171" i="42" a="1"/>
  <c r="F1171" i="42" s="1"/>
  <c r="F1170" i="42" a="1"/>
  <c r="F1170" i="42" s="1"/>
  <c r="F1169" i="42" a="1"/>
  <c r="F1169" i="42" s="1"/>
  <c r="F1168" i="42" a="1"/>
  <c r="F1168" i="42" s="1"/>
  <c r="F1167" i="42" a="1"/>
  <c r="F1167" i="42" s="1"/>
  <c r="F1166" i="42" a="1"/>
  <c r="F1166" i="42" s="1"/>
  <c r="F1165" i="42" a="1"/>
  <c r="F1165" i="42" s="1"/>
  <c r="F1164" i="42" a="1"/>
  <c r="F1164" i="42" s="1"/>
  <c r="F1163" i="42" a="1"/>
  <c r="F1163" i="42" s="1"/>
  <c r="F1162" i="42" a="1"/>
  <c r="F1162" i="42" s="1"/>
  <c r="F1161" i="42" a="1"/>
  <c r="F1161" i="42" s="1"/>
  <c r="F1160" i="42" a="1"/>
  <c r="F1160" i="42" s="1"/>
  <c r="F1159" i="42" a="1"/>
  <c r="F1159" i="42" s="1"/>
  <c r="F1158" i="42" a="1"/>
  <c r="F1158" i="42" s="1"/>
  <c r="F1157" i="42" a="1"/>
  <c r="F1157" i="42" s="1"/>
  <c r="F1156" i="42" a="1"/>
  <c r="F1156" i="42" s="1"/>
  <c r="F1155" i="42" a="1"/>
  <c r="F1155" i="42" s="1"/>
  <c r="F1154" i="42" a="1"/>
  <c r="F1154" i="42" s="1"/>
  <c r="F1153" i="42" a="1"/>
  <c r="F1153" i="42" s="1"/>
  <c r="F1152" i="42" a="1"/>
  <c r="F1152" i="42" s="1"/>
  <c r="F1151" i="42" a="1"/>
  <c r="F1151" i="42" s="1"/>
  <c r="F1150" i="42" a="1"/>
  <c r="F1150" i="42" s="1"/>
  <c r="F1149" i="42" a="1"/>
  <c r="F1149" i="42" s="1"/>
  <c r="F1148" i="42" a="1"/>
  <c r="F1148" i="42" s="1"/>
  <c r="F1147" i="42" a="1"/>
  <c r="F1147" i="42" s="1"/>
  <c r="F1146" i="42" a="1"/>
  <c r="F1146" i="42" s="1"/>
  <c r="F1145" i="42" a="1"/>
  <c r="F1145" i="42" s="1"/>
  <c r="F1144" i="42" a="1"/>
  <c r="F1144" i="42" s="1"/>
  <c r="F1143" i="42" a="1"/>
  <c r="F1143" i="42" s="1"/>
  <c r="F1142" i="42" a="1"/>
  <c r="F1142" i="42" s="1"/>
  <c r="F1141" i="42" a="1"/>
  <c r="F1141" i="42" s="1"/>
  <c r="F1140" i="42" a="1"/>
  <c r="F1140" i="42" s="1"/>
  <c r="F1139" i="42" a="1"/>
  <c r="F1139" i="42" s="1"/>
  <c r="F1138" i="42" a="1"/>
  <c r="F1138" i="42" s="1"/>
  <c r="F1137" i="42" a="1"/>
  <c r="F1137" i="42" s="1"/>
  <c r="F1136" i="42" a="1"/>
  <c r="F1136" i="42" s="1"/>
  <c r="F1135" i="42" a="1"/>
  <c r="F1135" i="42" s="1"/>
  <c r="F1134" i="42" a="1"/>
  <c r="F1134" i="42" s="1"/>
  <c r="F1133" i="42" a="1"/>
  <c r="F1133" i="42" s="1"/>
  <c r="F1132" i="42" a="1"/>
  <c r="F1132" i="42" s="1"/>
  <c r="F1131" i="42" a="1"/>
  <c r="F1131" i="42" s="1"/>
  <c r="F1130" i="42" a="1"/>
  <c r="F1130" i="42" s="1"/>
  <c r="F1129" i="42" a="1"/>
  <c r="F1129" i="42" s="1"/>
  <c r="F1128" i="42" a="1"/>
  <c r="F1128" i="42" s="1"/>
  <c r="F1127" i="42" a="1"/>
  <c r="F1127" i="42" s="1"/>
  <c r="F1126" i="42" a="1"/>
  <c r="F1126" i="42" s="1"/>
  <c r="F1125" i="42" a="1"/>
  <c r="F1125" i="42" s="1"/>
  <c r="F1124" i="42" a="1"/>
  <c r="F1124" i="42" s="1"/>
  <c r="F1123" i="42" a="1"/>
  <c r="F1123" i="42" s="1"/>
  <c r="F1122" i="42" a="1"/>
  <c r="F1122" i="42" s="1"/>
  <c r="F1121" i="42" a="1"/>
  <c r="F1121" i="42" s="1"/>
  <c r="F1120" i="42" a="1"/>
  <c r="F1120" i="42" s="1"/>
  <c r="F1119" i="42" a="1"/>
  <c r="F1119" i="42" s="1"/>
  <c r="F1118" i="42" a="1"/>
  <c r="F1118" i="42" s="1"/>
  <c r="F1117" i="42" a="1"/>
  <c r="F1117" i="42" s="1"/>
  <c r="F1116" i="42" a="1"/>
  <c r="F1116" i="42" s="1"/>
  <c r="F1115" i="42" a="1"/>
  <c r="F1115" i="42" s="1"/>
  <c r="F1114" i="42" a="1"/>
  <c r="F1114" i="42" s="1"/>
  <c r="F1113" i="42" a="1"/>
  <c r="F1113" i="42" s="1"/>
  <c r="F1112" i="42" a="1"/>
  <c r="F1112" i="42" s="1"/>
  <c r="F1111" i="42" a="1"/>
  <c r="F1111" i="42" s="1"/>
  <c r="F1110" i="42" a="1"/>
  <c r="F1110" i="42" s="1"/>
  <c r="F1109" i="42" a="1"/>
  <c r="F1109" i="42" s="1"/>
  <c r="F1108" i="42" a="1"/>
  <c r="F1108" i="42" s="1"/>
  <c r="F1107" i="42" a="1"/>
  <c r="F1107" i="42" s="1"/>
  <c r="F1106" i="42" a="1"/>
  <c r="F1106" i="42" s="1"/>
  <c r="F1105" i="42" a="1"/>
  <c r="F1105" i="42" s="1"/>
  <c r="F1104" i="42" a="1"/>
  <c r="F1104" i="42" s="1"/>
  <c r="F1103" i="42" a="1"/>
  <c r="F1103" i="42" s="1"/>
  <c r="F1102" i="42" a="1"/>
  <c r="F1102" i="42" s="1"/>
  <c r="F1101" i="42" a="1"/>
  <c r="F1101" i="42" s="1"/>
  <c r="F1100" i="42" a="1"/>
  <c r="F1100" i="42" s="1"/>
  <c r="F1099" i="42" a="1"/>
  <c r="F1099" i="42" s="1"/>
  <c r="F1098" i="42" a="1"/>
  <c r="F1098" i="42" s="1"/>
  <c r="F1097" i="42" a="1"/>
  <c r="F1097" i="42" s="1"/>
  <c r="F1096" i="42" a="1"/>
  <c r="F1096" i="42" s="1"/>
  <c r="F1095" i="42" a="1"/>
  <c r="F1095" i="42" s="1"/>
  <c r="F1094" i="42" a="1"/>
  <c r="F1094" i="42" s="1"/>
  <c r="F1093" i="42" a="1"/>
  <c r="F1093" i="42" s="1"/>
  <c r="F1092" i="42" a="1"/>
  <c r="F1092" i="42" s="1"/>
  <c r="F1091" i="42" a="1"/>
  <c r="F1091" i="42" s="1"/>
  <c r="F1090" i="42" a="1"/>
  <c r="F1090" i="42" s="1"/>
  <c r="F1089" i="42" a="1"/>
  <c r="F1089" i="42" s="1"/>
  <c r="F1088" i="42" a="1"/>
  <c r="F1088" i="42" s="1"/>
  <c r="F1087" i="42" a="1"/>
  <c r="F1087" i="42" s="1"/>
  <c r="F1086" i="42" a="1"/>
  <c r="F1086" i="42" s="1"/>
  <c r="F1085" i="42" a="1"/>
  <c r="F1085" i="42" s="1"/>
  <c r="F1084" i="42" a="1"/>
  <c r="F1084" i="42" s="1"/>
  <c r="F1083" i="42" a="1"/>
  <c r="F1083" i="42" s="1"/>
  <c r="F1082" i="42" a="1"/>
  <c r="F1082" i="42" s="1"/>
  <c r="F1081" i="42" a="1"/>
  <c r="F1081" i="42" s="1"/>
  <c r="F1080" i="42" a="1"/>
  <c r="F1080" i="42" s="1"/>
  <c r="F1079" i="42" a="1"/>
  <c r="F1079" i="42" s="1"/>
  <c r="F1078" i="42" a="1"/>
  <c r="F1078" i="42" s="1"/>
  <c r="F1077" i="42" a="1"/>
  <c r="F1077" i="42" s="1"/>
  <c r="F1076" i="42" a="1"/>
  <c r="F1076" i="42" s="1"/>
  <c r="F1075" i="42" a="1"/>
  <c r="F1075" i="42" s="1"/>
  <c r="F1074" i="42" a="1"/>
  <c r="F1074" i="42" s="1"/>
  <c r="F1073" i="42" a="1"/>
  <c r="F1073" i="42" s="1"/>
  <c r="F1072" i="42" a="1"/>
  <c r="F1072" i="42" s="1"/>
  <c r="F1071" i="42" a="1"/>
  <c r="F1071" i="42" s="1"/>
  <c r="F1070" i="42" a="1"/>
  <c r="F1070" i="42" s="1"/>
  <c r="F1069" i="42" a="1"/>
  <c r="F1069" i="42" s="1"/>
  <c r="F1068" i="42" a="1"/>
  <c r="F1068" i="42" s="1"/>
  <c r="F1067" i="42" a="1"/>
  <c r="F1067" i="42" s="1"/>
  <c r="F1066" i="42" a="1"/>
  <c r="F1066" i="42" s="1"/>
  <c r="F1065" i="42" a="1"/>
  <c r="F1065" i="42" s="1"/>
  <c r="F1064" i="42" a="1"/>
  <c r="F1064" i="42" s="1"/>
  <c r="F1063" i="42" a="1"/>
  <c r="F1063" i="42" s="1"/>
  <c r="F1062" i="42" a="1"/>
  <c r="F1062" i="42" s="1"/>
  <c r="F1061" i="42" a="1"/>
  <c r="F1061" i="42" s="1"/>
  <c r="F1060" i="42" a="1"/>
  <c r="F1060" i="42" s="1"/>
  <c r="F1059" i="42" a="1"/>
  <c r="F1059" i="42" s="1"/>
  <c r="F1058" i="42" a="1"/>
  <c r="F1058" i="42" s="1"/>
  <c r="F1057" i="42" a="1"/>
  <c r="F1057" i="42" s="1"/>
  <c r="F1056" i="42" a="1"/>
  <c r="F1056" i="42" s="1"/>
  <c r="F1055" i="42" a="1"/>
  <c r="F1055" i="42" s="1"/>
  <c r="F1054" i="42" a="1"/>
  <c r="F1054" i="42" s="1"/>
  <c r="F1053" i="42" a="1"/>
  <c r="F1053" i="42" s="1"/>
  <c r="F1052" i="42" a="1"/>
  <c r="F1052" i="42" s="1"/>
  <c r="F1051" i="42" a="1"/>
  <c r="F1051" i="42" s="1"/>
  <c r="F1050" i="42" a="1"/>
  <c r="F1050" i="42" s="1"/>
  <c r="F1049" i="42" a="1"/>
  <c r="F1049" i="42" s="1"/>
  <c r="F1048" i="42" a="1"/>
  <c r="F1048" i="42" s="1"/>
  <c r="F1047" i="42" a="1"/>
  <c r="F1047" i="42" s="1"/>
  <c r="F1046" i="42" a="1"/>
  <c r="F1046" i="42" s="1"/>
  <c r="F1045" i="42" a="1"/>
  <c r="F1045" i="42" s="1"/>
  <c r="F1044" i="42" a="1"/>
  <c r="F1044" i="42" s="1"/>
  <c r="F1043" i="42" a="1"/>
  <c r="F1043" i="42" s="1"/>
  <c r="F1042" i="42" a="1"/>
  <c r="F1042" i="42" s="1"/>
  <c r="F1041" i="42" a="1"/>
  <c r="F1041" i="42" s="1"/>
  <c r="F1040" i="42" a="1"/>
  <c r="F1040" i="42" s="1"/>
  <c r="F1039" i="42" a="1"/>
  <c r="F1039" i="42" s="1"/>
  <c r="F1038" i="42" a="1"/>
  <c r="F1038" i="42" s="1"/>
  <c r="F1037" i="42" a="1"/>
  <c r="F1037" i="42" s="1"/>
  <c r="F1036" i="42" a="1"/>
  <c r="F1036" i="42" s="1"/>
  <c r="F1035" i="42" a="1"/>
  <c r="F1035" i="42" s="1"/>
  <c r="F1034" i="42" a="1"/>
  <c r="F1034" i="42" s="1"/>
  <c r="F1033" i="42" a="1"/>
  <c r="F1033" i="42" s="1"/>
  <c r="F1032" i="42" a="1"/>
  <c r="F1032" i="42" s="1"/>
  <c r="F1031" i="42" a="1"/>
  <c r="F1031" i="42" s="1"/>
  <c r="F1030" i="42" a="1"/>
  <c r="F1030" i="42" s="1"/>
  <c r="F1029" i="42" a="1"/>
  <c r="F1029" i="42" s="1"/>
  <c r="F1028" i="42" a="1"/>
  <c r="F1028" i="42" s="1"/>
  <c r="F1027" i="42" a="1"/>
  <c r="F1027" i="42" s="1"/>
  <c r="F1026" i="42" a="1"/>
  <c r="F1026" i="42" s="1"/>
  <c r="F1025" i="42" a="1"/>
  <c r="F1025" i="42" s="1"/>
  <c r="F1024" i="42" a="1"/>
  <c r="F1024" i="42" s="1"/>
  <c r="F1023" i="42" a="1"/>
  <c r="F1023" i="42" s="1"/>
  <c r="F1022" i="42" a="1"/>
  <c r="F1022" i="42" s="1"/>
  <c r="F1021" i="42" a="1"/>
  <c r="F1021" i="42" s="1"/>
  <c r="F1020" i="42" a="1"/>
  <c r="F1020" i="42" s="1"/>
  <c r="F1019" i="42" a="1"/>
  <c r="F1019" i="42" s="1"/>
  <c r="F1018" i="42" a="1"/>
  <c r="F1018" i="42" s="1"/>
  <c r="F1017" i="42" a="1"/>
  <c r="F1017" i="42" s="1"/>
  <c r="F1016" i="42" a="1"/>
  <c r="F1016" i="42" s="1"/>
  <c r="F1015" i="42" a="1"/>
  <c r="F1015" i="42" s="1"/>
  <c r="F1014" i="42" a="1"/>
  <c r="F1014" i="42" s="1"/>
  <c r="F1013" i="42" a="1"/>
  <c r="F1013" i="42" s="1"/>
  <c r="F1012" i="42" a="1"/>
  <c r="F1012" i="42" s="1"/>
  <c r="F1011" i="42" a="1"/>
  <c r="F1011" i="42" s="1"/>
  <c r="F1010" i="42" a="1"/>
  <c r="F1010" i="42" s="1"/>
  <c r="F1009" i="42" a="1"/>
  <c r="F1009" i="42" s="1"/>
  <c r="F1008" i="42" a="1"/>
  <c r="F1008" i="42" s="1"/>
  <c r="F1007" i="42" a="1"/>
  <c r="F1007" i="42" s="1"/>
  <c r="F1006" i="42" a="1"/>
  <c r="F1006" i="42" s="1"/>
  <c r="F1005" i="42" a="1"/>
  <c r="F1005" i="42" s="1"/>
  <c r="F1004" i="42" a="1"/>
  <c r="F1004" i="42" s="1"/>
  <c r="F1003" i="42" a="1"/>
  <c r="F1003" i="42" s="1"/>
  <c r="F1002" i="42" a="1"/>
  <c r="F1002" i="42" s="1"/>
  <c r="F1001" i="42" a="1"/>
  <c r="F1001" i="42" s="1"/>
  <c r="F1000" i="42" a="1"/>
  <c r="F1000" i="42" s="1"/>
  <c r="F999" i="42" a="1"/>
  <c r="F999" i="42" s="1"/>
  <c r="F998" i="42" a="1"/>
  <c r="F998" i="42" s="1"/>
  <c r="F997" i="42" a="1"/>
  <c r="F997" i="42" s="1"/>
  <c r="F996" i="42" a="1"/>
  <c r="F996" i="42" s="1"/>
  <c r="F995" i="42" a="1"/>
  <c r="F995" i="42" s="1"/>
  <c r="F994" i="42" a="1"/>
  <c r="F994" i="42" s="1"/>
  <c r="F993" i="42" a="1"/>
  <c r="F993" i="42" s="1"/>
  <c r="F992" i="42" a="1"/>
  <c r="F992" i="42" s="1"/>
  <c r="F991" i="42" a="1"/>
  <c r="F991" i="42" s="1"/>
  <c r="F990" i="42" a="1"/>
  <c r="F990" i="42" s="1"/>
  <c r="F989" i="42" a="1"/>
  <c r="F989" i="42" s="1"/>
  <c r="F988" i="42" a="1"/>
  <c r="F988" i="42" s="1"/>
  <c r="F987" i="42" a="1"/>
  <c r="F987" i="42" s="1"/>
  <c r="F986" i="42" a="1"/>
  <c r="F986" i="42" s="1"/>
  <c r="F985" i="42" a="1"/>
  <c r="F985" i="42" s="1"/>
  <c r="F984" i="42" a="1"/>
  <c r="F984" i="42" s="1"/>
  <c r="F983" i="42" a="1"/>
  <c r="F983" i="42" s="1"/>
  <c r="F982" i="42" a="1"/>
  <c r="F982" i="42" s="1"/>
  <c r="F981" i="42" a="1"/>
  <c r="F981" i="42" s="1"/>
  <c r="F980" i="42" a="1"/>
  <c r="F980" i="42" s="1"/>
  <c r="F979" i="42" a="1"/>
  <c r="F979" i="42" s="1"/>
  <c r="F978" i="42" a="1"/>
  <c r="F978" i="42" s="1"/>
  <c r="F977" i="42" a="1"/>
  <c r="F977" i="42" s="1"/>
  <c r="F976" i="42" a="1"/>
  <c r="F976" i="42" s="1"/>
  <c r="F975" i="42" a="1"/>
  <c r="F975" i="42" s="1"/>
  <c r="F974" i="42" a="1"/>
  <c r="F974" i="42" s="1"/>
  <c r="F973" i="42" a="1"/>
  <c r="F973" i="42" s="1"/>
  <c r="F972" i="42" a="1"/>
  <c r="F972" i="42" s="1"/>
  <c r="F971" i="42" a="1"/>
  <c r="F971" i="42" s="1"/>
  <c r="F970" i="42" a="1"/>
  <c r="F970" i="42" s="1"/>
  <c r="F969" i="42" a="1"/>
  <c r="F969" i="42" s="1"/>
  <c r="F968" i="42" a="1"/>
  <c r="F968" i="42" s="1"/>
  <c r="F967" i="42" a="1"/>
  <c r="F967" i="42" s="1"/>
  <c r="F966" i="42" a="1"/>
  <c r="F966" i="42" s="1"/>
  <c r="F965" i="42" a="1"/>
  <c r="F965" i="42" s="1"/>
  <c r="F964" i="42" a="1"/>
  <c r="F964" i="42" s="1"/>
  <c r="F963" i="42" a="1"/>
  <c r="F963" i="42" s="1"/>
  <c r="F962" i="42" a="1"/>
  <c r="F962" i="42" s="1"/>
  <c r="F961" i="42" a="1"/>
  <c r="F961" i="42" s="1"/>
  <c r="F960" i="42" a="1"/>
  <c r="F960" i="42" s="1"/>
  <c r="F959" i="42" a="1"/>
  <c r="F959" i="42" s="1"/>
  <c r="F958" i="42" a="1"/>
  <c r="F958" i="42" s="1"/>
  <c r="F957" i="42" a="1"/>
  <c r="F957" i="42" s="1"/>
  <c r="F956" i="42" a="1"/>
  <c r="F956" i="42" s="1"/>
  <c r="F955" i="42" a="1"/>
  <c r="F955" i="42" s="1"/>
  <c r="F954" i="42" a="1"/>
  <c r="F954" i="42" s="1"/>
  <c r="F953" i="42" a="1"/>
  <c r="F953" i="42" s="1"/>
  <c r="F952" i="42" a="1"/>
  <c r="F952" i="42" s="1"/>
  <c r="F951" i="42" a="1"/>
  <c r="F951" i="42" s="1"/>
  <c r="F950" i="42" a="1"/>
  <c r="F950" i="42" s="1"/>
  <c r="F949" i="42" a="1"/>
  <c r="F949" i="42" s="1"/>
  <c r="F948" i="42" a="1"/>
  <c r="F948" i="42" s="1"/>
  <c r="F947" i="42" a="1"/>
  <c r="F947" i="42" s="1"/>
  <c r="F946" i="42" a="1"/>
  <c r="F946" i="42" s="1"/>
  <c r="F945" i="42" a="1"/>
  <c r="F945" i="42" s="1"/>
  <c r="F944" i="42" a="1"/>
  <c r="F944" i="42" s="1"/>
  <c r="F943" i="42" a="1"/>
  <c r="F943" i="42" s="1"/>
  <c r="F942" i="42" a="1"/>
  <c r="F942" i="42" s="1"/>
  <c r="F941" i="42" a="1"/>
  <c r="F941" i="42" s="1"/>
  <c r="F940" i="42" a="1"/>
  <c r="F940" i="42" s="1"/>
  <c r="F939" i="42" a="1"/>
  <c r="F939" i="42" s="1"/>
  <c r="F938" i="42" a="1"/>
  <c r="F938" i="42" s="1"/>
  <c r="F937" i="42" a="1"/>
  <c r="F937" i="42" s="1"/>
  <c r="F936" i="42" a="1"/>
  <c r="F936" i="42" s="1"/>
  <c r="F935" i="42" a="1"/>
  <c r="F935" i="42" s="1"/>
  <c r="F934" i="42" a="1"/>
  <c r="F934" i="42" s="1"/>
  <c r="F933" i="42" a="1"/>
  <c r="F933" i="42" s="1"/>
  <c r="F932" i="42" a="1"/>
  <c r="F932" i="42" s="1"/>
  <c r="F931" i="42" a="1"/>
  <c r="F931" i="42" s="1"/>
  <c r="F930" i="42" a="1"/>
  <c r="F930" i="42" s="1"/>
  <c r="F929" i="42" a="1"/>
  <c r="F929" i="42" s="1"/>
  <c r="F928" i="42" a="1"/>
  <c r="F928" i="42" s="1"/>
  <c r="F927" i="42" a="1"/>
  <c r="F927" i="42" s="1"/>
  <c r="F926" i="42" a="1"/>
  <c r="F926" i="42" s="1"/>
  <c r="F925" i="42" a="1"/>
  <c r="F925" i="42" s="1"/>
  <c r="F924" i="42" a="1"/>
  <c r="F924" i="42" s="1"/>
  <c r="F923" i="42" a="1"/>
  <c r="F923" i="42" s="1"/>
  <c r="F922" i="42" a="1"/>
  <c r="F922" i="42" s="1"/>
  <c r="F921" i="42" a="1"/>
  <c r="F921" i="42" s="1"/>
  <c r="F920" i="42" a="1"/>
  <c r="F920" i="42" s="1"/>
  <c r="F919" i="42" a="1"/>
  <c r="F919" i="42" s="1"/>
  <c r="F918" i="42" a="1"/>
  <c r="F918" i="42" s="1"/>
  <c r="F917" i="42" a="1"/>
  <c r="F917" i="42" s="1"/>
  <c r="F916" i="42" a="1"/>
  <c r="F916" i="42" s="1"/>
  <c r="F915" i="42" a="1"/>
  <c r="F915" i="42" s="1"/>
  <c r="F914" i="42" a="1"/>
  <c r="F914" i="42" s="1"/>
  <c r="F913" i="42" a="1"/>
  <c r="F913" i="42" s="1"/>
  <c r="F912" i="42" a="1"/>
  <c r="F912" i="42" s="1"/>
  <c r="F911" i="42" a="1"/>
  <c r="F911" i="42" s="1"/>
  <c r="F910" i="42" a="1"/>
  <c r="F910" i="42" s="1"/>
  <c r="F909" i="42" a="1"/>
  <c r="F909" i="42" s="1"/>
  <c r="F908" i="42" a="1"/>
  <c r="F908" i="42" s="1"/>
  <c r="F907" i="42" a="1"/>
  <c r="F907" i="42" s="1"/>
  <c r="F906" i="42" a="1"/>
  <c r="F906" i="42" s="1"/>
  <c r="F905" i="42" a="1"/>
  <c r="F905" i="42" s="1"/>
  <c r="F904" i="42" a="1"/>
  <c r="F904" i="42" s="1"/>
  <c r="F903" i="42" a="1"/>
  <c r="F903" i="42" s="1"/>
  <c r="F902" i="42" a="1"/>
  <c r="F902" i="42" s="1"/>
  <c r="F901" i="42" a="1"/>
  <c r="F901" i="42" s="1"/>
  <c r="F900" i="42" a="1"/>
  <c r="F900" i="42" s="1"/>
  <c r="F899" i="42" a="1"/>
  <c r="F899" i="42" s="1"/>
  <c r="F898" i="42" a="1"/>
  <c r="F898" i="42" s="1"/>
  <c r="F897" i="42" a="1"/>
  <c r="F897" i="42" s="1"/>
  <c r="F896" i="42" a="1"/>
  <c r="F896" i="42" s="1"/>
  <c r="F895" i="42" a="1"/>
  <c r="F895" i="42" s="1"/>
  <c r="F894" i="42" a="1"/>
  <c r="F894" i="42" s="1"/>
  <c r="F893" i="42" a="1"/>
  <c r="F893" i="42" s="1"/>
  <c r="F892" i="42" a="1"/>
  <c r="F892" i="42" s="1"/>
  <c r="F891" i="42" a="1"/>
  <c r="F891" i="42" s="1"/>
  <c r="F890" i="42" a="1"/>
  <c r="F890" i="42" s="1"/>
  <c r="F889" i="42" a="1"/>
  <c r="F889" i="42" s="1"/>
  <c r="F888" i="42" a="1"/>
  <c r="F888" i="42" s="1"/>
  <c r="F887" i="42" a="1"/>
  <c r="F887" i="42" s="1"/>
  <c r="F886" i="42" a="1"/>
  <c r="F886" i="42" s="1"/>
  <c r="F885" i="42" a="1"/>
  <c r="F885" i="42" s="1"/>
  <c r="F884" i="42" a="1"/>
  <c r="F884" i="42" s="1"/>
  <c r="F883" i="42" a="1"/>
  <c r="F883" i="42" s="1"/>
  <c r="F882" i="42" a="1"/>
  <c r="F882" i="42" s="1"/>
  <c r="F881" i="42" a="1"/>
  <c r="F881" i="42" s="1"/>
  <c r="F880" i="42" a="1"/>
  <c r="F880" i="42" s="1"/>
  <c r="F879" i="42" a="1"/>
  <c r="F879" i="42" s="1"/>
  <c r="F878" i="42" a="1"/>
  <c r="F878" i="42" s="1"/>
  <c r="F877" i="42" a="1"/>
  <c r="F877" i="42" s="1"/>
  <c r="F876" i="42" a="1"/>
  <c r="F876" i="42" s="1"/>
  <c r="F875" i="42" a="1"/>
  <c r="F875" i="42" s="1"/>
  <c r="F874" i="42" a="1"/>
  <c r="F874" i="42" s="1"/>
  <c r="F873" i="42" a="1"/>
  <c r="F873" i="42" s="1"/>
  <c r="F872" i="42" a="1"/>
  <c r="F872" i="42" s="1"/>
  <c r="F871" i="42" a="1"/>
  <c r="F871" i="42" s="1"/>
  <c r="F870" i="42" a="1"/>
  <c r="F870" i="42" s="1"/>
  <c r="F869" i="42" a="1"/>
  <c r="F869" i="42" s="1"/>
  <c r="F868" i="42" a="1"/>
  <c r="F868" i="42" s="1"/>
  <c r="F867" i="42" a="1"/>
  <c r="F867" i="42" s="1"/>
  <c r="F866" i="42" a="1"/>
  <c r="F866" i="42" s="1"/>
  <c r="F865" i="42" a="1"/>
  <c r="F865" i="42" s="1"/>
  <c r="F864" i="42" a="1"/>
  <c r="F864" i="42" s="1"/>
  <c r="F863" i="42" a="1"/>
  <c r="F863" i="42" s="1"/>
  <c r="F862" i="42" a="1"/>
  <c r="F862" i="42" s="1"/>
  <c r="F861" i="42" a="1"/>
  <c r="F861" i="42" s="1"/>
  <c r="F860" i="42" a="1"/>
  <c r="F860" i="42" s="1"/>
  <c r="F859" i="42" a="1"/>
  <c r="F859" i="42" s="1"/>
  <c r="F858" i="42" a="1"/>
  <c r="F858" i="42" s="1"/>
  <c r="F857" i="42" a="1"/>
  <c r="F857" i="42" s="1"/>
  <c r="F856" i="42" a="1"/>
  <c r="F856" i="42" s="1"/>
  <c r="F855" i="42" a="1"/>
  <c r="F855" i="42" s="1"/>
  <c r="F854" i="42" a="1"/>
  <c r="F854" i="42" s="1"/>
  <c r="F853" i="42" a="1"/>
  <c r="F853" i="42" s="1"/>
  <c r="F852" i="42" a="1"/>
  <c r="F852" i="42" s="1"/>
  <c r="F851" i="42" a="1"/>
  <c r="F851" i="42" s="1"/>
  <c r="F850" i="42" a="1"/>
  <c r="F850" i="42" s="1"/>
  <c r="F849" i="42" a="1"/>
  <c r="F849" i="42" s="1"/>
  <c r="F848" i="42" a="1"/>
  <c r="F848" i="42" s="1"/>
  <c r="F847" i="42" a="1"/>
  <c r="F847" i="42" s="1"/>
  <c r="F846" i="42" a="1"/>
  <c r="F846" i="42" s="1"/>
  <c r="F845" i="42" a="1"/>
  <c r="F845" i="42" s="1"/>
  <c r="F844" i="42" a="1"/>
  <c r="F844" i="42" s="1"/>
  <c r="F843" i="42" a="1"/>
  <c r="F843" i="42" s="1"/>
  <c r="F842" i="42" a="1"/>
  <c r="F842" i="42" s="1"/>
  <c r="F841" i="42" a="1"/>
  <c r="F841" i="42" s="1"/>
  <c r="F840" i="42" a="1"/>
  <c r="F840" i="42" s="1"/>
  <c r="F839" i="42" a="1"/>
  <c r="F839" i="42" s="1"/>
  <c r="F838" i="42" a="1"/>
  <c r="F838" i="42" s="1"/>
  <c r="F837" i="42" a="1"/>
  <c r="F837" i="42" s="1"/>
  <c r="F836" i="42" a="1"/>
  <c r="F836" i="42" s="1"/>
  <c r="F835" i="42" a="1"/>
  <c r="F835" i="42" s="1"/>
  <c r="F834" i="42" a="1"/>
  <c r="F834" i="42" s="1"/>
  <c r="F833" i="42" a="1"/>
  <c r="F833" i="42" s="1"/>
  <c r="F832" i="42" a="1"/>
  <c r="F832" i="42" s="1"/>
  <c r="F831" i="42" a="1"/>
  <c r="F831" i="42" s="1"/>
  <c r="F830" i="42" a="1"/>
  <c r="F830" i="42" s="1"/>
  <c r="F829" i="42" a="1"/>
  <c r="F829" i="42" s="1"/>
  <c r="F828" i="42" a="1"/>
  <c r="F828" i="42" s="1"/>
  <c r="F827" i="42" a="1"/>
  <c r="F827" i="42" s="1"/>
  <c r="F826" i="42" a="1"/>
  <c r="F826" i="42" s="1"/>
  <c r="F825" i="42" a="1"/>
  <c r="F825" i="42" s="1"/>
  <c r="F824" i="42" a="1"/>
  <c r="F824" i="42" s="1"/>
  <c r="F823" i="42" a="1"/>
  <c r="F823" i="42" s="1"/>
  <c r="F822" i="42" a="1"/>
  <c r="F822" i="42" s="1"/>
  <c r="F821" i="42" a="1"/>
  <c r="F821" i="42" s="1"/>
  <c r="F820" i="42" a="1"/>
  <c r="F820" i="42" s="1"/>
  <c r="F819" i="42" a="1"/>
  <c r="F819" i="42" s="1"/>
  <c r="F818" i="42" a="1"/>
  <c r="F818" i="42" s="1"/>
  <c r="F817" i="42" a="1"/>
  <c r="F817" i="42" s="1"/>
  <c r="F816" i="42" a="1"/>
  <c r="F816" i="42" s="1"/>
  <c r="F815" i="42" a="1"/>
  <c r="F815" i="42" s="1"/>
  <c r="F814" i="42" a="1"/>
  <c r="F814" i="42" s="1"/>
  <c r="F813" i="42" a="1"/>
  <c r="F813" i="42" s="1"/>
  <c r="F812" i="42" a="1"/>
  <c r="F812" i="42" s="1"/>
  <c r="F811" i="42" a="1"/>
  <c r="F811" i="42" s="1"/>
  <c r="F810" i="42" a="1"/>
  <c r="F810" i="42" s="1"/>
  <c r="F809" i="42" a="1"/>
  <c r="F809" i="42" s="1"/>
  <c r="F808" i="42" a="1"/>
  <c r="F808" i="42" s="1"/>
  <c r="F807" i="42" a="1"/>
  <c r="F807" i="42" s="1"/>
  <c r="F806" i="42" a="1"/>
  <c r="F806" i="42" s="1"/>
  <c r="F805" i="42" a="1"/>
  <c r="F805" i="42" s="1"/>
  <c r="F804" i="42" a="1"/>
  <c r="F804" i="42" s="1"/>
  <c r="F803" i="42" a="1"/>
  <c r="F803" i="42" s="1"/>
  <c r="F802" i="42" a="1"/>
  <c r="F802" i="42" s="1"/>
  <c r="F801" i="42" a="1"/>
  <c r="F801" i="42" s="1"/>
  <c r="F800" i="42" a="1"/>
  <c r="F800" i="42" s="1"/>
  <c r="F799" i="42" a="1"/>
  <c r="F799" i="42" s="1"/>
  <c r="F798" i="42" a="1"/>
  <c r="F798" i="42" s="1"/>
  <c r="F797" i="42" a="1"/>
  <c r="F797" i="42" s="1"/>
  <c r="F796" i="42" a="1"/>
  <c r="F796" i="42" s="1"/>
  <c r="F795" i="42" a="1"/>
  <c r="F795" i="42" s="1"/>
  <c r="F794" i="42" a="1"/>
  <c r="F794" i="42" s="1"/>
  <c r="F793" i="42" a="1"/>
  <c r="F793" i="42" s="1"/>
  <c r="F792" i="42" a="1"/>
  <c r="F792" i="42" s="1"/>
  <c r="F791" i="42" a="1"/>
  <c r="F791" i="42" s="1"/>
  <c r="F790" i="42" a="1"/>
  <c r="F790" i="42" s="1"/>
  <c r="F789" i="42" a="1"/>
  <c r="F789" i="42" s="1"/>
  <c r="F788" i="42" a="1"/>
  <c r="F788" i="42" s="1"/>
  <c r="F787" i="42" a="1"/>
  <c r="F787" i="42" s="1"/>
  <c r="F786" i="42" a="1"/>
  <c r="F786" i="42" s="1"/>
  <c r="F785" i="42" a="1"/>
  <c r="F785" i="42" s="1"/>
  <c r="F784" i="42" a="1"/>
  <c r="F784" i="42" s="1"/>
  <c r="F783" i="42" a="1"/>
  <c r="F783" i="42" s="1"/>
  <c r="F782" i="42" a="1"/>
  <c r="F782" i="42" s="1"/>
  <c r="F781" i="42" a="1"/>
  <c r="F781" i="42" s="1"/>
  <c r="F780" i="42" a="1"/>
  <c r="F780" i="42" s="1"/>
  <c r="F779" i="42" a="1"/>
  <c r="F779" i="42" s="1"/>
  <c r="F778" i="42" a="1"/>
  <c r="F778" i="42" s="1"/>
  <c r="F777" i="42" a="1"/>
  <c r="F777" i="42" s="1"/>
  <c r="F776" i="42" a="1"/>
  <c r="F776" i="42" s="1"/>
  <c r="F775" i="42" a="1"/>
  <c r="F775" i="42" s="1"/>
  <c r="F774" i="42" a="1"/>
  <c r="F774" i="42" s="1"/>
  <c r="F773" i="42" a="1"/>
  <c r="F773" i="42" s="1"/>
  <c r="F772" i="42" a="1"/>
  <c r="F772" i="42" s="1"/>
  <c r="F771" i="42" a="1"/>
  <c r="F771" i="42" s="1"/>
  <c r="F770" i="42" a="1"/>
  <c r="F770" i="42" s="1"/>
  <c r="F769" i="42" a="1"/>
  <c r="F769" i="42" s="1"/>
  <c r="F768" i="42" a="1"/>
  <c r="F768" i="42" s="1"/>
  <c r="F767" i="42" a="1"/>
  <c r="F767" i="42" s="1"/>
  <c r="F766" i="42" a="1"/>
  <c r="F766" i="42" s="1"/>
  <c r="F765" i="42" a="1"/>
  <c r="F765" i="42" s="1"/>
  <c r="F764" i="42" a="1"/>
  <c r="F764" i="42" s="1"/>
  <c r="F763" i="42" a="1"/>
  <c r="F763" i="42" s="1"/>
  <c r="F762" i="42" a="1"/>
  <c r="F762" i="42" s="1"/>
  <c r="F761" i="42" a="1"/>
  <c r="F761" i="42" s="1"/>
  <c r="F760" i="42" a="1"/>
  <c r="F760" i="42" s="1"/>
  <c r="F759" i="42" a="1"/>
  <c r="F759" i="42" s="1"/>
  <c r="F758" i="42" a="1"/>
  <c r="F758" i="42" s="1"/>
  <c r="F757" i="42" a="1"/>
  <c r="F757" i="42" s="1"/>
  <c r="F756" i="42" a="1"/>
  <c r="F756" i="42" s="1"/>
  <c r="F755" i="42" a="1"/>
  <c r="F755" i="42" s="1"/>
  <c r="F754" i="42" a="1"/>
  <c r="F754" i="42" s="1"/>
  <c r="F753" i="42" a="1"/>
  <c r="F753" i="42" s="1"/>
  <c r="F752" i="42" a="1"/>
  <c r="F752" i="42" s="1"/>
  <c r="F751" i="42" a="1"/>
  <c r="F751" i="42" s="1"/>
  <c r="F750" i="42" a="1"/>
  <c r="F750" i="42" s="1"/>
  <c r="F749" i="42" a="1"/>
  <c r="F749" i="42" s="1"/>
  <c r="F748" i="42" a="1"/>
  <c r="F748" i="42" s="1"/>
  <c r="F747" i="42" a="1"/>
  <c r="F747" i="42" s="1"/>
  <c r="F746" i="42" a="1"/>
  <c r="F746" i="42" s="1"/>
  <c r="F745" i="42" a="1"/>
  <c r="F745" i="42" s="1"/>
  <c r="F744" i="42" a="1"/>
  <c r="F744" i="42" s="1"/>
  <c r="F743" i="42" a="1"/>
  <c r="F743" i="42" s="1"/>
  <c r="F742" i="42" a="1"/>
  <c r="F742" i="42" s="1"/>
  <c r="F741" i="42" a="1"/>
  <c r="F741" i="42" s="1"/>
  <c r="F740" i="42" a="1"/>
  <c r="F740" i="42" s="1"/>
  <c r="F739" i="42" a="1"/>
  <c r="F739" i="42" s="1"/>
  <c r="F738" i="42" a="1"/>
  <c r="F738" i="42" s="1"/>
  <c r="F737" i="42" a="1"/>
  <c r="F737" i="42" s="1"/>
  <c r="F736" i="42" a="1"/>
  <c r="F736" i="42" s="1"/>
  <c r="F735" i="42" a="1"/>
  <c r="F735" i="42" s="1"/>
  <c r="F734" i="42" a="1"/>
  <c r="F734" i="42" s="1"/>
  <c r="F733" i="42" a="1"/>
  <c r="F733" i="42" s="1"/>
  <c r="F732" i="42" a="1"/>
  <c r="F732" i="42" s="1"/>
  <c r="F731" i="42" a="1"/>
  <c r="F731" i="42" s="1"/>
  <c r="F730" i="42" a="1"/>
  <c r="F730" i="42" s="1"/>
  <c r="F729" i="42" a="1"/>
  <c r="F729" i="42" s="1"/>
  <c r="F728" i="42" a="1"/>
  <c r="F728" i="42" s="1"/>
  <c r="F727" i="42" a="1"/>
  <c r="F727" i="42" s="1"/>
  <c r="F726" i="42" a="1"/>
  <c r="F726" i="42" s="1"/>
  <c r="F725" i="42" a="1"/>
  <c r="F725" i="42" s="1"/>
  <c r="F724" i="42" a="1"/>
  <c r="F724" i="42" s="1"/>
  <c r="F723" i="42" a="1"/>
  <c r="F723" i="42" s="1"/>
  <c r="F722" i="42" a="1"/>
  <c r="F722" i="42" s="1"/>
  <c r="F721" i="42" a="1"/>
  <c r="F721" i="42" s="1"/>
  <c r="F720" i="42" a="1"/>
  <c r="F720" i="42" s="1"/>
  <c r="F719" i="42" a="1"/>
  <c r="F719" i="42" s="1"/>
  <c r="F718" i="42" a="1"/>
  <c r="F718" i="42" s="1"/>
  <c r="F717" i="42" a="1"/>
  <c r="F717" i="42" s="1"/>
  <c r="F716" i="42" a="1"/>
  <c r="F716" i="42" s="1"/>
  <c r="F715" i="42" a="1"/>
  <c r="F715" i="42" s="1"/>
  <c r="F714" i="42" a="1"/>
  <c r="F714" i="42" s="1"/>
  <c r="F713" i="42" a="1"/>
  <c r="F713" i="42" s="1"/>
  <c r="F712" i="42" a="1"/>
  <c r="F712" i="42" s="1"/>
  <c r="F711" i="42" a="1"/>
  <c r="F711" i="42" s="1"/>
  <c r="F710" i="42" a="1"/>
  <c r="F710" i="42" s="1"/>
  <c r="F709" i="42" a="1"/>
  <c r="F709" i="42" s="1"/>
  <c r="F708" i="42" a="1"/>
  <c r="F708" i="42" s="1"/>
  <c r="F707" i="42" a="1"/>
  <c r="F707" i="42" s="1"/>
  <c r="F706" i="42" a="1"/>
  <c r="F706" i="42" s="1"/>
  <c r="F705" i="42" a="1"/>
  <c r="F705" i="42" s="1"/>
  <c r="F704" i="42" a="1"/>
  <c r="F704" i="42" s="1"/>
  <c r="F703" i="42" a="1"/>
  <c r="F703" i="42" s="1"/>
  <c r="F702" i="42" a="1"/>
  <c r="F702" i="42" s="1"/>
  <c r="F701" i="42" a="1"/>
  <c r="F701" i="42" s="1"/>
  <c r="F700" i="42" a="1"/>
  <c r="F700" i="42" s="1"/>
  <c r="F699" i="42" a="1"/>
  <c r="F699" i="42" s="1"/>
  <c r="F698" i="42" a="1"/>
  <c r="F698" i="42" s="1"/>
  <c r="F697" i="42" a="1"/>
  <c r="F697" i="42" s="1"/>
  <c r="F696" i="42" a="1"/>
  <c r="F696" i="42" s="1"/>
  <c r="F695" i="42" a="1"/>
  <c r="F695" i="42" s="1"/>
  <c r="F694" i="42" a="1"/>
  <c r="F694" i="42" s="1"/>
  <c r="F693" i="42" a="1"/>
  <c r="F693" i="42" s="1"/>
  <c r="F692" i="42" a="1"/>
  <c r="F692" i="42" s="1"/>
  <c r="F691" i="42" a="1"/>
  <c r="F691" i="42" s="1"/>
  <c r="F690" i="42" a="1"/>
  <c r="F690" i="42" s="1"/>
  <c r="F689" i="42" a="1"/>
  <c r="F689" i="42" s="1"/>
  <c r="F688" i="42" a="1"/>
  <c r="F688" i="42" s="1"/>
  <c r="F687" i="42" a="1"/>
  <c r="F687" i="42" s="1"/>
  <c r="F686" i="42" a="1"/>
  <c r="F686" i="42" s="1"/>
  <c r="F685" i="42" a="1"/>
  <c r="F685" i="42" s="1"/>
  <c r="F684" i="42" a="1"/>
  <c r="F684" i="42" s="1"/>
  <c r="F683" i="42" a="1"/>
  <c r="F683" i="42" s="1"/>
  <c r="F682" i="42" a="1"/>
  <c r="F682" i="42" s="1"/>
  <c r="F681" i="42" a="1"/>
  <c r="F681" i="42" s="1"/>
  <c r="F680" i="42" a="1"/>
  <c r="F680" i="42" s="1"/>
  <c r="F679" i="42" a="1"/>
  <c r="F679" i="42" s="1"/>
  <c r="F678" i="42" a="1"/>
  <c r="F678" i="42" s="1"/>
  <c r="F677" i="42" a="1"/>
  <c r="F677" i="42" s="1"/>
  <c r="F676" i="42" a="1"/>
  <c r="F676" i="42" s="1"/>
  <c r="F675" i="42" a="1"/>
  <c r="F675" i="42" s="1"/>
  <c r="F674" i="42" a="1"/>
  <c r="F674" i="42" s="1"/>
  <c r="F673" i="42" a="1"/>
  <c r="F673" i="42" s="1"/>
  <c r="F672" i="42" a="1"/>
  <c r="F672" i="42" s="1"/>
  <c r="F671" i="42" a="1"/>
  <c r="F671" i="42" s="1"/>
  <c r="F670" i="42" a="1"/>
  <c r="F670" i="42" s="1"/>
  <c r="F669" i="42" a="1"/>
  <c r="F669" i="42" s="1"/>
  <c r="F668" i="42" a="1"/>
  <c r="F668" i="42" s="1"/>
  <c r="F667" i="42" a="1"/>
  <c r="F667" i="42" s="1"/>
  <c r="F666" i="42" a="1"/>
  <c r="F666" i="42" s="1"/>
  <c r="F665" i="42" a="1"/>
  <c r="F665" i="42" s="1"/>
  <c r="F664" i="42" a="1"/>
  <c r="F664" i="42" s="1"/>
  <c r="F663" i="42" a="1"/>
  <c r="F663" i="42" s="1"/>
  <c r="F662" i="42" a="1"/>
  <c r="F662" i="42" s="1"/>
  <c r="F661" i="42" a="1"/>
  <c r="F661" i="42" s="1"/>
  <c r="F660" i="42" a="1"/>
  <c r="F660" i="42" s="1"/>
  <c r="F659" i="42" a="1"/>
  <c r="F659" i="42" s="1"/>
  <c r="F658" i="42" a="1"/>
  <c r="F658" i="42" s="1"/>
  <c r="F657" i="42" a="1"/>
  <c r="F657" i="42" s="1"/>
  <c r="F656" i="42" a="1"/>
  <c r="F656" i="42" s="1"/>
  <c r="F655" i="42" a="1"/>
  <c r="F655" i="42" s="1"/>
  <c r="F654" i="42" a="1"/>
  <c r="F654" i="42" s="1"/>
  <c r="F653" i="42" a="1"/>
  <c r="F653" i="42" s="1"/>
  <c r="F652" i="42" a="1"/>
  <c r="F652" i="42" s="1"/>
  <c r="F651" i="42" a="1"/>
  <c r="F651" i="42" s="1"/>
  <c r="F650" i="42" a="1"/>
  <c r="F650" i="42" s="1"/>
  <c r="F649" i="42" a="1"/>
  <c r="F649" i="42" s="1"/>
  <c r="F648" i="42" a="1"/>
  <c r="F648" i="42" s="1"/>
  <c r="F647" i="42" a="1"/>
  <c r="F647" i="42" s="1"/>
  <c r="F646" i="42" a="1"/>
  <c r="F646" i="42" s="1"/>
  <c r="F645" i="42" a="1"/>
  <c r="F645" i="42" s="1"/>
  <c r="F644" i="42" a="1"/>
  <c r="F644" i="42" s="1"/>
  <c r="F643" i="42" a="1"/>
  <c r="F643" i="42" s="1"/>
  <c r="F642" i="42" a="1"/>
  <c r="F642" i="42" s="1"/>
  <c r="F641" i="42" a="1"/>
  <c r="F641" i="42" s="1"/>
  <c r="F640" i="42" a="1"/>
  <c r="F640" i="42" s="1"/>
  <c r="F639" i="42" a="1"/>
  <c r="F639" i="42" s="1"/>
  <c r="F638" i="42" a="1"/>
  <c r="F638" i="42" s="1"/>
  <c r="F637" i="42" a="1"/>
  <c r="F637" i="42" s="1"/>
  <c r="F636" i="42" a="1"/>
  <c r="F636" i="42" s="1"/>
  <c r="F635" i="42" a="1"/>
  <c r="F635" i="42" s="1"/>
  <c r="F634" i="42" a="1"/>
  <c r="F634" i="42" s="1"/>
  <c r="F633" i="42" a="1"/>
  <c r="F633" i="42" s="1"/>
  <c r="F632" i="42" a="1"/>
  <c r="F632" i="42" s="1"/>
  <c r="F631" i="42" a="1"/>
  <c r="F631" i="42" s="1"/>
  <c r="F630" i="42" a="1"/>
  <c r="F630" i="42" s="1"/>
  <c r="F629" i="42" a="1"/>
  <c r="F629" i="42" s="1"/>
  <c r="F628" i="42" a="1"/>
  <c r="F628" i="42" s="1"/>
  <c r="F627" i="42" a="1"/>
  <c r="F627" i="42" s="1"/>
  <c r="F626" i="42" a="1"/>
  <c r="F626" i="42" s="1"/>
  <c r="F625" i="42" a="1"/>
  <c r="F625" i="42" s="1"/>
  <c r="F624" i="42" a="1"/>
  <c r="F624" i="42" s="1"/>
  <c r="F623" i="42" a="1"/>
  <c r="F623" i="42" s="1"/>
  <c r="F622" i="42" a="1"/>
  <c r="F622" i="42" s="1"/>
  <c r="F621" i="42" a="1"/>
  <c r="F621" i="42" s="1"/>
  <c r="F620" i="42" a="1"/>
  <c r="F620" i="42" s="1"/>
  <c r="F619" i="42" a="1"/>
  <c r="F619" i="42" s="1"/>
  <c r="F618" i="42" a="1"/>
  <c r="F618" i="42" s="1"/>
  <c r="F617" i="42" a="1"/>
  <c r="F617" i="42" s="1"/>
  <c r="F616" i="42" a="1"/>
  <c r="F616" i="42" s="1"/>
  <c r="F615" i="42" a="1"/>
  <c r="F615" i="42" s="1"/>
  <c r="F614" i="42" a="1"/>
  <c r="F614" i="42" s="1"/>
  <c r="F613" i="42" a="1"/>
  <c r="F613" i="42" s="1"/>
  <c r="F612" i="42" a="1"/>
  <c r="F612" i="42" s="1"/>
  <c r="F611" i="42" a="1"/>
  <c r="F611" i="42" s="1"/>
  <c r="F610" i="42" a="1"/>
  <c r="F610" i="42" s="1"/>
  <c r="F609" i="42" a="1"/>
  <c r="F609" i="42" s="1"/>
  <c r="F608" i="42" a="1"/>
  <c r="F608" i="42" s="1"/>
  <c r="F607" i="42" a="1"/>
  <c r="F607" i="42" s="1"/>
  <c r="F606" i="42" a="1"/>
  <c r="F606" i="42" s="1"/>
  <c r="F605" i="42" a="1"/>
  <c r="F605" i="42" s="1"/>
  <c r="F604" i="42" a="1"/>
  <c r="F604" i="42" s="1"/>
  <c r="F603" i="42" a="1"/>
  <c r="F603" i="42" s="1"/>
  <c r="F602" i="42" a="1"/>
  <c r="F602" i="42" s="1"/>
  <c r="F601" i="42" a="1"/>
  <c r="F601" i="42" s="1"/>
  <c r="F600" i="42" a="1"/>
  <c r="F600" i="42" s="1"/>
  <c r="F599" i="42" a="1"/>
  <c r="F599" i="42" s="1"/>
  <c r="F598" i="42" a="1"/>
  <c r="F598" i="42" s="1"/>
  <c r="F597" i="42" a="1"/>
  <c r="F597" i="42" s="1"/>
  <c r="F596" i="42" a="1"/>
  <c r="F596" i="42" s="1"/>
  <c r="F595" i="42" a="1"/>
  <c r="F595" i="42" s="1"/>
  <c r="F594" i="42" a="1"/>
  <c r="F594" i="42" s="1"/>
  <c r="F593" i="42" a="1"/>
  <c r="F593" i="42" s="1"/>
  <c r="F592" i="42" a="1"/>
  <c r="F592" i="42" s="1"/>
  <c r="F591" i="42" a="1"/>
  <c r="F591" i="42" s="1"/>
  <c r="F590" i="42" a="1"/>
  <c r="F590" i="42" s="1"/>
  <c r="F589" i="42" a="1"/>
  <c r="F589" i="42" s="1"/>
  <c r="F588" i="42" a="1"/>
  <c r="F588" i="42" s="1"/>
  <c r="F587" i="42" a="1"/>
  <c r="F587" i="42" s="1"/>
  <c r="F586" i="42" a="1"/>
  <c r="F586" i="42" s="1"/>
  <c r="F585" i="42" a="1"/>
  <c r="F585" i="42" s="1"/>
  <c r="F584" i="42" a="1"/>
  <c r="F584" i="42" s="1"/>
  <c r="F583" i="42" a="1"/>
  <c r="F583" i="42" s="1"/>
  <c r="F582" i="42" a="1"/>
  <c r="F582" i="42" s="1"/>
  <c r="F581" i="42" a="1"/>
  <c r="F581" i="42" s="1"/>
  <c r="F580" i="42" a="1"/>
  <c r="F580" i="42" s="1"/>
  <c r="F579" i="42" a="1"/>
  <c r="F579" i="42" s="1"/>
  <c r="F578" i="42" a="1"/>
  <c r="F578" i="42" s="1"/>
  <c r="F577" i="42" a="1"/>
  <c r="F577" i="42" s="1"/>
  <c r="F576" i="42" a="1"/>
  <c r="F576" i="42" s="1"/>
  <c r="F575" i="42" a="1"/>
  <c r="F575" i="42" s="1"/>
  <c r="F574" i="42" a="1"/>
  <c r="F574" i="42" s="1"/>
  <c r="F573" i="42" a="1"/>
  <c r="F573" i="42" s="1"/>
  <c r="F572" i="42" a="1"/>
  <c r="F572" i="42" s="1"/>
  <c r="F571" i="42" a="1"/>
  <c r="F571" i="42" s="1"/>
  <c r="F570" i="42" a="1"/>
  <c r="F570" i="42" s="1"/>
  <c r="F569" i="42" a="1"/>
  <c r="F569" i="42" s="1"/>
  <c r="F568" i="42" a="1"/>
  <c r="F568" i="42" s="1"/>
  <c r="F567" i="42" a="1"/>
  <c r="F567" i="42" s="1"/>
  <c r="F566" i="42" a="1"/>
  <c r="F566" i="42" s="1"/>
  <c r="F565" i="42" a="1"/>
  <c r="F565" i="42" s="1"/>
  <c r="F564" i="42" a="1"/>
  <c r="F564" i="42" s="1"/>
  <c r="F563" i="42" a="1"/>
  <c r="F563" i="42" s="1"/>
  <c r="F562" i="42" a="1"/>
  <c r="F562" i="42" s="1"/>
  <c r="F561" i="42" a="1"/>
  <c r="F561" i="42" s="1"/>
  <c r="F560" i="42" a="1"/>
  <c r="F560" i="42" s="1"/>
  <c r="F559" i="42" a="1"/>
  <c r="F559" i="42" s="1"/>
  <c r="F558" i="42" a="1"/>
  <c r="F558" i="42" s="1"/>
  <c r="F557" i="42" a="1"/>
  <c r="F557" i="42" s="1"/>
  <c r="F556" i="42" a="1"/>
  <c r="F556" i="42" s="1"/>
  <c r="F555" i="42" a="1"/>
  <c r="F555" i="42" s="1"/>
  <c r="F554" i="42" a="1"/>
  <c r="F554" i="42" s="1"/>
  <c r="F553" i="42" a="1"/>
  <c r="F553" i="42" s="1"/>
  <c r="F552" i="42" a="1"/>
  <c r="F552" i="42" s="1"/>
  <c r="F551" i="42" a="1"/>
  <c r="F551" i="42" s="1"/>
  <c r="F550" i="42" a="1"/>
  <c r="F550" i="42" s="1"/>
  <c r="F549" i="42" a="1"/>
  <c r="F549" i="42" s="1"/>
  <c r="F548" i="42" a="1"/>
  <c r="F548" i="42" s="1"/>
  <c r="F547" i="42" a="1"/>
  <c r="F547" i="42" s="1"/>
  <c r="F546" i="42" a="1"/>
  <c r="F546" i="42" s="1"/>
  <c r="F545" i="42" a="1"/>
  <c r="F545" i="42" s="1"/>
  <c r="F544" i="42" a="1"/>
  <c r="F544" i="42" s="1"/>
  <c r="F543" i="42" a="1"/>
  <c r="F543" i="42" s="1"/>
  <c r="F542" i="42" a="1"/>
  <c r="F542" i="42" s="1"/>
  <c r="F541" i="42" a="1"/>
  <c r="F541" i="42" s="1"/>
  <c r="F540" i="42" a="1"/>
  <c r="F540" i="42" s="1"/>
  <c r="F539" i="42" a="1"/>
  <c r="F539" i="42" s="1"/>
  <c r="F538" i="42" a="1"/>
  <c r="F538" i="42" s="1"/>
  <c r="F537" i="42" a="1"/>
  <c r="F537" i="42" s="1"/>
  <c r="F536" i="42" a="1"/>
  <c r="F536" i="42" s="1"/>
  <c r="F535" i="42" a="1"/>
  <c r="F535" i="42" s="1"/>
  <c r="F534" i="42" a="1"/>
  <c r="F534" i="42" s="1"/>
  <c r="F533" i="42" a="1"/>
  <c r="F533" i="42" s="1"/>
  <c r="F532" i="42" a="1"/>
  <c r="F532" i="42" s="1"/>
  <c r="F531" i="42" a="1"/>
  <c r="F531" i="42" s="1"/>
  <c r="F530" i="42" a="1"/>
  <c r="F530" i="42" s="1"/>
  <c r="F529" i="42" a="1"/>
  <c r="F529" i="42" s="1"/>
  <c r="F528" i="42" a="1"/>
  <c r="F528" i="42" s="1"/>
  <c r="F527" i="42" a="1"/>
  <c r="F527" i="42" s="1"/>
  <c r="F526" i="42" a="1"/>
  <c r="F526" i="42" s="1"/>
  <c r="F525" i="42" a="1"/>
  <c r="F525" i="42" s="1"/>
  <c r="F524" i="42" a="1"/>
  <c r="F524" i="42" s="1"/>
  <c r="F523" i="42" a="1"/>
  <c r="F523" i="42" s="1"/>
  <c r="F522" i="42" a="1"/>
  <c r="F522" i="42" s="1"/>
  <c r="F521" i="42" a="1"/>
  <c r="F521" i="42" s="1"/>
  <c r="F520" i="42" a="1"/>
  <c r="F520" i="42" s="1"/>
  <c r="F519" i="42" a="1"/>
  <c r="F519" i="42" s="1"/>
  <c r="F518" i="42" a="1"/>
  <c r="F518" i="42" s="1"/>
  <c r="F517" i="42" a="1"/>
  <c r="F517" i="42" s="1"/>
  <c r="F516" i="42" a="1"/>
  <c r="F516" i="42" s="1"/>
  <c r="F515" i="42" a="1"/>
  <c r="F515" i="42" s="1"/>
  <c r="F514" i="42" a="1"/>
  <c r="F514" i="42" s="1"/>
  <c r="F513" i="42" a="1"/>
  <c r="F513" i="42" s="1"/>
  <c r="F512" i="42" a="1"/>
  <c r="F512" i="42" s="1"/>
  <c r="F511" i="42" a="1"/>
  <c r="F511" i="42" s="1"/>
  <c r="F510" i="42" a="1"/>
  <c r="F510" i="42" s="1"/>
  <c r="F509" i="42" a="1"/>
  <c r="F509" i="42" s="1"/>
  <c r="F508" i="42" a="1"/>
  <c r="F508" i="42" s="1"/>
  <c r="F507" i="42" a="1"/>
  <c r="F507" i="42" s="1"/>
  <c r="F506" i="42" a="1"/>
  <c r="F506" i="42" s="1"/>
  <c r="F505" i="42" a="1"/>
  <c r="F505" i="42" s="1"/>
  <c r="F504" i="42" a="1"/>
  <c r="F504" i="42" s="1"/>
  <c r="F503" i="42" a="1"/>
  <c r="F503" i="42" s="1"/>
  <c r="F502" i="42" a="1"/>
  <c r="F502" i="42" s="1"/>
  <c r="F501" i="42" a="1"/>
  <c r="F501" i="42" s="1"/>
  <c r="F500" i="42" a="1"/>
  <c r="F500" i="42" s="1"/>
  <c r="F499" i="42" a="1"/>
  <c r="F499" i="42" s="1"/>
  <c r="F498" i="42" a="1"/>
  <c r="F498" i="42" s="1"/>
  <c r="F497" i="42" a="1"/>
  <c r="F497" i="42" s="1"/>
  <c r="F496" i="42" a="1"/>
  <c r="F496" i="42" s="1"/>
  <c r="F495" i="42" a="1"/>
  <c r="F495" i="42" s="1"/>
  <c r="F494" i="42" a="1"/>
  <c r="F494" i="42" s="1"/>
  <c r="F493" i="42" a="1"/>
  <c r="F493" i="42" s="1"/>
  <c r="F492" i="42" a="1"/>
  <c r="F492" i="42" s="1"/>
  <c r="F491" i="42" a="1"/>
  <c r="F491" i="42" s="1"/>
  <c r="F490" i="42" a="1"/>
  <c r="F490" i="42" s="1"/>
  <c r="F489" i="42" a="1"/>
  <c r="F489" i="42" s="1"/>
  <c r="F488" i="42" a="1"/>
  <c r="F488" i="42" s="1"/>
  <c r="F487" i="42" a="1"/>
  <c r="F487" i="42" s="1"/>
  <c r="F486" i="42" a="1"/>
  <c r="F486" i="42" s="1"/>
  <c r="F485" i="42" a="1"/>
  <c r="F485" i="42" s="1"/>
  <c r="F484" i="42" a="1"/>
  <c r="F484" i="42" s="1"/>
  <c r="F483" i="42" a="1"/>
  <c r="F483" i="42" s="1"/>
  <c r="F482" i="42" a="1"/>
  <c r="F482" i="42" s="1"/>
  <c r="F481" i="42" a="1"/>
  <c r="F481" i="42" s="1"/>
  <c r="F480" i="42" a="1"/>
  <c r="F480" i="42" s="1"/>
  <c r="F479" i="42" a="1"/>
  <c r="F479" i="42" s="1"/>
  <c r="F478" i="42" a="1"/>
  <c r="F478" i="42" s="1"/>
  <c r="F477" i="42" a="1"/>
  <c r="F477" i="42" s="1"/>
  <c r="F476" i="42" a="1"/>
  <c r="F476" i="42" s="1"/>
  <c r="F475" i="42" a="1"/>
  <c r="F475" i="42" s="1"/>
  <c r="F474" i="42" a="1"/>
  <c r="F474" i="42" s="1"/>
  <c r="F473" i="42" a="1"/>
  <c r="F473" i="42" s="1"/>
  <c r="F472" i="42" a="1"/>
  <c r="F472" i="42" s="1"/>
  <c r="F471" i="42" a="1"/>
  <c r="F471" i="42" s="1"/>
  <c r="F470" i="42" a="1"/>
  <c r="F470" i="42" s="1"/>
  <c r="F469" i="42" a="1"/>
  <c r="F469" i="42" s="1"/>
  <c r="F468" i="42" a="1"/>
  <c r="F468" i="42" s="1"/>
  <c r="F467" i="42" a="1"/>
  <c r="F467" i="42" s="1"/>
  <c r="F466" i="42" a="1"/>
  <c r="F466" i="42" s="1"/>
  <c r="F465" i="42" a="1"/>
  <c r="F465" i="42" s="1"/>
  <c r="F464" i="42" a="1"/>
  <c r="F464" i="42" s="1"/>
  <c r="F463" i="42" a="1"/>
  <c r="F463" i="42" s="1"/>
  <c r="F462" i="42" a="1"/>
  <c r="F462" i="42" s="1"/>
  <c r="F461" i="42" a="1"/>
  <c r="F461" i="42" s="1"/>
  <c r="F460" i="42" a="1"/>
  <c r="F460" i="42" s="1"/>
  <c r="F459" i="42" a="1"/>
  <c r="F459" i="42" s="1"/>
  <c r="F458" i="42" a="1"/>
  <c r="F458" i="42" s="1"/>
  <c r="F457" i="42" a="1"/>
  <c r="F457" i="42" s="1"/>
  <c r="F456" i="42" a="1"/>
  <c r="F456" i="42" s="1"/>
  <c r="F455" i="42" a="1"/>
  <c r="F455" i="42" s="1"/>
  <c r="F454" i="42" a="1"/>
  <c r="F454" i="42" s="1"/>
  <c r="F453" i="42" a="1"/>
  <c r="F453" i="42" s="1"/>
  <c r="F452" i="42" a="1"/>
  <c r="F452" i="42" s="1"/>
  <c r="F451" i="42" a="1"/>
  <c r="F451" i="42" s="1"/>
  <c r="F450" i="42" a="1"/>
  <c r="F450" i="42" s="1"/>
  <c r="F449" i="42" a="1"/>
  <c r="F449" i="42" s="1"/>
  <c r="F448" i="42" a="1"/>
  <c r="F448" i="42" s="1"/>
  <c r="F447" i="42" a="1"/>
  <c r="F447" i="42" s="1"/>
  <c r="F446" i="42" a="1"/>
  <c r="F446" i="42" s="1"/>
  <c r="F445" i="42" a="1"/>
  <c r="F445" i="42" s="1"/>
  <c r="F444" i="42" a="1"/>
  <c r="F444" i="42" s="1"/>
  <c r="F443" i="42" a="1"/>
  <c r="F443" i="42" s="1"/>
  <c r="F442" i="42" a="1"/>
  <c r="F442" i="42" s="1"/>
  <c r="F441" i="42" a="1"/>
  <c r="F441" i="42" s="1"/>
  <c r="F440" i="42" a="1"/>
  <c r="F440" i="42" s="1"/>
  <c r="F439" i="42" a="1"/>
  <c r="F439" i="42" s="1"/>
  <c r="F438" i="42" a="1"/>
  <c r="F438" i="42" s="1"/>
  <c r="F437" i="42" a="1"/>
  <c r="F437" i="42" s="1"/>
  <c r="F436" i="42" a="1"/>
  <c r="F436" i="42" s="1"/>
  <c r="F435" i="42" a="1"/>
  <c r="F435" i="42" s="1"/>
  <c r="F434" i="42" a="1"/>
  <c r="F434" i="42" s="1"/>
  <c r="F433" i="42" a="1"/>
  <c r="F433" i="42" s="1"/>
  <c r="F432" i="42" a="1"/>
  <c r="F432" i="42" s="1"/>
  <c r="F431" i="42" a="1"/>
  <c r="F431" i="42" s="1"/>
  <c r="F430" i="42" a="1"/>
  <c r="F430" i="42" s="1"/>
  <c r="F429" i="42" a="1"/>
  <c r="F429" i="42" s="1"/>
  <c r="F428" i="42" a="1"/>
  <c r="F428" i="42" s="1"/>
  <c r="F427" i="42" a="1"/>
  <c r="F427" i="42" s="1"/>
  <c r="F426" i="42" a="1"/>
  <c r="F426" i="42" s="1"/>
  <c r="F425" i="42" a="1"/>
  <c r="F425" i="42" s="1"/>
  <c r="F424" i="42" a="1"/>
  <c r="F424" i="42" s="1"/>
  <c r="F423" i="42" a="1"/>
  <c r="F423" i="42" s="1"/>
  <c r="F422" i="42" a="1"/>
  <c r="F422" i="42" s="1"/>
  <c r="F421" i="42" a="1"/>
  <c r="F421" i="42" s="1"/>
  <c r="F420" i="42" a="1"/>
  <c r="F420" i="42" s="1"/>
  <c r="F419" i="42" a="1"/>
  <c r="F419" i="42" s="1"/>
  <c r="F418" i="42" a="1"/>
  <c r="F418" i="42" s="1"/>
  <c r="F417" i="42" a="1"/>
  <c r="F417" i="42" s="1"/>
  <c r="F416" i="42" a="1"/>
  <c r="F416" i="42" s="1"/>
  <c r="F415" i="42" a="1"/>
  <c r="F415" i="42" s="1"/>
  <c r="F414" i="42" a="1"/>
  <c r="F414" i="42" s="1"/>
  <c r="F413" i="42" a="1"/>
  <c r="F413" i="42" s="1"/>
  <c r="F412" i="42" a="1"/>
  <c r="F412" i="42" s="1"/>
  <c r="F411" i="42" a="1"/>
  <c r="F411" i="42" s="1"/>
  <c r="F410" i="42" a="1"/>
  <c r="F410" i="42" s="1"/>
  <c r="F409" i="42" a="1"/>
  <c r="F409" i="42" s="1"/>
  <c r="F408" i="42" a="1"/>
  <c r="F408" i="42" s="1"/>
  <c r="F407" i="42" a="1"/>
  <c r="F407" i="42" s="1"/>
  <c r="F406" i="42" a="1"/>
  <c r="F406" i="42" s="1"/>
  <c r="F405" i="42" a="1"/>
  <c r="F405" i="42" s="1"/>
  <c r="F404" i="42" a="1"/>
  <c r="F404" i="42" s="1"/>
  <c r="F403" i="42" a="1"/>
  <c r="F403" i="42" s="1"/>
  <c r="F402" i="42" a="1"/>
  <c r="F402" i="42" s="1"/>
  <c r="F401" i="42" a="1"/>
  <c r="F401" i="42" s="1"/>
  <c r="F400" i="42" a="1"/>
  <c r="F400" i="42" s="1"/>
  <c r="F399" i="42" a="1"/>
  <c r="F399" i="42" s="1"/>
  <c r="F398" i="42" a="1"/>
  <c r="F398" i="42" s="1"/>
  <c r="F397" i="42" a="1"/>
  <c r="F397" i="42" s="1"/>
  <c r="F396" i="42" a="1"/>
  <c r="F396" i="42" s="1"/>
  <c r="F395" i="42" a="1"/>
  <c r="F395" i="42" s="1"/>
  <c r="F394" i="42" a="1"/>
  <c r="F394" i="42" s="1"/>
  <c r="F393" i="42" a="1"/>
  <c r="F393" i="42" s="1"/>
  <c r="F392" i="42" a="1"/>
  <c r="F392" i="42" s="1"/>
  <c r="F391" i="42" a="1"/>
  <c r="F391" i="42" s="1"/>
  <c r="F390" i="42" a="1"/>
  <c r="F390" i="42" s="1"/>
  <c r="F389" i="42" a="1"/>
  <c r="F389" i="42" s="1"/>
  <c r="F388" i="42" a="1"/>
  <c r="F388" i="42" s="1"/>
  <c r="F387" i="42" a="1"/>
  <c r="F387" i="42" s="1"/>
  <c r="F386" i="42" a="1"/>
  <c r="F386" i="42" s="1"/>
  <c r="F385" i="42" a="1"/>
  <c r="F385" i="42" s="1"/>
  <c r="F384" i="42" a="1"/>
  <c r="F384" i="42" s="1"/>
  <c r="F383" i="42" a="1"/>
  <c r="F383" i="42" s="1"/>
  <c r="F382" i="42" a="1"/>
  <c r="F382" i="42" s="1"/>
  <c r="F381" i="42" a="1"/>
  <c r="F381" i="42" s="1"/>
  <c r="F380" i="42" a="1"/>
  <c r="F380" i="42" s="1"/>
  <c r="F379" i="42" a="1"/>
  <c r="F379" i="42" s="1"/>
  <c r="F378" i="42" a="1"/>
  <c r="F378" i="42" s="1"/>
  <c r="F377" i="42" a="1"/>
  <c r="F377" i="42" s="1"/>
  <c r="F376" i="42" a="1"/>
  <c r="F376" i="42" s="1"/>
  <c r="F375" i="42" a="1"/>
  <c r="F375" i="42" s="1"/>
  <c r="F374" i="42" a="1"/>
  <c r="F374" i="42" s="1"/>
  <c r="F373" i="42" a="1"/>
  <c r="F373" i="42" s="1"/>
  <c r="F372" i="42" a="1"/>
  <c r="F372" i="42" s="1"/>
  <c r="F371" i="42" a="1"/>
  <c r="F371" i="42" s="1"/>
  <c r="F370" i="42" a="1"/>
  <c r="F370" i="42" s="1"/>
  <c r="F369" i="42" a="1"/>
  <c r="F369" i="42" s="1"/>
  <c r="F368" i="42" a="1"/>
  <c r="F368" i="42" s="1"/>
  <c r="F367" i="42" a="1"/>
  <c r="F367" i="42" s="1"/>
  <c r="F366" i="42" a="1"/>
  <c r="F366" i="42" s="1"/>
  <c r="F365" i="42" a="1"/>
  <c r="F365" i="42" s="1"/>
  <c r="F364" i="42" a="1"/>
  <c r="F364" i="42" s="1"/>
  <c r="F363" i="42" a="1"/>
  <c r="F363" i="42" s="1"/>
  <c r="F362" i="42" a="1"/>
  <c r="F362" i="42" s="1"/>
  <c r="F361" i="42" a="1"/>
  <c r="F361" i="42" s="1"/>
  <c r="F360" i="42" a="1"/>
  <c r="F360" i="42" s="1"/>
  <c r="F359" i="42" a="1"/>
  <c r="F359" i="42" s="1"/>
  <c r="F358" i="42" a="1"/>
  <c r="F358" i="42" s="1"/>
  <c r="F357" i="42" a="1"/>
  <c r="F357" i="42" s="1"/>
  <c r="F356" i="42" a="1"/>
  <c r="F356" i="42" s="1"/>
  <c r="F355" i="42" a="1"/>
  <c r="F355" i="42" s="1"/>
  <c r="F354" i="42" a="1"/>
  <c r="F354" i="42" s="1"/>
  <c r="F353" i="42" a="1"/>
  <c r="F353" i="42" s="1"/>
  <c r="F352" i="42" a="1"/>
  <c r="F352" i="42" s="1"/>
  <c r="F351" i="42" a="1"/>
  <c r="F351" i="42" s="1"/>
  <c r="F350" i="42" a="1"/>
  <c r="F350" i="42" s="1"/>
  <c r="F349" i="42" a="1"/>
  <c r="F349" i="42" s="1"/>
  <c r="F348" i="42" a="1"/>
  <c r="F348" i="42" s="1"/>
  <c r="F347" i="42" a="1"/>
  <c r="F347" i="42" s="1"/>
  <c r="F346" i="42" a="1"/>
  <c r="F346" i="42" s="1"/>
  <c r="F345" i="42" a="1"/>
  <c r="F345" i="42" s="1"/>
  <c r="F344" i="42" a="1"/>
  <c r="F344" i="42" s="1"/>
  <c r="F343" i="42" a="1"/>
  <c r="F343" i="42" s="1"/>
  <c r="F342" i="42" a="1"/>
  <c r="F342" i="42" s="1"/>
  <c r="F341" i="42" a="1"/>
  <c r="F341" i="42" s="1"/>
  <c r="F340" i="42" a="1"/>
  <c r="F340" i="42" s="1"/>
  <c r="F339" i="42" a="1"/>
  <c r="F339" i="42" s="1"/>
  <c r="F338" i="42" a="1"/>
  <c r="F338" i="42" s="1"/>
  <c r="F337" i="42" a="1"/>
  <c r="F337" i="42" s="1"/>
  <c r="F336" i="42" a="1"/>
  <c r="F336" i="42" s="1"/>
  <c r="F335" i="42" a="1"/>
  <c r="F335" i="42" s="1"/>
  <c r="F334" i="42" a="1"/>
  <c r="F334" i="42" s="1"/>
  <c r="F333" i="42" a="1"/>
  <c r="F333" i="42" s="1"/>
  <c r="F332" i="42" a="1"/>
  <c r="F332" i="42" s="1"/>
  <c r="F331" i="42" a="1"/>
  <c r="F331" i="42" s="1"/>
  <c r="F330" i="42" a="1"/>
  <c r="F330" i="42" s="1"/>
  <c r="F329" i="42" a="1"/>
  <c r="F329" i="42" s="1"/>
  <c r="F328" i="42" a="1"/>
  <c r="F328" i="42" s="1"/>
  <c r="F327" i="42" a="1"/>
  <c r="F327" i="42" s="1"/>
  <c r="F326" i="42" a="1"/>
  <c r="F326" i="42" s="1"/>
  <c r="F325" i="42" a="1"/>
  <c r="F325" i="42" s="1"/>
  <c r="F324" i="42" a="1"/>
  <c r="F324" i="42" s="1"/>
  <c r="F323" i="42" a="1"/>
  <c r="F323" i="42" s="1"/>
  <c r="F322" i="42" a="1"/>
  <c r="F322" i="42" s="1"/>
  <c r="F321" i="42" a="1"/>
  <c r="F321" i="42" s="1"/>
  <c r="F320" i="42" a="1"/>
  <c r="F320" i="42" s="1"/>
  <c r="F319" i="42" a="1"/>
  <c r="F319" i="42" s="1"/>
  <c r="F318" i="42" a="1"/>
  <c r="F318" i="42" s="1"/>
  <c r="F317" i="42" a="1"/>
  <c r="F317" i="42" s="1"/>
  <c r="F316" i="42" a="1"/>
  <c r="F316" i="42" s="1"/>
  <c r="F315" i="42" a="1"/>
  <c r="F315" i="42" s="1"/>
  <c r="F314" i="42" a="1"/>
  <c r="F314" i="42" s="1"/>
  <c r="F313" i="42" a="1"/>
  <c r="F313" i="42" s="1"/>
  <c r="F312" i="42" a="1"/>
  <c r="F312" i="42" s="1"/>
  <c r="F311" i="42" a="1"/>
  <c r="F311" i="42" s="1"/>
  <c r="F310" i="42" a="1"/>
  <c r="F310" i="42" s="1"/>
  <c r="F309" i="42" a="1"/>
  <c r="F309" i="42" s="1"/>
  <c r="F308" i="42" a="1"/>
  <c r="F308" i="42" s="1"/>
  <c r="F307" i="42" a="1"/>
  <c r="F307" i="42" s="1"/>
  <c r="F306" i="42" a="1"/>
  <c r="F306" i="42" s="1"/>
  <c r="F305" i="42" a="1"/>
  <c r="F305" i="42" s="1"/>
  <c r="F304" i="42" a="1"/>
  <c r="F304" i="42" s="1"/>
  <c r="F303" i="42" a="1"/>
  <c r="F303" i="42" s="1"/>
  <c r="F302" i="42" a="1"/>
  <c r="F302" i="42" s="1"/>
  <c r="F301" i="42" a="1"/>
  <c r="F301" i="42" s="1"/>
  <c r="F300" i="42" a="1"/>
  <c r="F300" i="42" s="1"/>
  <c r="F299" i="42" a="1"/>
  <c r="F299" i="42" s="1"/>
  <c r="F298" i="42" a="1"/>
  <c r="F298" i="42" s="1"/>
  <c r="F297" i="42" a="1"/>
  <c r="F297" i="42" s="1"/>
  <c r="F296" i="42" a="1"/>
  <c r="F296" i="42" s="1"/>
  <c r="F295" i="42" a="1"/>
  <c r="F295" i="42" s="1"/>
  <c r="F294" i="42" a="1"/>
  <c r="F294" i="42" s="1"/>
  <c r="F293" i="42" a="1"/>
  <c r="F293" i="42" s="1"/>
  <c r="F292" i="42" a="1"/>
  <c r="F292" i="42" s="1"/>
  <c r="F291" i="42" a="1"/>
  <c r="F291" i="42" s="1"/>
  <c r="F290" i="42" a="1"/>
  <c r="F290" i="42" s="1"/>
  <c r="F289" i="42" a="1"/>
  <c r="F289" i="42" s="1"/>
  <c r="F288" i="42" a="1"/>
  <c r="F288" i="42" s="1"/>
  <c r="F287" i="42" a="1"/>
  <c r="F287" i="42" s="1"/>
  <c r="F286" i="42" a="1"/>
  <c r="F286" i="42" s="1"/>
  <c r="F285" i="42" a="1"/>
  <c r="F285" i="42" s="1"/>
  <c r="F284" i="42" a="1"/>
  <c r="F284" i="42" s="1"/>
  <c r="F283" i="42" a="1"/>
  <c r="F283" i="42" s="1"/>
  <c r="F282" i="42" a="1"/>
  <c r="F282" i="42" s="1"/>
  <c r="F281" i="42" a="1"/>
  <c r="F281" i="42" s="1"/>
  <c r="F280" i="42" a="1"/>
  <c r="F280" i="42" s="1"/>
  <c r="F279" i="42" a="1"/>
  <c r="F279" i="42" s="1"/>
  <c r="F278" i="42" a="1"/>
  <c r="F278" i="42" s="1"/>
  <c r="F277" i="42" a="1"/>
  <c r="F277" i="42" s="1"/>
  <c r="F276" i="42" a="1"/>
  <c r="F276" i="42" s="1"/>
  <c r="F275" i="42" a="1"/>
  <c r="F275" i="42" s="1"/>
  <c r="F274" i="42" a="1"/>
  <c r="F274" i="42" s="1"/>
  <c r="F273" i="42" a="1"/>
  <c r="F273" i="42" s="1"/>
  <c r="F272" i="42" a="1"/>
  <c r="F272" i="42" s="1"/>
  <c r="F271" i="42" a="1"/>
  <c r="F271" i="42" s="1"/>
  <c r="F270" i="42" a="1"/>
  <c r="F270" i="42" s="1"/>
  <c r="F269" i="42" a="1"/>
  <c r="F269" i="42" s="1"/>
  <c r="F268" i="42" a="1"/>
  <c r="F268" i="42" s="1"/>
  <c r="F267" i="42" a="1"/>
  <c r="F267" i="42" s="1"/>
  <c r="F266" i="42" a="1"/>
  <c r="F266" i="42" s="1"/>
  <c r="F265" i="42" a="1"/>
  <c r="F265" i="42" s="1"/>
  <c r="F264" i="42" a="1"/>
  <c r="F264" i="42" s="1"/>
  <c r="F263" i="42" a="1"/>
  <c r="F263" i="42" s="1"/>
  <c r="F262" i="42" a="1"/>
  <c r="F262" i="42" s="1"/>
  <c r="F261" i="42" a="1"/>
  <c r="F261" i="42" s="1"/>
  <c r="F260" i="42" a="1"/>
  <c r="F260" i="42" s="1"/>
  <c r="F259" i="42" a="1"/>
  <c r="F259" i="42" s="1"/>
  <c r="F258" i="42" a="1"/>
  <c r="F258" i="42" s="1"/>
  <c r="F257" i="42" a="1"/>
  <c r="F257" i="42" s="1"/>
  <c r="F256" i="42" a="1"/>
  <c r="F256" i="42" s="1"/>
  <c r="F255" i="42" a="1"/>
  <c r="F255" i="42" s="1"/>
  <c r="F254" i="42" a="1"/>
  <c r="F254" i="42" s="1"/>
  <c r="F253" i="42" a="1"/>
  <c r="F253" i="42" s="1"/>
  <c r="F252" i="42" a="1"/>
  <c r="F252" i="42" s="1"/>
  <c r="F251" i="42" a="1"/>
  <c r="F251" i="42" s="1"/>
  <c r="F250" i="42" a="1"/>
  <c r="F250" i="42" s="1"/>
  <c r="F249" i="42" a="1"/>
  <c r="F249" i="42" s="1"/>
  <c r="F248" i="42" a="1"/>
  <c r="F248" i="42" s="1"/>
  <c r="F247" i="42" a="1"/>
  <c r="F247" i="42" s="1"/>
  <c r="F246" i="42" a="1"/>
  <c r="F246" i="42" s="1"/>
  <c r="F245" i="42" a="1"/>
  <c r="F245" i="42" s="1"/>
  <c r="F244" i="42" a="1"/>
  <c r="F244" i="42" s="1"/>
  <c r="F243" i="42" a="1"/>
  <c r="F243" i="42" s="1"/>
  <c r="F242" i="42" a="1"/>
  <c r="F242" i="42" s="1"/>
  <c r="F241" i="42" a="1"/>
  <c r="F241" i="42" s="1"/>
  <c r="F240" i="42" a="1"/>
  <c r="F240" i="42" s="1"/>
  <c r="F239" i="42" a="1"/>
  <c r="F239" i="42" s="1"/>
  <c r="F238" i="42" a="1"/>
  <c r="F238" i="42" s="1"/>
  <c r="F237" i="42" a="1"/>
  <c r="F237" i="42" s="1"/>
  <c r="F236" i="42" a="1"/>
  <c r="F236" i="42" s="1"/>
  <c r="F235" i="42" a="1"/>
  <c r="F235" i="42" s="1"/>
  <c r="F234" i="42" a="1"/>
  <c r="F234" i="42" s="1"/>
  <c r="F233" i="42" a="1"/>
  <c r="F233" i="42" s="1"/>
  <c r="F232" i="42" a="1"/>
  <c r="F232" i="42" s="1"/>
  <c r="F231" i="42" a="1"/>
  <c r="F231" i="42" s="1"/>
  <c r="F230" i="42" a="1"/>
  <c r="F230" i="42" s="1"/>
  <c r="F229" i="42" a="1"/>
  <c r="F229" i="42" s="1"/>
  <c r="F228" i="42" a="1"/>
  <c r="F228" i="42" s="1"/>
  <c r="F227" i="42" a="1"/>
  <c r="F227" i="42" s="1"/>
  <c r="F226" i="42" a="1"/>
  <c r="F226" i="42" s="1"/>
  <c r="F225" i="42" a="1"/>
  <c r="F225" i="42" s="1"/>
  <c r="F224" i="42" a="1"/>
  <c r="F224" i="42" s="1"/>
  <c r="F223" i="42" a="1"/>
  <c r="F223" i="42" s="1"/>
  <c r="F222" i="42" a="1"/>
  <c r="F222" i="42" s="1"/>
  <c r="F221" i="42" a="1"/>
  <c r="F221" i="42" s="1"/>
  <c r="F220" i="42" a="1"/>
  <c r="F220" i="42" s="1"/>
  <c r="F219" i="42" a="1"/>
  <c r="F219" i="42" s="1"/>
  <c r="F218" i="42" a="1"/>
  <c r="F218" i="42" s="1"/>
  <c r="F217" i="42" a="1"/>
  <c r="F217" i="42" s="1"/>
  <c r="F216" i="42" a="1"/>
  <c r="F216" i="42" s="1"/>
  <c r="F215" i="42" a="1"/>
  <c r="F215" i="42" s="1"/>
  <c r="F214" i="42" a="1"/>
  <c r="F214" i="42" s="1"/>
  <c r="F213" i="42" a="1"/>
  <c r="F213" i="42" s="1"/>
  <c r="F212" i="42" a="1"/>
  <c r="F212" i="42" s="1"/>
  <c r="F211" i="42" a="1"/>
  <c r="F211" i="42" s="1"/>
  <c r="F210" i="42" a="1"/>
  <c r="F210" i="42" s="1"/>
  <c r="F209" i="42" a="1"/>
  <c r="F209" i="42" s="1"/>
  <c r="F208" i="42" a="1"/>
  <c r="F208" i="42" s="1"/>
  <c r="F207" i="42" a="1"/>
  <c r="F207" i="42" s="1"/>
  <c r="F206" i="42" a="1"/>
  <c r="F206" i="42" s="1"/>
  <c r="F205" i="42" a="1"/>
  <c r="F205" i="42" s="1"/>
  <c r="F204" i="42" a="1"/>
  <c r="F204" i="42" s="1"/>
  <c r="F203" i="42" a="1"/>
  <c r="F203" i="42" s="1"/>
  <c r="F202" i="42" a="1"/>
  <c r="F202" i="42" s="1"/>
  <c r="F201" i="42" a="1"/>
  <c r="F201" i="42" s="1"/>
  <c r="F200" i="42" a="1"/>
  <c r="F200" i="42" s="1"/>
  <c r="F199" i="42" a="1"/>
  <c r="F199" i="42" s="1"/>
  <c r="F198" i="42" a="1"/>
  <c r="F198" i="42" s="1"/>
  <c r="F197" i="42" a="1"/>
  <c r="F197" i="42" s="1"/>
  <c r="F196" i="42" a="1"/>
  <c r="F196" i="42" s="1"/>
  <c r="F195" i="42" a="1"/>
  <c r="F195" i="42" s="1"/>
  <c r="F194" i="42" a="1"/>
  <c r="F194" i="42" s="1"/>
  <c r="F193" i="42" a="1"/>
  <c r="F193" i="42" s="1"/>
  <c r="F192" i="42" a="1"/>
  <c r="F192" i="42" s="1"/>
  <c r="F191" i="42" a="1"/>
  <c r="F191" i="42" s="1"/>
  <c r="F190" i="42" a="1"/>
  <c r="F190" i="42" s="1"/>
  <c r="F189" i="42" a="1"/>
  <c r="F189" i="42" s="1"/>
  <c r="F188" i="42" a="1"/>
  <c r="F188" i="42" s="1"/>
  <c r="F187" i="42" a="1"/>
  <c r="F187" i="42" s="1"/>
  <c r="F186" i="42" a="1"/>
  <c r="F186" i="42" s="1"/>
  <c r="F185" i="42" a="1"/>
  <c r="F185" i="42" s="1"/>
  <c r="F184" i="42" a="1"/>
  <c r="F184" i="42" s="1"/>
  <c r="F183" i="42" a="1"/>
  <c r="F183" i="42" s="1"/>
  <c r="F182" i="42" a="1"/>
  <c r="F182" i="42" s="1"/>
  <c r="F181" i="42" a="1"/>
  <c r="F181" i="42" s="1"/>
  <c r="F180" i="42" a="1"/>
  <c r="F180" i="42" s="1"/>
  <c r="F179" i="42" a="1"/>
  <c r="F179" i="42" s="1"/>
  <c r="F178" i="42" a="1"/>
  <c r="F178" i="42" s="1"/>
  <c r="F177" i="42" a="1"/>
  <c r="F177" i="42" s="1"/>
  <c r="F176" i="42" a="1"/>
  <c r="F176" i="42" s="1"/>
  <c r="F175" i="42" a="1"/>
  <c r="F175" i="42" s="1"/>
  <c r="F174" i="42" a="1"/>
  <c r="F174" i="42" s="1"/>
  <c r="F173" i="42" a="1"/>
  <c r="F173" i="42" s="1"/>
  <c r="F172" i="42" a="1"/>
  <c r="F172" i="42" s="1"/>
  <c r="F171" i="42" a="1"/>
  <c r="F171" i="42" s="1"/>
  <c r="F170" i="42" a="1"/>
  <c r="F170" i="42" s="1"/>
  <c r="F169" i="42" a="1"/>
  <c r="F169" i="42" s="1"/>
  <c r="F168" i="42" a="1"/>
  <c r="F168" i="42" s="1"/>
  <c r="F167" i="42" a="1"/>
  <c r="F167" i="42" s="1"/>
  <c r="F166" i="42" a="1"/>
  <c r="F166" i="42" s="1"/>
  <c r="F165" i="42" a="1"/>
  <c r="F165" i="42" s="1"/>
  <c r="F164" i="42" a="1"/>
  <c r="F164" i="42" s="1"/>
  <c r="F163" i="42" a="1"/>
  <c r="F163" i="42" s="1"/>
  <c r="F162" i="42" a="1"/>
  <c r="F162" i="42" s="1"/>
  <c r="F161" i="42" a="1"/>
  <c r="F161" i="42" s="1"/>
  <c r="F160" i="42" a="1"/>
  <c r="F160" i="42" s="1"/>
  <c r="F159" i="42" a="1"/>
  <c r="F159" i="42" s="1"/>
  <c r="F158" i="42" a="1"/>
  <c r="F158" i="42" s="1"/>
  <c r="F157" i="42" a="1"/>
  <c r="F157" i="42" s="1"/>
  <c r="F156" i="42" a="1"/>
  <c r="F156" i="42" s="1"/>
  <c r="F155" i="42" a="1"/>
  <c r="F155" i="42" s="1"/>
  <c r="F154" i="42" a="1"/>
  <c r="F154" i="42" s="1"/>
  <c r="F153" i="42" a="1"/>
  <c r="F153" i="42" s="1"/>
  <c r="F152" i="42" a="1"/>
  <c r="F152" i="42" s="1"/>
  <c r="F151" i="42" a="1"/>
  <c r="F151" i="42" s="1"/>
  <c r="F150" i="42" a="1"/>
  <c r="F150" i="42" s="1"/>
  <c r="F149" i="42" a="1"/>
  <c r="F149" i="42" s="1"/>
  <c r="F148" i="42" a="1"/>
  <c r="F148" i="42" s="1"/>
  <c r="F147" i="42" a="1"/>
  <c r="F147" i="42" s="1"/>
  <c r="F146" i="42" a="1"/>
  <c r="F146" i="42" s="1"/>
  <c r="F145" i="42" a="1"/>
  <c r="F145" i="42" s="1"/>
  <c r="F144" i="42" a="1"/>
  <c r="F144" i="42" s="1"/>
  <c r="F143" i="42" a="1"/>
  <c r="F143" i="42" s="1"/>
  <c r="F142" i="42" a="1"/>
  <c r="F142" i="42" s="1"/>
  <c r="F141" i="42" a="1"/>
  <c r="F141" i="42" s="1"/>
  <c r="F140" i="42" a="1"/>
  <c r="F140" i="42" s="1"/>
  <c r="F139" i="42" a="1"/>
  <c r="F139" i="42" s="1"/>
  <c r="F138" i="42" a="1"/>
  <c r="F138" i="42" s="1"/>
  <c r="F137" i="42" a="1"/>
  <c r="F137" i="42" s="1"/>
  <c r="F136" i="42" a="1"/>
  <c r="F136" i="42" s="1"/>
  <c r="F135" i="42" a="1"/>
  <c r="F135" i="42" s="1"/>
  <c r="F134" i="42" a="1"/>
  <c r="F134" i="42" s="1"/>
  <c r="F133" i="42" a="1"/>
  <c r="F133" i="42" s="1"/>
  <c r="F132" i="42" a="1"/>
  <c r="F132" i="42" s="1"/>
  <c r="F131" i="42" a="1"/>
  <c r="F131" i="42" s="1"/>
  <c r="F130" i="42" a="1"/>
  <c r="F130" i="42" s="1"/>
  <c r="F129" i="42" a="1"/>
  <c r="F129" i="42" s="1"/>
  <c r="F128" i="42" a="1"/>
  <c r="F128" i="42" s="1"/>
  <c r="F127" i="42" a="1"/>
  <c r="F127" i="42" s="1"/>
  <c r="F126" i="42" a="1"/>
  <c r="F126" i="42" s="1"/>
  <c r="F125" i="42" a="1"/>
  <c r="F125" i="42" s="1"/>
  <c r="F124" i="42" a="1"/>
  <c r="F124" i="42" s="1"/>
  <c r="F123" i="42" a="1"/>
  <c r="F123" i="42" s="1"/>
  <c r="F122" i="42" a="1"/>
  <c r="F122" i="42" s="1"/>
  <c r="F121" i="42" a="1"/>
  <c r="F121" i="42" s="1"/>
  <c r="F120" i="42" a="1"/>
  <c r="F120" i="42" s="1"/>
  <c r="F119" i="42" a="1"/>
  <c r="F119" i="42" s="1"/>
  <c r="F118" i="42" a="1"/>
  <c r="F118" i="42" s="1"/>
  <c r="F117" i="42" a="1"/>
  <c r="F117" i="42" s="1"/>
  <c r="F116" i="42" a="1"/>
  <c r="F116" i="42" s="1"/>
  <c r="F115" i="42" a="1"/>
  <c r="F115" i="42" s="1"/>
  <c r="F114" i="42" a="1"/>
  <c r="F114" i="42" s="1"/>
  <c r="F113" i="42" a="1"/>
  <c r="F113" i="42" s="1"/>
  <c r="F112" i="42" a="1"/>
  <c r="F112" i="42" s="1"/>
  <c r="F111" i="42" a="1"/>
  <c r="F111" i="42" s="1"/>
  <c r="F110" i="42" a="1"/>
  <c r="F110" i="42" s="1"/>
  <c r="F109" i="42" a="1"/>
  <c r="F109" i="42" s="1"/>
  <c r="F108" i="42" a="1"/>
  <c r="F108" i="42" s="1"/>
  <c r="F107" i="42" a="1"/>
  <c r="F107" i="42" s="1"/>
  <c r="F106" i="42" a="1"/>
  <c r="F106" i="42" s="1"/>
  <c r="F105" i="42" a="1"/>
  <c r="F105" i="42" s="1"/>
  <c r="F104" i="42" a="1"/>
  <c r="F104" i="42" s="1"/>
  <c r="F103" i="42" a="1"/>
  <c r="F103" i="42" s="1"/>
  <c r="F102" i="42" a="1"/>
  <c r="F102" i="42" s="1"/>
  <c r="F101" i="42" a="1"/>
  <c r="F101" i="42" s="1"/>
  <c r="F100" i="42" a="1"/>
  <c r="F100" i="42" s="1"/>
  <c r="F99" i="42" a="1"/>
  <c r="F99" i="42" s="1"/>
  <c r="F98" i="42" a="1"/>
  <c r="F98" i="42" s="1"/>
  <c r="F97" i="42" a="1"/>
  <c r="F97" i="42" s="1"/>
  <c r="F96" i="42" a="1"/>
  <c r="F96" i="42" s="1"/>
  <c r="F95" i="42" a="1"/>
  <c r="F95" i="42" s="1"/>
  <c r="F94" i="42" a="1"/>
  <c r="F94" i="42" s="1"/>
  <c r="F93" i="42" a="1"/>
  <c r="F93" i="42" s="1"/>
  <c r="F92" i="42" a="1"/>
  <c r="F92" i="42" s="1"/>
  <c r="F91" i="42" a="1"/>
  <c r="F91" i="42" s="1"/>
  <c r="F90" i="42" a="1"/>
  <c r="F90" i="42" s="1"/>
  <c r="F89" i="42" a="1"/>
  <c r="F89" i="42" s="1"/>
  <c r="F88" i="42" a="1"/>
  <c r="F88" i="42" s="1"/>
  <c r="F87" i="42" a="1"/>
  <c r="F87" i="42" s="1"/>
  <c r="F70" i="42" a="1"/>
  <c r="F70" i="42" s="1"/>
  <c r="F69" i="42" a="1"/>
  <c r="F69" i="42" s="1"/>
  <c r="F68" i="42" a="1"/>
  <c r="F68" i="42" s="1"/>
  <c r="F67" i="42" a="1"/>
  <c r="F67" i="42" s="1"/>
  <c r="F66" i="42" a="1"/>
  <c r="F66" i="42" s="1"/>
  <c r="F65" i="42" a="1"/>
  <c r="F65" i="42" s="1"/>
  <c r="F64" i="42" a="1"/>
  <c r="F64" i="42" s="1"/>
  <c r="F63" i="42" a="1"/>
  <c r="F63" i="42" s="1"/>
  <c r="F62" i="42" a="1"/>
  <c r="F62" i="42" s="1"/>
  <c r="F61" i="42" a="1"/>
  <c r="F61" i="42" s="1"/>
  <c r="F60" i="42" a="1"/>
  <c r="F60" i="42" s="1"/>
  <c r="F59" i="42" a="1"/>
  <c r="F59" i="42" s="1"/>
  <c r="F58" i="42" a="1"/>
  <c r="F58" i="42" s="1"/>
  <c r="F57" i="42" a="1"/>
  <c r="F57" i="42" s="1"/>
  <c r="F56" i="42" a="1"/>
  <c r="F56" i="42" s="1"/>
  <c r="F55" i="42" a="1"/>
  <c r="F55" i="42" s="1"/>
  <c r="F54" i="42" a="1"/>
  <c r="F54" i="42" s="1"/>
  <c r="F53" i="42" a="1"/>
  <c r="F53" i="42" s="1"/>
  <c r="F52" i="42" a="1"/>
  <c r="F52" i="42" s="1"/>
  <c r="F51" i="42" a="1"/>
  <c r="F51" i="42" s="1"/>
  <c r="F50" i="42" a="1"/>
  <c r="F50" i="42" s="1"/>
  <c r="F49" i="42" a="1"/>
  <c r="F49" i="42" s="1"/>
  <c r="F48" i="42" a="1"/>
  <c r="F48" i="42" s="1"/>
  <c r="F47" i="42" a="1"/>
  <c r="F47" i="42" s="1"/>
  <c r="F46" i="42" a="1"/>
  <c r="F46" i="42" s="1"/>
  <c r="F45" i="42" a="1"/>
  <c r="F45" i="42" s="1"/>
  <c r="F44" i="42" a="1"/>
  <c r="F44" i="42" s="1"/>
  <c r="F43" i="42" a="1"/>
  <c r="F43" i="42" s="1"/>
  <c r="F42" i="42" a="1"/>
  <c r="F42" i="42" s="1"/>
  <c r="F41" i="42" a="1"/>
  <c r="F41" i="42" s="1"/>
  <c r="F40" i="42" a="1"/>
  <c r="F40" i="42" s="1"/>
  <c r="F39" i="42" a="1"/>
  <c r="F39" i="42" s="1"/>
  <c r="F38" i="42" a="1"/>
  <c r="F38" i="42" s="1"/>
  <c r="F37" i="42" a="1"/>
  <c r="F37" i="42" s="1"/>
  <c r="F36" i="42" a="1"/>
  <c r="F36" i="42" s="1"/>
  <c r="F35" i="42" a="1"/>
  <c r="F35" i="42" s="1"/>
  <c r="F34" i="42" a="1"/>
  <c r="F34" i="42" s="1"/>
  <c r="F33" i="42" a="1"/>
  <c r="F33" i="42" s="1"/>
  <c r="F32" i="42" a="1"/>
  <c r="F32" i="42" s="1"/>
  <c r="F31" i="42" a="1"/>
  <c r="F31" i="42" s="1"/>
  <c r="F30" i="42" a="1"/>
  <c r="F30" i="42" s="1"/>
  <c r="F29" i="42" a="1"/>
  <c r="F29" i="42" s="1"/>
  <c r="F28" i="42" a="1"/>
  <c r="F28" i="42" s="1"/>
  <c r="F27" i="42" a="1"/>
  <c r="F27" i="42" s="1"/>
  <c r="F26" i="42" a="1"/>
  <c r="F26" i="42" s="1"/>
  <c r="F25" i="42" a="1"/>
  <c r="F25" i="42" s="1"/>
  <c r="F24" i="42" a="1"/>
  <c r="F24" i="42" s="1"/>
  <c r="F23" i="42" a="1"/>
  <c r="F23" i="42" s="1"/>
  <c r="F22" i="42" a="1"/>
  <c r="F22" i="42" s="1"/>
  <c r="F21" i="42" a="1"/>
  <c r="F21" i="42" s="1"/>
  <c r="F20" i="42" a="1"/>
  <c r="F20" i="42" s="1"/>
  <c r="F19" i="42" a="1"/>
  <c r="F19" i="42" s="1"/>
  <c r="F18" i="42" a="1"/>
  <c r="F18" i="42" s="1"/>
  <c r="F17" i="42" a="1"/>
  <c r="F17" i="42" s="1"/>
  <c r="F16" i="42" a="1"/>
  <c r="F16" i="42" s="1"/>
  <c r="F15" i="42" a="1"/>
  <c r="F15" i="42" s="1"/>
  <c r="F14" i="42" a="1"/>
  <c r="F14" i="42" s="1"/>
  <c r="F13" i="42" a="1"/>
  <c r="F13" i="42" s="1"/>
  <c r="F12" i="42" a="1"/>
  <c r="F12" i="42" s="1"/>
  <c r="F11" i="42" a="1"/>
  <c r="F11" i="42" s="1"/>
  <c r="F10" i="42" a="1"/>
  <c r="F10" i="42" s="1"/>
  <c r="F9" i="42" a="1"/>
  <c r="F9" i="42" s="1"/>
  <c r="F8" i="42" a="1"/>
  <c r="F8" i="42" s="1"/>
  <c r="F7" i="42" a="1"/>
  <c r="F7" i="42" s="1"/>
  <c r="F6" i="42" a="1"/>
  <c r="F6" i="42" s="1"/>
  <c r="F5" i="42" a="1"/>
  <c r="F5" i="42" s="1"/>
  <c r="F4" i="42" a="1"/>
  <c r="F4" i="42" s="1"/>
  <c r="F3" i="42" a="1"/>
  <c r="F3" i="42" s="1"/>
  <c r="I23" i="52"/>
  <c r="O15" i="42" l="1" a="1"/>
  <c r="O15" i="42" s="1"/>
  <c r="N20" i="42"/>
  <c r="M16" i="52" l="1" a="1"/>
  <c r="M16" i="52" s="1"/>
  <c r="M16" i="51" a="1"/>
  <c r="M16" i="51" s="1"/>
  <c r="N22" i="42"/>
  <c r="N18" i="42"/>
  <c r="N21" i="42"/>
  <c r="N19" i="42"/>
  <c r="S21" i="42"/>
  <c r="S20" i="42"/>
  <c r="S22" i="42"/>
  <c r="S19" i="42"/>
  <c r="R20" i="42" l="1"/>
  <c r="R21" i="42"/>
  <c r="L24" i="51"/>
  <c r="L21" i="52"/>
  <c r="L18" i="52"/>
  <c r="L23" i="52"/>
  <c r="L19" i="51"/>
  <c r="L22" i="51"/>
  <c r="L21" i="51"/>
  <c r="L23" i="51"/>
  <c r="L20" i="52"/>
  <c r="L18" i="51"/>
  <c r="L24" i="52"/>
  <c r="L22" i="52"/>
  <c r="L20" i="51"/>
  <c r="L19" i="52"/>
  <c r="I20" i="51" l="1"/>
  <c r="I22" i="51"/>
  <c r="I23" i="51"/>
  <c r="E13" i="51" a="1"/>
  <c r="E13" i="51" s="1"/>
  <c r="E18" i="51" a="1"/>
  <c r="E18" i="51" s="1"/>
  <c r="E23" i="51" a="1"/>
  <c r="E23" i="51" s="1"/>
  <c r="E27" i="51" a="1"/>
  <c r="E27" i="51" s="1"/>
  <c r="E32" i="51" a="1"/>
  <c r="E32" i="51" s="1"/>
  <c r="E37" i="51" a="1"/>
  <c r="E37" i="51" s="1"/>
  <c r="E41" i="51" a="1"/>
  <c r="E41" i="51" s="1"/>
  <c r="E47" i="51" a="1"/>
  <c r="E47" i="51" s="1"/>
  <c r="E51" i="51" a="1"/>
  <c r="E51" i="51" s="1"/>
  <c r="E56" i="51" a="1"/>
  <c r="E56" i="51" s="1"/>
  <c r="E63" i="51" a="1"/>
  <c r="E63" i="51" s="1"/>
  <c r="E69" i="51" a="1"/>
  <c r="E69" i="51" s="1"/>
  <c r="E72" i="51" a="1"/>
  <c r="E72" i="51" s="1"/>
  <c r="E76" i="51" a="1"/>
  <c r="E76" i="51" s="1"/>
  <c r="E79" i="51" a="1"/>
  <c r="E79" i="51" s="1"/>
  <c r="E92" i="51" a="1"/>
  <c r="E92" i="51" s="1"/>
  <c r="E97" i="51" a="1"/>
  <c r="E97" i="51" s="1"/>
  <c r="E123" i="51" a="1"/>
  <c r="E123" i="51" s="1"/>
  <c r="E130" i="51" a="1"/>
  <c r="E130" i="51" s="1"/>
  <c r="E135" i="51" a="1"/>
  <c r="E135" i="51" s="1"/>
  <c r="E142" i="51" a="1"/>
  <c r="E142" i="51" s="1"/>
  <c r="E149" i="51" a="1"/>
  <c r="E149" i="51" s="1"/>
  <c r="E170" i="51" a="1"/>
  <c r="E170" i="51" s="1"/>
  <c r="E180" i="51" a="1"/>
  <c r="E180" i="51" s="1"/>
  <c r="E187" i="51" a="1"/>
  <c r="E187" i="51" s="1"/>
  <c r="E193" i="51" a="1"/>
  <c r="E193" i="51" s="1"/>
  <c r="E199" i="51" a="1"/>
  <c r="E199" i="51" s="1"/>
  <c r="E203" i="51" a="1"/>
  <c r="E203" i="51" s="1"/>
  <c r="E212" i="51" a="1"/>
  <c r="E212" i="51" s="1"/>
  <c r="E219" i="51" a="1"/>
  <c r="E219" i="51" s="1"/>
  <c r="E225" i="51" a="1"/>
  <c r="E225" i="51" s="1"/>
  <c r="E229" i="51" a="1"/>
  <c r="E229" i="51" s="1"/>
  <c r="E232" i="51" a="1"/>
  <c r="E232" i="51" s="1"/>
  <c r="E236" i="51" a="1"/>
  <c r="E236" i="51" s="1"/>
  <c r="E240" i="51" a="1"/>
  <c r="E240" i="51" s="1"/>
  <c r="E252" i="51" a="1"/>
  <c r="E252" i="51" s="1"/>
  <c r="E256" i="51" a="1"/>
  <c r="E256" i="51" s="1"/>
  <c r="E264" i="51" a="1"/>
  <c r="E264" i="51" s="1"/>
  <c r="E279" i="51" a="1"/>
  <c r="E279" i="51" s="1"/>
  <c r="E283" i="51" a="1"/>
  <c r="E283" i="51" s="1"/>
  <c r="E288" i="51" a="1"/>
  <c r="E288" i="51" s="1"/>
  <c r="E295" i="51" a="1"/>
  <c r="E295" i="51" s="1"/>
  <c r="E303" i="51" a="1"/>
  <c r="E303" i="51" s="1"/>
  <c r="E305" i="51" a="1"/>
  <c r="E305" i="51" s="1"/>
  <c r="E312" i="51" a="1"/>
  <c r="E312" i="51" s="1"/>
  <c r="E316" i="51" a="1"/>
  <c r="E316" i="51" s="1"/>
  <c r="E323" i="51" a="1"/>
  <c r="E323" i="51" s="1"/>
  <c r="E329" i="51" a="1"/>
  <c r="E329" i="51" s="1"/>
  <c r="E333" i="51" a="1"/>
  <c r="E333" i="51" s="1"/>
  <c r="E343" i="51" a="1"/>
  <c r="E343" i="51" s="1"/>
  <c r="E353" i="51" a="1"/>
  <c r="E353" i="51" s="1"/>
  <c r="E360" i="51" a="1"/>
  <c r="E360" i="51" s="1"/>
  <c r="E365" i="51" a="1"/>
  <c r="E365" i="51" s="1"/>
  <c r="E374" i="51" a="1"/>
  <c r="E374" i="51" s="1"/>
  <c r="E378" i="51" a="1"/>
  <c r="E378" i="51" s="1"/>
  <c r="E382" i="51" a="1"/>
  <c r="E382" i="51" s="1"/>
  <c r="E397" i="51" a="1"/>
  <c r="E397" i="51" s="1"/>
  <c r="E402" i="51" a="1"/>
  <c r="E402" i="51" s="1"/>
  <c r="E406" i="51" a="1"/>
  <c r="E406" i="51" s="1"/>
  <c r="E416" i="51" a="1"/>
  <c r="E416" i="51" s="1"/>
  <c r="E421" i="51" a="1"/>
  <c r="E421" i="51" s="1"/>
  <c r="E425" i="51" a="1"/>
  <c r="E425" i="51" s="1"/>
  <c r="E431" i="51" a="1"/>
  <c r="E431" i="51" s="1"/>
  <c r="E443" i="51" a="1"/>
  <c r="E443" i="51" s="1"/>
  <c r="E448" i="51" a="1"/>
  <c r="E448" i="51" s="1"/>
  <c r="E451" i="51" a="1"/>
  <c r="E451" i="51" s="1"/>
  <c r="E455" i="51" a="1"/>
  <c r="E455" i="51" s="1"/>
  <c r="E459" i="51" a="1"/>
  <c r="E459" i="51" s="1"/>
  <c r="E463" i="51" a="1"/>
  <c r="E463" i="51" s="1"/>
  <c r="E470" i="51" a="1"/>
  <c r="E470" i="51" s="1"/>
  <c r="E474" i="51" a="1"/>
  <c r="E474" i="51" s="1"/>
  <c r="E481" i="51" a="1"/>
  <c r="E481" i="51" s="1"/>
  <c r="E485" i="51" a="1"/>
  <c r="E485" i="51" s="1"/>
  <c r="E494" i="51" a="1"/>
  <c r="E494" i="51" s="1"/>
  <c r="E498" i="51" a="1"/>
  <c r="E498" i="51" s="1"/>
  <c r="E502" i="51" a="1"/>
  <c r="E502" i="51" s="1"/>
  <c r="E511" i="51" a="1"/>
  <c r="E511" i="51" s="1"/>
  <c r="E515" i="51" a="1"/>
  <c r="E515" i="51" s="1"/>
  <c r="E519" i="51" a="1"/>
  <c r="E519" i="51" s="1"/>
  <c r="E526" i="51" a="1"/>
  <c r="E526" i="51" s="1"/>
  <c r="E529" i="51" a="1"/>
  <c r="E529" i="51" s="1"/>
  <c r="E535" i="51" a="1"/>
  <c r="E535" i="51" s="1"/>
  <c r="E543" i="51" a="1"/>
  <c r="E543" i="51" s="1"/>
  <c r="E550" i="51" a="1"/>
  <c r="E550" i="51" s="1"/>
  <c r="E555" i="51" a="1"/>
  <c r="E555" i="51" s="1"/>
  <c r="E566" i="51" a="1"/>
  <c r="E566" i="51" s="1"/>
  <c r="E571" i="51" a="1"/>
  <c r="E571" i="51" s="1"/>
  <c r="E581" i="51" a="1"/>
  <c r="E581" i="51" s="1"/>
  <c r="E586" i="51" a="1"/>
  <c r="E586" i="51" s="1"/>
  <c r="E592" i="51" a="1"/>
  <c r="E592" i="51" s="1"/>
  <c r="E603" i="51" a="1"/>
  <c r="E603" i="51" s="1"/>
  <c r="E611" i="51" a="1"/>
  <c r="E611" i="51" s="1"/>
  <c r="E622" i="51" a="1"/>
  <c r="E622" i="51" s="1"/>
  <c r="E626" i="51" a="1"/>
  <c r="E626" i="51" s="1"/>
  <c r="E633" i="51" a="1"/>
  <c r="E633" i="51" s="1"/>
  <c r="E640" i="51" a="1"/>
  <c r="E640" i="51" s="1"/>
  <c r="E645" i="51" a="1"/>
  <c r="E645" i="51" s="1"/>
  <c r="E650" i="51" a="1"/>
  <c r="E650" i="51" s="1"/>
  <c r="E658" i="51" a="1"/>
  <c r="E658" i="51" s="1"/>
  <c r="E664" i="51" a="1"/>
  <c r="E664" i="51" s="1"/>
  <c r="E670" i="51" a="1"/>
  <c r="E670" i="51" s="1"/>
  <c r="E682" i="51" a="1"/>
  <c r="E682" i="51" s="1"/>
  <c r="E712" i="51" a="1"/>
  <c r="E712" i="51" s="1"/>
  <c r="E720" i="51" a="1"/>
  <c r="E720" i="51" s="1"/>
  <c r="E723" i="51" a="1"/>
  <c r="E723" i="51" s="1"/>
  <c r="E727" i="51" a="1"/>
  <c r="E727" i="51" s="1"/>
  <c r="E731" i="51" a="1"/>
  <c r="E731" i="51" s="1"/>
  <c r="E735" i="51" a="1"/>
  <c r="E735" i="51" s="1"/>
  <c r="E740" i="51" a="1"/>
  <c r="E740" i="51" s="1"/>
  <c r="E745" i="51" a="1"/>
  <c r="E745" i="51" s="1"/>
  <c r="E748" i="51" a="1"/>
  <c r="E748" i="51" s="1"/>
  <c r="E756" i="51" a="1"/>
  <c r="E756" i="51" s="1"/>
  <c r="E759" i="51" a="1"/>
  <c r="E759" i="51" s="1"/>
  <c r="E765" i="51" a="1"/>
  <c r="E765" i="51" s="1"/>
  <c r="E770" i="51" a="1"/>
  <c r="E770" i="51" s="1"/>
  <c r="E775" i="51" a="1"/>
  <c r="E775" i="51" s="1"/>
  <c r="E783" i="51" a="1"/>
  <c r="E783" i="51" s="1"/>
  <c r="E788" i="51" a="1"/>
  <c r="E788" i="51" s="1"/>
  <c r="E799" i="51" a="1"/>
  <c r="E799" i="51" s="1"/>
  <c r="E806" i="51" a="1"/>
  <c r="E806" i="51" s="1"/>
  <c r="E815" i="51" a="1"/>
  <c r="E815" i="51" s="1"/>
  <c r="E823" i="51" a="1"/>
  <c r="E823" i="51" s="1"/>
  <c r="E827" i="51" a="1"/>
  <c r="E827" i="51" s="1"/>
  <c r="E834" i="51" a="1"/>
  <c r="E834" i="51" s="1"/>
  <c r="E840" i="51" a="1"/>
  <c r="E840" i="51" s="1"/>
  <c r="E848" i="51" a="1"/>
  <c r="E848" i="51" s="1"/>
  <c r="E851" i="51" a="1"/>
  <c r="E851" i="51" s="1"/>
  <c r="E859" i="51" a="1"/>
  <c r="E859" i="51" s="1"/>
  <c r="E870" i="51" a="1"/>
  <c r="E870" i="51" s="1"/>
  <c r="E874" i="51" a="1"/>
  <c r="E874" i="51" s="1"/>
  <c r="E879" i="51" a="1"/>
  <c r="E879" i="51" s="1"/>
  <c r="E885" i="51" a="1"/>
  <c r="E885" i="51" s="1"/>
  <c r="E890" i="51" a="1"/>
  <c r="E890" i="51" s="1"/>
  <c r="E895" i="51" a="1"/>
  <c r="E895" i="51" s="1"/>
  <c r="E902" i="51" a="1"/>
  <c r="E902" i="51" s="1"/>
  <c r="E910" i="51" a="1"/>
  <c r="E910" i="51" s="1"/>
  <c r="E916" i="51" a="1"/>
  <c r="E916" i="51" s="1"/>
  <c r="E920" i="51" a="1"/>
  <c r="E920" i="51" s="1"/>
  <c r="E927" i="51" a="1"/>
  <c r="E927" i="51" s="1"/>
  <c r="E932" i="51" a="1"/>
  <c r="E932" i="51" s="1"/>
  <c r="E935" i="51" a="1"/>
  <c r="E935" i="51" s="1"/>
  <c r="E944" i="51" a="1"/>
  <c r="E944" i="51" s="1"/>
  <c r="E949" i="51" a="1"/>
  <c r="E949" i="51" s="1"/>
  <c r="E954" i="51" a="1"/>
  <c r="E954" i="51" s="1"/>
  <c r="E958" i="51" a="1"/>
  <c r="E958" i="51" s="1"/>
  <c r="E966" i="51" a="1"/>
  <c r="E966" i="51" s="1"/>
  <c r="E971" i="51" a="1"/>
  <c r="E971" i="51" s="1"/>
  <c r="E975" i="51" a="1"/>
  <c r="E975" i="51" s="1"/>
  <c r="E979" i="51" a="1"/>
  <c r="E979" i="51" s="1"/>
  <c r="E989" i="51" a="1"/>
  <c r="E989" i="51" s="1"/>
  <c r="E995" i="51" a="1"/>
  <c r="E995" i="51" s="1"/>
  <c r="E1001" i="51" a="1"/>
  <c r="E1001" i="51" s="1"/>
  <c r="E1011" i="51" a="1"/>
  <c r="E1011" i="51" s="1"/>
  <c r="E1015" i="51" a="1"/>
  <c r="E1015" i="51" s="1"/>
  <c r="E1021" i="51" a="1"/>
  <c r="E1021" i="51" s="1"/>
  <c r="E1027" i="51" a="1"/>
  <c r="E1027" i="51" s="1"/>
  <c r="E1036" i="51" a="1"/>
  <c r="E1036" i="51" s="1"/>
  <c r="E1040" i="51" a="1"/>
  <c r="E1040" i="51" s="1"/>
  <c r="E1044" i="51" a="1"/>
  <c r="E1044" i="51" s="1"/>
  <c r="E1050" i="51" a="1"/>
  <c r="E1050" i="51" s="1"/>
  <c r="E1059" i="51" a="1"/>
  <c r="E1059" i="51" s="1"/>
  <c r="E1064" i="51" a="1"/>
  <c r="E1064" i="51" s="1"/>
  <c r="E1069" i="51" a="1"/>
  <c r="E1069" i="51" s="1"/>
  <c r="E1073" i="51" a="1"/>
  <c r="E1073" i="51" s="1"/>
  <c r="E1079" i="51" a="1"/>
  <c r="E1079" i="51" s="1"/>
  <c r="E1086" i="51" a="1"/>
  <c r="E1086" i="51" s="1"/>
  <c r="E1089" i="51" a="1"/>
  <c r="E1089" i="51" s="1"/>
  <c r="E1094" i="51" a="1"/>
  <c r="E1094" i="51" s="1"/>
  <c r="E1102" i="51" a="1"/>
  <c r="E1102" i="51" s="1"/>
  <c r="E1105" i="51" a="1"/>
  <c r="E1105" i="51" s="1"/>
  <c r="E1108" i="51" a="1"/>
  <c r="E1108" i="51" s="1"/>
  <c r="E1116" i="51" a="1"/>
  <c r="E1116" i="51" s="1"/>
  <c r="E1120" i="51" a="1"/>
  <c r="E1120" i="51" s="1"/>
  <c r="E1123" i="51" a="1"/>
  <c r="E1123" i="51" s="1"/>
  <c r="E1127" i="51" a="1"/>
  <c r="E1127" i="51" s="1"/>
  <c r="E1132" i="51" a="1"/>
  <c r="E1132" i="51" s="1"/>
  <c r="E1140" i="51" a="1"/>
  <c r="E1140" i="51" s="1"/>
  <c r="E1144" i="51" a="1"/>
  <c r="E1144" i="51" s="1"/>
  <c r="E1149" i="51" a="1"/>
  <c r="E1149" i="51" s="1"/>
  <c r="E1153" i="51" a="1"/>
  <c r="E1153" i="51" s="1"/>
  <c r="E1159" i="51" a="1"/>
  <c r="E1159" i="51" s="1"/>
  <c r="E1164" i="51" a="1"/>
  <c r="E1164" i="51" s="1"/>
  <c r="E1167" i="51" a="1"/>
  <c r="E1167" i="51" s="1"/>
  <c r="E1171" i="51" a="1"/>
  <c r="E1171" i="51" s="1"/>
  <c r="E1177" i="51" a="1"/>
  <c r="E1177" i="51" s="1"/>
  <c r="E1181" i="51" a="1"/>
  <c r="E1181" i="51" s="1"/>
  <c r="E1187" i="51" a="1"/>
  <c r="E1187" i="51" s="1"/>
  <c r="E1212" i="51" a="1"/>
  <c r="E1212" i="51" s="1"/>
  <c r="E5" i="51" a="1"/>
  <c r="E5" i="51" s="1"/>
  <c r="E9" i="51" a="1"/>
  <c r="E9" i="51" s="1"/>
  <c r="E14" i="51" a="1"/>
  <c r="E14" i="51" s="1"/>
  <c r="E17" i="51" a="1"/>
  <c r="E17" i="51" s="1"/>
  <c r="E21" i="51" a="1"/>
  <c r="E21" i="51" s="1"/>
  <c r="E28" i="51" a="1"/>
  <c r="E28" i="51" s="1"/>
  <c r="E34" i="51" a="1"/>
  <c r="E34" i="51" s="1"/>
  <c r="E43" i="51" a="1"/>
  <c r="E43" i="51" s="1"/>
  <c r="E52" i="51" a="1"/>
  <c r="E52" i="51" s="1"/>
  <c r="E60" i="51" a="1"/>
  <c r="E60" i="51" s="1"/>
  <c r="E70" i="51" a="1"/>
  <c r="E70" i="51" s="1"/>
  <c r="E91" i="51" a="1"/>
  <c r="E91" i="51" s="1"/>
  <c r="E99" i="51" a="1"/>
  <c r="E99" i="51" s="1"/>
  <c r="E108" i="51" a="1"/>
  <c r="E108" i="51" s="1"/>
  <c r="E113" i="51" a="1"/>
  <c r="E113" i="51" s="1"/>
  <c r="E120" i="51" a="1"/>
  <c r="E120" i="51" s="1"/>
  <c r="E131" i="51" a="1"/>
  <c r="E131" i="51" s="1"/>
  <c r="E138" i="51" a="1"/>
  <c r="E138" i="51" s="1"/>
  <c r="E145" i="51" a="1"/>
  <c r="E145" i="51" s="1"/>
  <c r="E150" i="51" a="1"/>
  <c r="E150" i="51" s="1"/>
  <c r="E153" i="51" a="1"/>
  <c r="E153" i="51" s="1"/>
  <c r="E156" i="51" a="1"/>
  <c r="E156" i="51" s="1"/>
  <c r="E162" i="51" a="1"/>
  <c r="E162" i="51" s="1"/>
  <c r="E174" i="51" a="1"/>
  <c r="E174" i="51" s="1"/>
  <c r="E181" i="51" a="1"/>
  <c r="E181" i="51" s="1"/>
  <c r="E186" i="51" a="1"/>
  <c r="E186" i="51" s="1"/>
  <c r="E190" i="51" a="1"/>
  <c r="E190" i="51" s="1"/>
  <c r="E195" i="51" a="1"/>
  <c r="E195" i="51" s="1"/>
  <c r="E200" i="51" a="1"/>
  <c r="E200" i="51" s="1"/>
  <c r="E206" i="51" a="1"/>
  <c r="E206" i="51" s="1"/>
  <c r="E209" i="51" a="1"/>
  <c r="E209" i="51" s="1"/>
  <c r="E216" i="51" a="1"/>
  <c r="E216" i="51" s="1"/>
  <c r="E223" i="51" a="1"/>
  <c r="E223" i="51" s="1"/>
  <c r="E227" i="51" a="1"/>
  <c r="E227" i="51" s="1"/>
  <c r="E239" i="51" a="1"/>
  <c r="E239" i="51" s="1"/>
  <c r="E246" i="51" a="1"/>
  <c r="E246" i="51" s="1"/>
  <c r="E257" i="51" a="1"/>
  <c r="E257" i="51" s="1"/>
  <c r="E260" i="51" a="1"/>
  <c r="E260" i="51" s="1"/>
  <c r="E266" i="51" a="1"/>
  <c r="E266" i="51" s="1"/>
  <c r="E272" i="51" a="1"/>
  <c r="E272" i="51" s="1"/>
  <c r="E278" i="51" a="1"/>
  <c r="E278" i="51" s="1"/>
  <c r="E287" i="51" a="1"/>
  <c r="E287" i="51" s="1"/>
  <c r="E294" i="51" a="1"/>
  <c r="E294" i="51" s="1"/>
  <c r="E300" i="51" a="1"/>
  <c r="E300" i="51" s="1"/>
  <c r="E304" i="51" a="1"/>
  <c r="E304" i="51" s="1"/>
  <c r="E319" i="51" a="1"/>
  <c r="E319" i="51" s="1"/>
  <c r="E325" i="51" a="1"/>
  <c r="E325" i="51" s="1"/>
  <c r="E336" i="51" a="1"/>
  <c r="E336" i="51" s="1"/>
  <c r="E340" i="51" a="1"/>
  <c r="E340" i="51" s="1"/>
  <c r="E347" i="51" a="1"/>
  <c r="E347" i="51" s="1"/>
  <c r="E356" i="51" a="1"/>
  <c r="E356" i="51" s="1"/>
  <c r="E363" i="51" a="1"/>
  <c r="E363" i="51" s="1"/>
  <c r="E384" i="51" a="1"/>
  <c r="E384" i="51" s="1"/>
  <c r="E388" i="51" a="1"/>
  <c r="E388" i="51" s="1"/>
  <c r="E391" i="51" a="1"/>
  <c r="E391" i="51" s="1"/>
  <c r="E399" i="51" a="1"/>
  <c r="E399" i="51" s="1"/>
  <c r="E407" i="51" a="1"/>
  <c r="E407" i="51" s="1"/>
  <c r="E417" i="51" a="1"/>
  <c r="E417" i="51" s="1"/>
  <c r="E422" i="51" a="1"/>
  <c r="E422" i="51" s="1"/>
  <c r="E430" i="51" a="1"/>
  <c r="E430" i="51" s="1"/>
  <c r="E433" i="51" a="1"/>
  <c r="E433" i="51" s="1"/>
  <c r="E437" i="51" a="1"/>
  <c r="E437" i="51" s="1"/>
  <c r="E441" i="51" a="1"/>
  <c r="E441" i="51" s="1"/>
  <c r="E446" i="51" a="1"/>
  <c r="E446" i="51" s="1"/>
  <c r="E450" i="51" a="1"/>
  <c r="E450" i="51" s="1"/>
  <c r="E454" i="51" a="1"/>
  <c r="E454" i="51" s="1"/>
  <c r="E458" i="51" a="1"/>
  <c r="E458" i="51" s="1"/>
  <c r="E462" i="51" a="1"/>
  <c r="E462" i="51" s="1"/>
  <c r="E465" i="51" a="1"/>
  <c r="E465" i="51" s="1"/>
  <c r="E471" i="51" a="1"/>
  <c r="E471" i="51" s="1"/>
  <c r="E476" i="51" a="1"/>
  <c r="E476" i="51" s="1"/>
  <c r="E484" i="51" a="1"/>
  <c r="E484" i="51" s="1"/>
  <c r="E490" i="51" a="1"/>
  <c r="E490" i="51" s="1"/>
  <c r="E496" i="51" a="1"/>
  <c r="E496" i="51" s="1"/>
  <c r="E534" i="51" a="1"/>
  <c r="E534" i="51" s="1"/>
  <c r="E538" i="51" a="1"/>
  <c r="E538" i="51" s="1"/>
  <c r="E542" i="51" a="1"/>
  <c r="E542" i="51" s="1"/>
  <c r="E548" i="51" a="1"/>
  <c r="E548" i="51" s="1"/>
  <c r="E557" i="51" a="1"/>
  <c r="E557" i="51" s="1"/>
  <c r="E562" i="51" a="1"/>
  <c r="E562" i="51" s="1"/>
  <c r="E573" i="51" a="1"/>
  <c r="E573" i="51" s="1"/>
  <c r="E579" i="51" a="1"/>
  <c r="E579" i="51" s="1"/>
  <c r="E589" i="51" a="1"/>
  <c r="E589" i="51" s="1"/>
  <c r="E593" i="51" a="1"/>
  <c r="E593" i="51" s="1"/>
  <c r="E596" i="51" a="1"/>
  <c r="E596" i="51" s="1"/>
  <c r="E602" i="51" a="1"/>
  <c r="E602" i="51" s="1"/>
  <c r="E607" i="51" a="1"/>
  <c r="E607" i="51" s="1"/>
  <c r="E617" i="51" a="1"/>
  <c r="E617" i="51" s="1"/>
  <c r="E623" i="51" a="1"/>
  <c r="E623" i="51" s="1"/>
  <c r="E629" i="51" a="1"/>
  <c r="E629" i="51" s="1"/>
  <c r="E636" i="51" a="1"/>
  <c r="E636" i="51" s="1"/>
  <c r="E641" i="51" a="1"/>
  <c r="E641" i="51" s="1"/>
  <c r="E651" i="51" a="1"/>
  <c r="E651" i="51" s="1"/>
  <c r="E659" i="51" a="1"/>
  <c r="E659" i="51" s="1"/>
  <c r="E669" i="51" a="1"/>
  <c r="E669" i="51" s="1"/>
  <c r="E689" i="51" a="1"/>
  <c r="E689" i="51" s="1"/>
  <c r="E697" i="51" a="1"/>
  <c r="E697" i="51" s="1"/>
  <c r="E702" i="51" a="1"/>
  <c r="E702" i="51" s="1"/>
  <c r="E707" i="51" a="1"/>
  <c r="E707" i="51" s="1"/>
  <c r="E724" i="51" a="1"/>
  <c r="E724" i="51" s="1"/>
  <c r="E729" i="51" a="1"/>
  <c r="E729" i="51" s="1"/>
  <c r="E733" i="51" a="1"/>
  <c r="E733" i="51" s="1"/>
  <c r="E743" i="51" a="1"/>
  <c r="E743" i="51" s="1"/>
  <c r="E761" i="51" a="1"/>
  <c r="E761" i="51" s="1"/>
  <c r="E767" i="51" a="1"/>
  <c r="E767" i="51" s="1"/>
  <c r="E774" i="51" a="1"/>
  <c r="E774" i="51" s="1"/>
  <c r="E797" i="51" a="1"/>
  <c r="E797" i="51" s="1"/>
  <c r="E814" i="51" a="1"/>
  <c r="E814" i="51" s="1"/>
  <c r="E819" i="51" a="1"/>
  <c r="E819" i="51" s="1"/>
  <c r="E824" i="51" a="1"/>
  <c r="E824" i="51" s="1"/>
  <c r="E836" i="51" a="1"/>
  <c r="E836" i="51" s="1"/>
  <c r="E839" i="51" a="1"/>
  <c r="E839" i="51" s="1"/>
  <c r="E842" i="51" a="1"/>
  <c r="E842" i="51" s="1"/>
  <c r="E852" i="51" a="1"/>
  <c r="E852" i="51" s="1"/>
  <c r="E863" i="51" a="1"/>
  <c r="E863" i="51" s="1"/>
  <c r="E868" i="51" a="1"/>
  <c r="E868" i="51" s="1"/>
  <c r="E882" i="51" a="1"/>
  <c r="E882" i="51" s="1"/>
  <c r="E887" i="51" a="1"/>
  <c r="E887" i="51" s="1"/>
  <c r="E896" i="51" a="1"/>
  <c r="E896" i="51" s="1"/>
  <c r="E899" i="51" a="1"/>
  <c r="E899" i="51" s="1"/>
  <c r="E904" i="51" a="1"/>
  <c r="E904" i="51" s="1"/>
  <c r="E909" i="51" a="1"/>
  <c r="E909" i="51" s="1"/>
  <c r="E913" i="51" a="1"/>
  <c r="E913" i="51" s="1"/>
  <c r="E928" i="51" a="1"/>
  <c r="E928" i="51" s="1"/>
  <c r="E937" i="51" a="1"/>
  <c r="E937" i="51" s="1"/>
  <c r="E943" i="51" a="1"/>
  <c r="E943" i="51" s="1"/>
  <c r="E951" i="51" a="1"/>
  <c r="E951" i="51" s="1"/>
  <c r="E962" i="51" a="1"/>
  <c r="E962" i="51" s="1"/>
  <c r="E980" i="51" a="1"/>
  <c r="E980" i="51" s="1"/>
  <c r="E986" i="51" a="1"/>
  <c r="E986" i="51" s="1"/>
  <c r="E993" i="51" a="1"/>
  <c r="E993" i="51" s="1"/>
  <c r="E998" i="51" a="1"/>
  <c r="E998" i="51" s="1"/>
  <c r="E1003" i="51" a="1"/>
  <c r="E1003" i="51" s="1"/>
  <c r="E1006" i="51" a="1"/>
  <c r="E1006" i="51" s="1"/>
  <c r="E1012" i="51" a="1"/>
  <c r="E1012" i="51" s="1"/>
  <c r="E1020" i="51" a="1"/>
  <c r="E1020" i="51" s="1"/>
  <c r="E1031" i="51" a="1"/>
  <c r="E1031" i="51" s="1"/>
  <c r="E1046" i="51" a="1"/>
  <c r="E1046" i="51" s="1"/>
  <c r="E1051" i="51" a="1"/>
  <c r="E1051" i="51" s="1"/>
  <c r="E1061" i="51" a="1"/>
  <c r="E1061" i="51" s="1"/>
  <c r="E1072" i="51" a="1"/>
  <c r="E1072" i="51" s="1"/>
  <c r="E1077" i="51" a="1"/>
  <c r="E1077" i="51" s="1"/>
  <c r="E1085" i="51" a="1"/>
  <c r="E1085" i="51" s="1"/>
  <c r="E1090" i="51" a="1"/>
  <c r="E1090" i="51" s="1"/>
  <c r="E1095" i="51" a="1"/>
  <c r="E1095" i="51" s="1"/>
  <c r="E1104" i="51" a="1"/>
  <c r="E1104" i="51" s="1"/>
  <c r="E1112" i="51" a="1"/>
  <c r="E1112" i="51" s="1"/>
  <c r="E1121" i="51" a="1"/>
  <c r="E1121" i="51" s="1"/>
  <c r="E1128" i="51" a="1"/>
  <c r="E1128" i="51" s="1"/>
  <c r="E1135" i="51" a="1"/>
  <c r="E1135" i="51" s="1"/>
  <c r="E1141" i="51" a="1"/>
  <c r="E1141" i="51" s="1"/>
  <c r="E1150" i="51" a="1"/>
  <c r="E1150" i="51" s="1"/>
  <c r="E1155" i="51" a="1"/>
  <c r="E1155" i="51" s="1"/>
  <c r="E1160" i="51" a="1"/>
  <c r="E1160" i="51" s="1"/>
  <c r="E1165" i="51" a="1"/>
  <c r="E1165" i="51" s="1"/>
  <c r="E1170" i="51" a="1"/>
  <c r="E1170" i="51" s="1"/>
  <c r="E1174" i="51" a="1"/>
  <c r="E1174" i="51" s="1"/>
  <c r="E1178" i="51" a="1"/>
  <c r="E1178" i="51" s="1"/>
  <c r="E1185" i="51" a="1"/>
  <c r="E1185" i="51" s="1"/>
  <c r="E1206" i="51" a="1"/>
  <c r="E1206" i="51" s="1"/>
  <c r="E6" i="51" a="1"/>
  <c r="E6" i="51" s="1"/>
  <c r="E10" i="51" a="1"/>
  <c r="E10" i="51" s="1"/>
  <c r="E25" i="51" a="1"/>
  <c r="E25" i="51" s="1"/>
  <c r="E36" i="51" a="1"/>
  <c r="E36" i="51" s="1"/>
  <c r="E44" i="51" a="1"/>
  <c r="E44" i="51" s="1"/>
  <c r="E49" i="51" a="1"/>
  <c r="E49" i="51" s="1"/>
  <c r="E55" i="51" a="1"/>
  <c r="E55" i="51" s="1"/>
  <c r="E65" i="51" a="1"/>
  <c r="E65" i="51" s="1"/>
  <c r="E73" i="51" a="1"/>
  <c r="E73" i="51" s="1"/>
  <c r="E78" i="51" a="1"/>
  <c r="E78" i="51" s="1"/>
  <c r="E83" i="51" a="1"/>
  <c r="E83" i="51" s="1"/>
  <c r="E88" i="51" a="1"/>
  <c r="E88" i="51" s="1"/>
  <c r="E94" i="51" a="1"/>
  <c r="E94" i="51" s="1"/>
  <c r="E105" i="51" a="1"/>
  <c r="E105" i="51" s="1"/>
  <c r="E109" i="51" a="1"/>
  <c r="E109" i="51" s="1"/>
  <c r="E116" i="51" a="1"/>
  <c r="E116" i="51" s="1"/>
  <c r="E127" i="51" a="1"/>
  <c r="E127" i="51" s="1"/>
  <c r="E133" i="51" a="1"/>
  <c r="E133" i="51" s="1"/>
  <c r="E136" i="51" a="1"/>
  <c r="E136" i="51" s="1"/>
  <c r="E139" i="51" a="1"/>
  <c r="E139" i="51" s="1"/>
  <c r="E144" i="51" a="1"/>
  <c r="E144" i="51" s="1"/>
  <c r="E155" i="51" a="1"/>
  <c r="E155" i="51" s="1"/>
  <c r="E159" i="51" a="1"/>
  <c r="E159" i="51" s="1"/>
  <c r="E166" i="51" a="1"/>
  <c r="E166" i="51" s="1"/>
  <c r="E175" i="51" a="1"/>
  <c r="E175" i="51" s="1"/>
  <c r="E178" i="51" a="1"/>
  <c r="E178" i="51" s="1"/>
  <c r="E185" i="51" a="1"/>
  <c r="E185" i="51" s="1"/>
  <c r="E189" i="51" a="1"/>
  <c r="E189" i="51" s="1"/>
  <c r="E196" i="51" a="1"/>
  <c r="E196" i="51" s="1"/>
  <c r="E204" i="51" a="1"/>
  <c r="E204" i="51" s="1"/>
  <c r="E215" i="51" a="1"/>
  <c r="E215" i="51" s="1"/>
  <c r="E220" i="51" a="1"/>
  <c r="E220" i="51" s="1"/>
  <c r="E228" i="51" a="1"/>
  <c r="E228" i="51" s="1"/>
  <c r="E233" i="51" a="1"/>
  <c r="E233" i="51" s="1"/>
  <c r="E238" i="51" a="1"/>
  <c r="E238" i="51" s="1"/>
  <c r="E245" i="51" a="1"/>
  <c r="E245" i="51" s="1"/>
  <c r="E253" i="51" a="1"/>
  <c r="E253" i="51" s="1"/>
  <c r="E262" i="51" a="1"/>
  <c r="E262" i="51" s="1"/>
  <c r="E268" i="51" a="1"/>
  <c r="E268" i="51" s="1"/>
  <c r="E280" i="51" a="1"/>
  <c r="E280" i="51" s="1"/>
  <c r="E284" i="51" a="1"/>
  <c r="E284" i="51" s="1"/>
  <c r="E290" i="51" a="1"/>
  <c r="E290" i="51" s="1"/>
  <c r="E297" i="51" a="1"/>
  <c r="E297" i="51" s="1"/>
  <c r="E309" i="51" a="1"/>
  <c r="E309" i="51" s="1"/>
  <c r="E324" i="51" a="1"/>
  <c r="E324" i="51" s="1"/>
  <c r="E338" i="51" a="1"/>
  <c r="E338" i="51" s="1"/>
  <c r="E342" i="51" a="1"/>
  <c r="E342" i="51" s="1"/>
  <c r="E351" i="51" a="1"/>
  <c r="E351" i="51" s="1"/>
  <c r="E357" i="51" a="1"/>
  <c r="E357" i="51" s="1"/>
  <c r="E367" i="51" a="1"/>
  <c r="E367" i="51" s="1"/>
  <c r="E370" i="51" a="1"/>
  <c r="E370" i="51" s="1"/>
  <c r="E381" i="51" a="1"/>
  <c r="E381" i="51" s="1"/>
  <c r="E392" i="51" a="1"/>
  <c r="E392" i="51" s="1"/>
  <c r="E396" i="51" a="1"/>
  <c r="E396" i="51" s="1"/>
  <c r="E403" i="51" a="1"/>
  <c r="E403" i="51" s="1"/>
  <c r="E410" i="51" a="1"/>
  <c r="E410" i="51" s="1"/>
  <c r="E415" i="51" a="1"/>
  <c r="E415" i="51" s="1"/>
  <c r="E423" i="51" a="1"/>
  <c r="E423" i="51" s="1"/>
  <c r="E427" i="51" a="1"/>
  <c r="E427" i="51" s="1"/>
  <c r="E438" i="51" a="1"/>
  <c r="E438" i="51" s="1"/>
  <c r="E445" i="51" a="1"/>
  <c r="E445" i="51" s="1"/>
  <c r="E523" i="51" a="1"/>
  <c r="E523" i="51" s="1"/>
  <c r="E533" i="51" a="1"/>
  <c r="E533" i="51" s="1"/>
  <c r="E537" i="51" a="1"/>
  <c r="E537" i="51" s="1"/>
  <c r="E545" i="51" a="1"/>
  <c r="E545" i="51" s="1"/>
  <c r="E549" i="51" a="1"/>
  <c r="E549" i="51" s="1"/>
  <c r="E553" i="51" a="1"/>
  <c r="E553" i="51" s="1"/>
  <c r="E604" i="51" a="1"/>
  <c r="E604" i="51" s="1"/>
  <c r="E612" i="51" a="1"/>
  <c r="E612" i="51" s="1"/>
  <c r="E616" i="51" a="1"/>
  <c r="E616" i="51" s="1"/>
  <c r="E621" i="51" a="1"/>
  <c r="E621" i="51" s="1"/>
  <c r="E631" i="51" a="1"/>
  <c r="E631" i="51" s="1"/>
  <c r="E637" i="51" a="1"/>
  <c r="E637" i="51" s="1"/>
  <c r="E643" i="51" a="1"/>
  <c r="E643" i="51" s="1"/>
  <c r="E647" i="51" a="1"/>
  <c r="E647" i="51" s="1"/>
  <c r="E656" i="51" a="1"/>
  <c r="E656" i="51" s="1"/>
  <c r="E665" i="51" a="1"/>
  <c r="E665" i="51" s="1"/>
  <c r="E674" i="51" a="1"/>
  <c r="E674" i="51" s="1"/>
  <c r="E685" i="51" a="1"/>
  <c r="E685" i="51" s="1"/>
  <c r="E691" i="51" a="1"/>
  <c r="E691" i="51" s="1"/>
  <c r="E693" i="51" a="1"/>
  <c r="E693" i="51" s="1"/>
  <c r="E703" i="51" a="1"/>
  <c r="E703" i="51" s="1"/>
  <c r="E708" i="51" a="1"/>
  <c r="E708" i="51" s="1"/>
  <c r="E711" i="51" a="1"/>
  <c r="E711" i="51" s="1"/>
  <c r="E715" i="51" a="1"/>
  <c r="E715" i="51" s="1"/>
  <c r="E722" i="51" a="1"/>
  <c r="E722" i="51" s="1"/>
  <c r="E725" i="51" a="1"/>
  <c r="E725" i="51" s="1"/>
  <c r="E742" i="51" a="1"/>
  <c r="E742" i="51" s="1"/>
  <c r="E750" i="51" a="1"/>
  <c r="E750" i="51" s="1"/>
  <c r="E755" i="51" a="1"/>
  <c r="E755" i="51" s="1"/>
  <c r="E766" i="51" a="1"/>
  <c r="E766" i="51" s="1"/>
  <c r="E772" i="51" a="1"/>
  <c r="E772" i="51" s="1"/>
  <c r="E790" i="51" a="1"/>
  <c r="E790" i="51" s="1"/>
  <c r="E795" i="51" a="1"/>
  <c r="E795" i="51" s="1"/>
  <c r="E800" i="51" a="1"/>
  <c r="E800" i="51" s="1"/>
  <c r="E805" i="51" a="1"/>
  <c r="E805" i="51" s="1"/>
  <c r="E808" i="51" a="1"/>
  <c r="E808" i="51" s="1"/>
  <c r="E811" i="51" a="1"/>
  <c r="E811" i="51" s="1"/>
  <c r="E818" i="51" a="1"/>
  <c r="E818" i="51" s="1"/>
  <c r="E825" i="51" a="1"/>
  <c r="E825" i="51" s="1"/>
  <c r="E828" i="51" a="1"/>
  <c r="E828" i="51" s="1"/>
  <c r="E835" i="51" a="1"/>
  <c r="E835" i="51" s="1"/>
  <c r="E841" i="51" a="1"/>
  <c r="E841" i="51" s="1"/>
  <c r="E846" i="51" a="1"/>
  <c r="E846" i="51" s="1"/>
  <c r="E855" i="51" a="1"/>
  <c r="E855" i="51" s="1"/>
  <c r="E860" i="51" a="1"/>
  <c r="E860" i="51" s="1"/>
  <c r="E866" i="51" a="1"/>
  <c r="E866" i="51" s="1"/>
  <c r="E871" i="51" a="1"/>
  <c r="E871" i="51" s="1"/>
  <c r="E877" i="51" a="1"/>
  <c r="E877" i="51" s="1"/>
  <c r="E884" i="51" a="1"/>
  <c r="E884" i="51" s="1"/>
  <c r="E891" i="51" a="1"/>
  <c r="E891" i="51" s="1"/>
  <c r="E897" i="51" a="1"/>
  <c r="E897" i="51" s="1"/>
  <c r="E906" i="51" a="1"/>
  <c r="E906" i="51" s="1"/>
  <c r="E911" i="51" a="1"/>
  <c r="E911" i="51" s="1"/>
  <c r="E917" i="51" a="1"/>
  <c r="E917" i="51" s="1"/>
  <c r="E922" i="51" a="1"/>
  <c r="E922" i="51" s="1"/>
  <c r="E931" i="51" a="1"/>
  <c r="E931" i="51" s="1"/>
  <c r="E936" i="51" a="1"/>
  <c r="E936" i="51" s="1"/>
  <c r="E942" i="51" a="1"/>
  <c r="E942" i="51" s="1"/>
  <c r="E947" i="51" a="1"/>
  <c r="E947" i="51" s="1"/>
  <c r="E953" i="51" a="1"/>
  <c r="E953" i="51" s="1"/>
  <c r="E957" i="51" a="1"/>
  <c r="E957" i="51" s="1"/>
  <c r="E967" i="51" a="1"/>
  <c r="E967" i="51" s="1"/>
  <c r="E972" i="51" a="1"/>
  <c r="E972" i="51" s="1"/>
  <c r="E977" i="51" a="1"/>
  <c r="E977" i="51" s="1"/>
  <c r="E981" i="51" a="1"/>
  <c r="E981" i="51" s="1"/>
  <c r="E994" i="51" a="1"/>
  <c r="E994" i="51" s="1"/>
  <c r="E1000" i="51" a="1"/>
  <c r="E1000" i="51" s="1"/>
  <c r="E1004" i="51" a="1"/>
  <c r="E1004" i="51" s="1"/>
  <c r="E1009" i="51" a="1"/>
  <c r="E1009" i="51" s="1"/>
  <c r="E1016" i="51" a="1"/>
  <c r="E1016" i="51" s="1"/>
  <c r="E1025" i="51" a="1"/>
  <c r="E1025" i="51" s="1"/>
  <c r="E1028" i="51" a="1"/>
  <c r="E1028" i="51" s="1"/>
  <c r="E1035" i="51" a="1"/>
  <c r="E1035" i="51" s="1"/>
  <c r="E1045" i="51" a="1"/>
  <c r="E1045" i="51" s="1"/>
  <c r="E1049" i="51" a="1"/>
  <c r="E1049" i="51" s="1"/>
  <c r="E1053" i="51" a="1"/>
  <c r="E1053" i="51" s="1"/>
  <c r="E1058" i="51" a="1"/>
  <c r="E1058" i="51" s="1"/>
  <c r="E1063" i="51" a="1"/>
  <c r="E1063" i="51" s="1"/>
  <c r="E1066" i="51" a="1"/>
  <c r="E1066" i="51" s="1"/>
  <c r="E1071" i="51" a="1"/>
  <c r="E1071" i="51" s="1"/>
  <c r="E1076" i="51" a="1"/>
  <c r="E1076" i="51" s="1"/>
  <c r="E1082" i="51" a="1"/>
  <c r="E1082" i="51" s="1"/>
  <c r="E1092" i="51" a="1"/>
  <c r="E1092" i="51" s="1"/>
  <c r="E1096" i="51" a="1"/>
  <c r="E1096" i="51" s="1"/>
  <c r="E1101" i="51" a="1"/>
  <c r="E1101" i="51" s="1"/>
  <c r="E1113" i="51" a="1"/>
  <c r="E1113" i="51" s="1"/>
  <c r="E1131" i="51" a="1"/>
  <c r="E1131" i="51" s="1"/>
  <c r="E1138" i="51" a="1"/>
  <c r="E1138" i="51" s="1"/>
  <c r="E1158" i="51" a="1"/>
  <c r="E1158" i="51" s="1"/>
  <c r="E1168" i="51" a="1"/>
  <c r="E1168" i="51" s="1"/>
  <c r="E1198" i="51" a="1"/>
  <c r="E1198" i="51" s="1"/>
  <c r="E2" i="51" a="1"/>
  <c r="E2" i="51" s="1"/>
  <c r="E7" i="51" a="1"/>
  <c r="E7" i="51" s="1"/>
  <c r="E16" i="51" a="1"/>
  <c r="E16" i="51" s="1"/>
  <c r="E19" i="51" a="1"/>
  <c r="E19" i="51" s="1"/>
  <c r="E26" i="51" a="1"/>
  <c r="E26" i="51" s="1"/>
  <c r="E31" i="51" a="1"/>
  <c r="E31" i="51" s="1"/>
  <c r="E39" i="51" a="1"/>
  <c r="E39" i="51" s="1"/>
  <c r="E46" i="51" a="1"/>
  <c r="E46" i="51" s="1"/>
  <c r="E50" i="51" a="1"/>
  <c r="E50" i="51" s="1"/>
  <c r="E58" i="51" a="1"/>
  <c r="E58" i="51" s="1"/>
  <c r="E71" i="51" a="1"/>
  <c r="E71" i="51" s="1"/>
  <c r="E80" i="51" a="1"/>
  <c r="E80" i="51" s="1"/>
  <c r="E98" i="51" a="1"/>
  <c r="E98" i="51" s="1"/>
  <c r="E102" i="51" a="1"/>
  <c r="E102" i="51" s="1"/>
  <c r="E112" i="51" a="1"/>
  <c r="E112" i="51" s="1"/>
  <c r="E117" i="51" a="1"/>
  <c r="E117" i="51" s="1"/>
  <c r="E121" i="51" a="1"/>
  <c r="E121" i="51" s="1"/>
  <c r="E125" i="51" a="1"/>
  <c r="E125" i="51" s="1"/>
  <c r="E141" i="51" a="1"/>
  <c r="E141" i="51" s="1"/>
  <c r="E148" i="51" a="1"/>
  <c r="E148" i="51" s="1"/>
  <c r="E152" i="51" a="1"/>
  <c r="E152" i="51" s="1"/>
  <c r="E158" i="51" a="1"/>
  <c r="E158" i="51" s="1"/>
  <c r="E163" i="51" a="1"/>
  <c r="E163" i="51" s="1"/>
  <c r="E169" i="51" a="1"/>
  <c r="E169" i="51" s="1"/>
  <c r="E173" i="51" a="1"/>
  <c r="E173" i="51" s="1"/>
  <c r="E176" i="51" a="1"/>
  <c r="E176" i="51" s="1"/>
  <c r="E179" i="51" a="1"/>
  <c r="E179" i="51" s="1"/>
  <c r="E184" i="51" a="1"/>
  <c r="E184" i="51" s="1"/>
  <c r="E188" i="51" a="1"/>
  <c r="E188" i="51" s="1"/>
  <c r="E194" i="51" a="1"/>
  <c r="E194" i="51" s="1"/>
  <c r="E198" i="51" a="1"/>
  <c r="E198" i="51" s="1"/>
  <c r="E207" i="51" a="1"/>
  <c r="E207" i="51" s="1"/>
  <c r="E210" i="51" a="1"/>
  <c r="E210" i="51" s="1"/>
  <c r="E214" i="51" a="1"/>
  <c r="E214" i="51" s="1"/>
  <c r="E218" i="51" a="1"/>
  <c r="E218" i="51" s="1"/>
  <c r="E222" i="51" a="1"/>
  <c r="E222" i="51" s="1"/>
  <c r="E226" i="51" a="1"/>
  <c r="E226" i="51" s="1"/>
  <c r="E231" i="51" a="1"/>
  <c r="E231" i="51" s="1"/>
  <c r="E237" i="51" a="1"/>
  <c r="E237" i="51" s="1"/>
  <c r="E243" i="51" a="1"/>
  <c r="E243" i="51" s="1"/>
  <c r="E250" i="51" a="1"/>
  <c r="E250" i="51" s="1"/>
  <c r="E258" i="51" a="1"/>
  <c r="E258" i="51" s="1"/>
  <c r="E269" i="51" a="1"/>
  <c r="E269" i="51" s="1"/>
  <c r="E275" i="51" a="1"/>
  <c r="E275" i="51" s="1"/>
  <c r="E281" i="51" a="1"/>
  <c r="E281" i="51" s="1"/>
  <c r="E286" i="51" a="1"/>
  <c r="E286" i="51" s="1"/>
  <c r="E293" i="51" a="1"/>
  <c r="E293" i="51" s="1"/>
  <c r="E299" i="51" a="1"/>
  <c r="E299" i="51" s="1"/>
  <c r="E308" i="51" a="1"/>
  <c r="E308" i="51" s="1"/>
  <c r="E317" i="51" a="1"/>
  <c r="E317" i="51" s="1"/>
  <c r="E321" i="51" a="1"/>
  <c r="E321" i="51" s="1"/>
  <c r="E328" i="51" a="1"/>
  <c r="E328" i="51" s="1"/>
  <c r="E332" i="51" a="1"/>
  <c r="E332" i="51" s="1"/>
  <c r="E337" i="51" a="1"/>
  <c r="E337" i="51" s="1"/>
  <c r="E344" i="51" a="1"/>
  <c r="E344" i="51" s="1"/>
  <c r="E352" i="51" a="1"/>
  <c r="E352" i="51" s="1"/>
  <c r="E358" i="51" a="1"/>
  <c r="E358" i="51" s="1"/>
  <c r="E366" i="51" a="1"/>
  <c r="E366" i="51" s="1"/>
  <c r="E371" i="51" a="1"/>
  <c r="E371" i="51" s="1"/>
  <c r="E376" i="51" a="1"/>
  <c r="E376" i="51" s="1"/>
  <c r="E380" i="51" a="1"/>
  <c r="E380" i="51" s="1"/>
  <c r="E385" i="51" a="1"/>
  <c r="E385" i="51" s="1"/>
  <c r="E394" i="51" a="1"/>
  <c r="E394" i="51" s="1"/>
  <c r="E398" i="51" a="1"/>
  <c r="E398" i="51" s="1"/>
  <c r="E404" i="51" a="1"/>
  <c r="E404" i="51" s="1"/>
  <c r="E411" i="51" a="1"/>
  <c r="E411" i="51" s="1"/>
  <c r="E418" i="51" a="1"/>
  <c r="E418" i="51" s="1"/>
  <c r="E424" i="51" a="1"/>
  <c r="E424" i="51" s="1"/>
  <c r="E429" i="51" a="1"/>
  <c r="E429" i="51" s="1"/>
  <c r="E467" i="51" a="1"/>
  <c r="E467" i="51" s="1"/>
  <c r="E475" i="51" a="1"/>
  <c r="E475" i="51" s="1"/>
  <c r="E480" i="51" a="1"/>
  <c r="E480" i="51" s="1"/>
  <c r="E488" i="51" a="1"/>
  <c r="E488" i="51" s="1"/>
  <c r="E495" i="51" a="1"/>
  <c r="E495" i="51" s="1"/>
  <c r="E499" i="51" a="1"/>
  <c r="E499" i="51" s="1"/>
  <c r="E504" i="51" a="1"/>
  <c r="E504" i="51" s="1"/>
  <c r="E507" i="51" a="1"/>
  <c r="E507" i="51" s="1"/>
  <c r="E512" i="51" a="1"/>
  <c r="E512" i="51" s="1"/>
  <c r="E517" i="51" a="1"/>
  <c r="E517" i="51" s="1"/>
  <c r="E524" i="51" a="1"/>
  <c r="E524" i="51" s="1"/>
  <c r="E530" i="51" a="1"/>
  <c r="E530" i="51" s="1"/>
  <c r="E539" i="51" a="1"/>
  <c r="E539" i="51" s="1"/>
  <c r="E544" i="51" a="1"/>
  <c r="E544" i="51" s="1"/>
  <c r="E559" i="51" a="1"/>
  <c r="E559" i="51" s="1"/>
  <c r="E564" i="51" a="1"/>
  <c r="E564" i="51" s="1"/>
  <c r="E569" i="51" a="1"/>
  <c r="E569" i="51" s="1"/>
  <c r="E576" i="51" a="1"/>
  <c r="E576" i="51" s="1"/>
  <c r="E582" i="51" a="1"/>
  <c r="E582" i="51" s="1"/>
  <c r="E587" i="51" a="1"/>
  <c r="E587" i="51" s="1"/>
  <c r="E595" i="51" a="1"/>
  <c r="E595" i="51" s="1"/>
  <c r="E598" i="51" a="1"/>
  <c r="E598" i="51" s="1"/>
  <c r="E606" i="51" a="1"/>
  <c r="E606" i="51" s="1"/>
  <c r="E619" i="51" a="1"/>
  <c r="E619" i="51" s="1"/>
  <c r="E627" i="51" a="1"/>
  <c r="E627" i="51" s="1"/>
  <c r="E630" i="51" a="1"/>
  <c r="E630" i="51" s="1"/>
  <c r="E635" i="51" a="1"/>
  <c r="E635" i="51" s="1"/>
  <c r="E642" i="51" a="1"/>
  <c r="E642" i="51" s="1"/>
  <c r="E648" i="51" a="1"/>
  <c r="E648" i="51" s="1"/>
  <c r="E652" i="51" a="1"/>
  <c r="E652" i="51" s="1"/>
  <c r="E660" i="51" a="1"/>
  <c r="E660" i="51" s="1"/>
  <c r="E666" i="51" a="1"/>
  <c r="E666" i="51" s="1"/>
  <c r="E672" i="51" a="1"/>
  <c r="E672" i="51" s="1"/>
  <c r="E678" i="51" a="1"/>
  <c r="E678" i="51" s="1"/>
  <c r="E690" i="51" a="1"/>
  <c r="E690" i="51" s="1"/>
  <c r="E694" i="51" a="1"/>
  <c r="E694" i="51" s="1"/>
  <c r="E699" i="51" a="1"/>
  <c r="E699" i="51" s="1"/>
  <c r="E754" i="51" a="1"/>
  <c r="E754" i="51" s="1"/>
  <c r="E763" i="51" a="1"/>
  <c r="E763" i="51" s="1"/>
  <c r="E778" i="51" a="1"/>
  <c r="E778" i="51" s="1"/>
  <c r="E781" i="51" a="1"/>
  <c r="E781" i="51" s="1"/>
  <c r="E791" i="51" a="1"/>
  <c r="E791" i="51" s="1"/>
  <c r="E812" i="51" a="1"/>
  <c r="E812" i="51" s="1"/>
  <c r="E821" i="51" a="1"/>
  <c r="E821" i="51" s="1"/>
  <c r="E826" i="51" a="1"/>
  <c r="E826" i="51" s="1"/>
  <c r="E831" i="51" a="1"/>
  <c r="E831" i="51" s="1"/>
  <c r="E837" i="51" a="1"/>
  <c r="E837" i="51" s="1"/>
  <c r="E843" i="51" a="1"/>
  <c r="E843" i="51" s="1"/>
  <c r="E854" i="51" a="1"/>
  <c r="E854" i="51" s="1"/>
  <c r="E867" i="51" a="1"/>
  <c r="E867" i="51" s="1"/>
  <c r="E880" i="51" a="1"/>
  <c r="E880" i="51" s="1"/>
  <c r="E889" i="51" a="1"/>
  <c r="E889" i="51" s="1"/>
  <c r="E894" i="51" a="1"/>
  <c r="E894" i="51" s="1"/>
  <c r="E901" i="51" a="1"/>
  <c r="E901" i="51" s="1"/>
  <c r="E905" i="51" a="1"/>
  <c r="E905" i="51" s="1"/>
  <c r="E912" i="51" a="1"/>
  <c r="E912" i="51" s="1"/>
  <c r="E921" i="51" a="1"/>
  <c r="E921" i="51" s="1"/>
  <c r="E941" i="51" a="1"/>
  <c r="E941" i="51" s="1"/>
  <c r="E955" i="51" a="1"/>
  <c r="E955" i="51" s="1"/>
  <c r="E963" i="51" a="1"/>
  <c r="E963" i="51" s="1"/>
  <c r="E970" i="51" a="1"/>
  <c r="E970" i="51" s="1"/>
  <c r="E974" i="51" a="1"/>
  <c r="E974" i="51" s="1"/>
  <c r="E982" i="51" a="1"/>
  <c r="E982" i="51" s="1"/>
  <c r="E985" i="51" a="1"/>
  <c r="E985" i="51" s="1"/>
  <c r="E990" i="51" a="1"/>
  <c r="E990" i="51" s="1"/>
  <c r="E1005" i="51" a="1"/>
  <c r="E1005" i="51" s="1"/>
  <c r="E1023" i="51" a="1"/>
  <c r="E1023" i="51" s="1"/>
  <c r="E1032" i="51" a="1"/>
  <c r="E1032" i="51" s="1"/>
  <c r="E1039" i="51" a="1"/>
  <c r="E1039" i="51" s="1"/>
  <c r="E1047" i="51" a="1"/>
  <c r="E1047" i="51" s="1"/>
  <c r="E1052" i="51" a="1"/>
  <c r="E1052" i="51" s="1"/>
  <c r="E1057" i="51" a="1"/>
  <c r="E1057" i="51" s="1"/>
  <c r="E1067" i="51" a="1"/>
  <c r="E1067" i="51" s="1"/>
  <c r="E1078" i="51" a="1"/>
  <c r="E1078" i="51" s="1"/>
  <c r="E1083" i="51" a="1"/>
  <c r="E1083" i="51" s="1"/>
  <c r="E1087" i="51" a="1"/>
  <c r="E1087" i="51" s="1"/>
  <c r="E1097" i="51" a="1"/>
  <c r="E1097" i="51" s="1"/>
  <c r="E1107" i="51" a="1"/>
  <c r="E1107" i="51" s="1"/>
  <c r="E1111" i="51" a="1"/>
  <c r="E1111" i="51" s="1"/>
  <c r="E1119" i="51" a="1"/>
  <c r="E1119" i="51" s="1"/>
  <c r="E1125" i="51" a="1"/>
  <c r="E1125" i="51" s="1"/>
  <c r="E1133" i="51" a="1"/>
  <c r="E1133" i="51" s="1"/>
  <c r="E1143" i="51" a="1"/>
  <c r="E1143" i="51" s="1"/>
  <c r="E1147" i="51" a="1"/>
  <c r="E1147" i="51" s="1"/>
  <c r="E1154" i="51" a="1"/>
  <c r="E1154" i="51" s="1"/>
  <c r="E1190" i="51" a="1"/>
  <c r="E1190" i="51" s="1"/>
  <c r="E3" i="51" a="1"/>
  <c r="E3" i="51" s="1"/>
  <c r="E12" i="51" a="1"/>
  <c r="E12" i="51" s="1"/>
  <c r="E29" i="51" a="1"/>
  <c r="E29" i="51" s="1"/>
  <c r="E33" i="51" a="1"/>
  <c r="E33" i="51" s="1"/>
  <c r="E38" i="51" a="1"/>
  <c r="E38" i="51" s="1"/>
  <c r="E57" i="51" a="1"/>
  <c r="E57" i="51" s="1"/>
  <c r="E64" i="51" a="1"/>
  <c r="E64" i="51" s="1"/>
  <c r="E67" i="51" a="1"/>
  <c r="E67" i="51" s="1"/>
  <c r="E75" i="51" a="1"/>
  <c r="E75" i="51" s="1"/>
  <c r="E82" i="51" a="1"/>
  <c r="E82" i="51" s="1"/>
  <c r="E86" i="51" a="1"/>
  <c r="E86" i="51" s="1"/>
  <c r="E90" i="51" a="1"/>
  <c r="E90" i="51" s="1"/>
  <c r="E96" i="51" a="1"/>
  <c r="E96" i="51" s="1"/>
  <c r="E100" i="51" a="1"/>
  <c r="E100" i="51" s="1"/>
  <c r="E103" i="51" a="1"/>
  <c r="E103" i="51" s="1"/>
  <c r="E107" i="51" a="1"/>
  <c r="E107" i="51" s="1"/>
  <c r="E114" i="51" a="1"/>
  <c r="E114" i="51" s="1"/>
  <c r="E118" i="51" a="1"/>
  <c r="E118" i="51" s="1"/>
  <c r="E122" i="51" a="1"/>
  <c r="E122" i="51" s="1"/>
  <c r="E126" i="51" a="1"/>
  <c r="E126" i="51" s="1"/>
  <c r="E134" i="51" a="1"/>
  <c r="E134" i="51" s="1"/>
  <c r="E143" i="51" a="1"/>
  <c r="E143" i="51" s="1"/>
  <c r="E147" i="51" a="1"/>
  <c r="E147" i="51" s="1"/>
  <c r="E157" i="51" a="1"/>
  <c r="E157" i="51" s="1"/>
  <c r="E167" i="51" a="1"/>
  <c r="E167" i="51" s="1"/>
  <c r="E241" i="51" a="1"/>
  <c r="E241" i="51" s="1"/>
  <c r="E248" i="51" a="1"/>
  <c r="E248" i="51" s="1"/>
  <c r="E255" i="51" a="1"/>
  <c r="E255" i="51" s="1"/>
  <c r="E263" i="51" a="1"/>
  <c r="E263" i="51" s="1"/>
  <c r="E267" i="51" a="1"/>
  <c r="E267" i="51" s="1"/>
  <c r="E274" i="51" a="1"/>
  <c r="E274" i="51" s="1"/>
  <c r="E277" i="51" a="1"/>
  <c r="E277" i="51" s="1"/>
  <c r="E285" i="51" a="1"/>
  <c r="E285" i="51" s="1"/>
  <c r="E289" i="51" a="1"/>
  <c r="E289" i="51" s="1"/>
  <c r="E298" i="51" a="1"/>
  <c r="E298" i="51" s="1"/>
  <c r="E302" i="51" a="1"/>
  <c r="E302" i="51" s="1"/>
  <c r="E306" i="51" a="1"/>
  <c r="E306" i="51" s="1"/>
  <c r="E310" i="51" a="1"/>
  <c r="E310" i="51" s="1"/>
  <c r="E314" i="51" a="1"/>
  <c r="E314" i="51" s="1"/>
  <c r="E322" i="51" a="1"/>
  <c r="E322" i="51" s="1"/>
  <c r="E327" i="51" a="1"/>
  <c r="E327" i="51" s="1"/>
  <c r="E331" i="51" a="1"/>
  <c r="E331" i="51" s="1"/>
  <c r="E341" i="51" a="1"/>
  <c r="E341" i="51" s="1"/>
  <c r="E348" i="51" a="1"/>
  <c r="E348" i="51" s="1"/>
  <c r="E354" i="51" a="1"/>
  <c r="E354" i="51" s="1"/>
  <c r="E359" i="51" a="1"/>
  <c r="E359" i="51" s="1"/>
  <c r="E364" i="51" a="1"/>
  <c r="E364" i="51" s="1"/>
  <c r="E368" i="51" a="1"/>
  <c r="E368" i="51" s="1"/>
  <c r="E373" i="51" a="1"/>
  <c r="E373" i="51" s="1"/>
  <c r="E383" i="51" a="1"/>
  <c r="E383" i="51" s="1"/>
  <c r="E387" i="51" a="1"/>
  <c r="E387" i="51" s="1"/>
  <c r="E393" i="51" a="1"/>
  <c r="E393" i="51" s="1"/>
  <c r="E400" i="51" a="1"/>
  <c r="E400" i="51" s="1"/>
  <c r="E405" i="51" a="1"/>
  <c r="E405" i="51" s="1"/>
  <c r="E409" i="51" a="1"/>
  <c r="E409" i="51" s="1"/>
  <c r="E412" i="51" a="1"/>
  <c r="E412" i="51" s="1"/>
  <c r="E419" i="51" a="1"/>
  <c r="E419" i="51" s="1"/>
  <c r="E428" i="51" a="1"/>
  <c r="E428" i="51" s="1"/>
  <c r="E435" i="51" a="1"/>
  <c r="E435" i="51" s="1"/>
  <c r="E439" i="51" a="1"/>
  <c r="E439" i="51" s="1"/>
  <c r="E444" i="51" a="1"/>
  <c r="E444" i="51" s="1"/>
  <c r="E452" i="51" a="1"/>
  <c r="E452" i="51" s="1"/>
  <c r="E456" i="51" a="1"/>
  <c r="E456" i="51" s="1"/>
  <c r="E460" i="51" a="1"/>
  <c r="E460" i="51" s="1"/>
  <c r="E464" i="51" a="1"/>
  <c r="E464" i="51" s="1"/>
  <c r="E477" i="51" a="1"/>
  <c r="E477" i="51" s="1"/>
  <c r="E482" i="51" a="1"/>
  <c r="E482" i="51" s="1"/>
  <c r="E486" i="51" a="1"/>
  <c r="E486" i="51" s="1"/>
  <c r="E491" i="51" a="1"/>
  <c r="E491" i="51" s="1"/>
  <c r="E503" i="51" a="1"/>
  <c r="E503" i="51" s="1"/>
  <c r="E508" i="51" a="1"/>
  <c r="E508" i="51" s="1"/>
  <c r="E516" i="51" a="1"/>
  <c r="E516" i="51" s="1"/>
  <c r="E521" i="51" a="1"/>
  <c r="E521" i="51" s="1"/>
  <c r="E525" i="51" a="1"/>
  <c r="E525" i="51" s="1"/>
  <c r="E531" i="51" a="1"/>
  <c r="E531" i="51" s="1"/>
  <c r="E540" i="51" a="1"/>
  <c r="E540" i="51" s="1"/>
  <c r="E547" i="51" a="1"/>
  <c r="E547" i="51" s="1"/>
  <c r="E552" i="51" a="1"/>
  <c r="E552" i="51" s="1"/>
  <c r="E556" i="51" a="1"/>
  <c r="E556" i="51" s="1"/>
  <c r="E563" i="51" a="1"/>
  <c r="E563" i="51" s="1"/>
  <c r="E570" i="51" a="1"/>
  <c r="E570" i="51" s="1"/>
  <c r="E574" i="51" a="1"/>
  <c r="E574" i="51" s="1"/>
  <c r="E578" i="51" a="1"/>
  <c r="E578" i="51" s="1"/>
  <c r="E583" i="51" a="1"/>
  <c r="E583" i="51" s="1"/>
  <c r="E588" i="51" a="1"/>
  <c r="E588" i="51" s="1"/>
  <c r="E594" i="51" a="1"/>
  <c r="E594" i="51" s="1"/>
  <c r="E599" i="51" a="1"/>
  <c r="E599" i="51" s="1"/>
  <c r="E605" i="51" a="1"/>
  <c r="E605" i="51" s="1"/>
  <c r="E609" i="51" a="1"/>
  <c r="E609" i="51" s="1"/>
  <c r="E613" i="51" a="1"/>
  <c r="E613" i="51" s="1"/>
  <c r="E654" i="51" a="1"/>
  <c r="E654" i="51" s="1"/>
  <c r="E657" i="51" a="1"/>
  <c r="E657" i="51" s="1"/>
  <c r="E661" i="51" a="1"/>
  <c r="E661" i="51" s="1"/>
  <c r="E668" i="51" a="1"/>
  <c r="E668" i="51" s="1"/>
  <c r="E675" i="51" a="1"/>
  <c r="E675" i="51" s="1"/>
  <c r="E679" i="51" a="1"/>
  <c r="E679" i="51" s="1"/>
  <c r="E683" i="51" a="1"/>
  <c r="E683" i="51" s="1"/>
  <c r="E687" i="51" a="1"/>
  <c r="E687" i="51" s="1"/>
  <c r="E696" i="51" a="1"/>
  <c r="E696" i="51" s="1"/>
  <c r="E700" i="51" a="1"/>
  <c r="E700" i="51" s="1"/>
  <c r="E706" i="51" a="1"/>
  <c r="E706" i="51" s="1"/>
  <c r="E710" i="51" a="1"/>
  <c r="E710" i="51" s="1"/>
  <c r="E717" i="51" a="1"/>
  <c r="E717" i="51" s="1"/>
  <c r="E726" i="51" a="1"/>
  <c r="E726" i="51" s="1"/>
  <c r="E732" i="51" a="1"/>
  <c r="E732" i="51" s="1"/>
  <c r="E736" i="51" a="1"/>
  <c r="E736" i="51" s="1"/>
  <c r="E739" i="51" a="1"/>
  <c r="E739" i="51" s="1"/>
  <c r="E744" i="51" a="1"/>
  <c r="E744" i="51" s="1"/>
  <c r="E751" i="51" a="1"/>
  <c r="E751" i="51" s="1"/>
  <c r="E757" i="51" a="1"/>
  <c r="E757" i="51" s="1"/>
  <c r="E760" i="51" a="1"/>
  <c r="E760" i="51" s="1"/>
  <c r="E769" i="51" a="1"/>
  <c r="E769" i="51" s="1"/>
  <c r="E776" i="51" a="1"/>
  <c r="E776" i="51" s="1"/>
  <c r="E784" i="51" a="1"/>
  <c r="E784" i="51" s="1"/>
  <c r="E787" i="51" a="1"/>
  <c r="E787" i="51" s="1"/>
  <c r="E792" i="51" a="1"/>
  <c r="E792" i="51" s="1"/>
  <c r="E796" i="51" a="1"/>
  <c r="E796" i="51" s="1"/>
  <c r="E803" i="51" a="1"/>
  <c r="E803" i="51" s="1"/>
  <c r="E807" i="51" a="1"/>
  <c r="E807" i="51" s="1"/>
  <c r="E813" i="51" a="1"/>
  <c r="E813" i="51" s="1"/>
  <c r="E820" i="51" a="1"/>
  <c r="E820" i="51" s="1"/>
  <c r="E829" i="51" a="1"/>
  <c r="E829" i="51" s="1"/>
  <c r="E833" i="51" a="1"/>
  <c r="E833" i="51" s="1"/>
  <c r="E838" i="51" a="1"/>
  <c r="E838" i="51" s="1"/>
  <c r="E845" i="51" a="1"/>
  <c r="E845" i="51" s="1"/>
  <c r="E849" i="51" a="1"/>
  <c r="E849" i="51" s="1"/>
  <c r="E850" i="51" a="1"/>
  <c r="E850" i="51" s="1"/>
  <c r="E858" i="51" a="1"/>
  <c r="E858" i="51" s="1"/>
  <c r="E862" i="51" a="1"/>
  <c r="E862" i="51" s="1"/>
  <c r="E865" i="51" a="1"/>
  <c r="E865" i="51" s="1"/>
  <c r="E869" i="51" a="1"/>
  <c r="E869" i="51" s="1"/>
  <c r="E873" i="51" a="1"/>
  <c r="E873" i="51" s="1"/>
  <c r="E878" i="51" a="1"/>
  <c r="E878" i="51" s="1"/>
  <c r="E883" i="51" a="1"/>
  <c r="E883" i="51" s="1"/>
  <c r="E888" i="51" a="1"/>
  <c r="E888" i="51" s="1"/>
  <c r="E893" i="51" a="1"/>
  <c r="E893" i="51" s="1"/>
  <c r="E898" i="51" a="1"/>
  <c r="E898" i="51" s="1"/>
  <c r="E903" i="51" a="1"/>
  <c r="E903" i="51" s="1"/>
  <c r="E908" i="51" a="1"/>
  <c r="E908" i="51" s="1"/>
  <c r="E915" i="51" a="1"/>
  <c r="E915" i="51" s="1"/>
  <c r="E924" i="51" a="1"/>
  <c r="E924" i="51" s="1"/>
  <c r="E930" i="51" a="1"/>
  <c r="E930" i="51" s="1"/>
  <c r="E933" i="51" a="1"/>
  <c r="E933" i="51" s="1"/>
  <c r="E940" i="51" a="1"/>
  <c r="E940" i="51" s="1"/>
  <c r="E950" i="51" a="1"/>
  <c r="E950" i="51" s="1"/>
  <c r="E959" i="51" a="1"/>
  <c r="E959" i="51" s="1"/>
  <c r="E961" i="51" a="1"/>
  <c r="E961" i="51" s="1"/>
  <c r="E968" i="51" a="1"/>
  <c r="E968" i="51" s="1"/>
  <c r="E976" i="51" a="1"/>
  <c r="E976" i="51" s="1"/>
  <c r="E983" i="51" a="1"/>
  <c r="E983" i="51" s="1"/>
  <c r="E988" i="51" a="1"/>
  <c r="E988" i="51" s="1"/>
  <c r="E992" i="51" a="1"/>
  <c r="E992" i="51" s="1"/>
  <c r="E997" i="51" a="1"/>
  <c r="E997" i="51" s="1"/>
  <c r="E1007" i="51" a="1"/>
  <c r="E1007" i="51" s="1"/>
  <c r="E1010" i="51" a="1"/>
  <c r="E1010" i="51" s="1"/>
  <c r="E1014" i="51" a="1"/>
  <c r="E1014" i="51" s="1"/>
  <c r="E1019" i="51" a="1"/>
  <c r="E1019" i="51" s="1"/>
  <c r="E1024" i="51" a="1"/>
  <c r="E1024" i="51" s="1"/>
  <c r="E1034" i="51" a="1"/>
  <c r="E1034" i="51" s="1"/>
  <c r="E1043" i="51" a="1"/>
  <c r="E1043" i="51" s="1"/>
  <c r="E1056" i="51" a="1"/>
  <c r="E1056" i="51" s="1"/>
  <c r="E1062" i="51" a="1"/>
  <c r="E1062" i="51" s="1"/>
  <c r="E1070" i="51" a="1"/>
  <c r="E1070" i="51" s="1"/>
  <c r="E1074" i="51" a="1"/>
  <c r="E1074" i="51" s="1"/>
  <c r="E1081" i="51" a="1"/>
  <c r="E1081" i="51" s="1"/>
  <c r="E1088" i="51" a="1"/>
  <c r="E1088" i="51" s="1"/>
  <c r="E1100" i="51" a="1"/>
  <c r="E1100" i="51" s="1"/>
  <c r="E1106" i="51" a="1"/>
  <c r="E1106" i="51" s="1"/>
  <c r="E1114" i="51" a="1"/>
  <c r="E1114" i="51" s="1"/>
  <c r="E1118" i="51" a="1"/>
  <c r="E1118" i="51" s="1"/>
  <c r="E1126" i="51" a="1"/>
  <c r="E1126" i="51" s="1"/>
  <c r="E1136" i="51" a="1"/>
  <c r="E1136" i="51" s="1"/>
  <c r="E1139" i="51" a="1"/>
  <c r="E1139" i="51" s="1"/>
  <c r="E1146" i="51" a="1"/>
  <c r="E1146" i="51" s="1"/>
  <c r="E1163" i="51" a="1"/>
  <c r="E1163" i="51" s="1"/>
  <c r="E1193" i="51" a="1"/>
  <c r="E1193" i="51" s="1"/>
  <c r="E11" i="51" a="1"/>
  <c r="E11" i="51" s="1"/>
  <c r="E20" i="51" a="1"/>
  <c r="E20" i="51" s="1"/>
  <c r="E24" i="51" a="1"/>
  <c r="E24" i="51" s="1"/>
  <c r="E30" i="51" a="1"/>
  <c r="E30" i="51" s="1"/>
  <c r="E35" i="51" a="1"/>
  <c r="E35" i="51" s="1"/>
  <c r="E40" i="51" a="1"/>
  <c r="E40" i="51" s="1"/>
  <c r="E45" i="51" a="1"/>
  <c r="E45" i="51" s="1"/>
  <c r="E48" i="51" a="1"/>
  <c r="E48" i="51" s="1"/>
  <c r="E53" i="51" a="1"/>
  <c r="E53" i="51" s="1"/>
  <c r="E59" i="51" a="1"/>
  <c r="E59" i="51" s="1"/>
  <c r="E62" i="51" a="1"/>
  <c r="E62" i="51" s="1"/>
  <c r="E68" i="51" a="1"/>
  <c r="E68" i="51" s="1"/>
  <c r="E74" i="51" a="1"/>
  <c r="E74" i="51" s="1"/>
  <c r="E81" i="51" a="1"/>
  <c r="E81" i="51" s="1"/>
  <c r="E84" i="51" a="1"/>
  <c r="E84" i="51" s="1"/>
  <c r="E87" i="51" a="1"/>
  <c r="E87" i="51" s="1"/>
  <c r="E93" i="51" a="1"/>
  <c r="E93" i="51" s="1"/>
  <c r="E101" i="51" a="1"/>
  <c r="E101" i="51" s="1"/>
  <c r="E106" i="51" a="1"/>
  <c r="E106" i="51" s="1"/>
  <c r="E111" i="51" a="1"/>
  <c r="E111" i="51" s="1"/>
  <c r="E119" i="51" a="1"/>
  <c r="E119" i="51" s="1"/>
  <c r="E124" i="51" a="1"/>
  <c r="E124" i="51" s="1"/>
  <c r="E129" i="51" a="1"/>
  <c r="E129" i="51" s="1"/>
  <c r="E132" i="51" a="1"/>
  <c r="E132" i="51" s="1"/>
  <c r="E137" i="51" a="1"/>
  <c r="E137" i="51" s="1"/>
  <c r="E151" i="51" a="1"/>
  <c r="E151" i="51" s="1"/>
  <c r="E161" i="51" a="1"/>
  <c r="E161" i="51" s="1"/>
  <c r="E165" i="51" a="1"/>
  <c r="E165" i="51" s="1"/>
  <c r="E171" i="51" a="1"/>
  <c r="E171" i="51" s="1"/>
  <c r="E177" i="51" a="1"/>
  <c r="E177" i="51" s="1"/>
  <c r="E183" i="51" a="1"/>
  <c r="E183" i="51" s="1"/>
  <c r="E191" i="51" a="1"/>
  <c r="E191" i="51" s="1"/>
  <c r="E202" i="51" a="1"/>
  <c r="E202" i="51" s="1"/>
  <c r="E208" i="51" a="1"/>
  <c r="E208" i="51" s="1"/>
  <c r="E213" i="51" a="1"/>
  <c r="E213" i="51" s="1"/>
  <c r="E217" i="51" a="1"/>
  <c r="E217" i="51" s="1"/>
  <c r="E224" i="51" a="1"/>
  <c r="E224" i="51" s="1"/>
  <c r="E230" i="51" a="1"/>
  <c r="E230" i="51" s="1"/>
  <c r="E234" i="51" a="1"/>
  <c r="E234" i="51" s="1"/>
  <c r="E244" i="51" a="1"/>
  <c r="E244" i="51" s="1"/>
  <c r="E249" i="51" a="1"/>
  <c r="E249" i="51" s="1"/>
  <c r="E254" i="51" a="1"/>
  <c r="E254" i="51" s="1"/>
  <c r="E261" i="51" a="1"/>
  <c r="E261" i="51" s="1"/>
  <c r="E265" i="51" a="1"/>
  <c r="E265" i="51" s="1"/>
  <c r="E271" i="51" a="1"/>
  <c r="E271" i="51" s="1"/>
  <c r="E273" i="51" a="1"/>
  <c r="E273" i="51" s="1"/>
  <c r="E282" i="51" a="1"/>
  <c r="E282" i="51" s="1"/>
  <c r="E292" i="51" a="1"/>
  <c r="E292" i="51" s="1"/>
  <c r="E301" i="51" a="1"/>
  <c r="E301" i="51" s="1"/>
  <c r="E313" i="51" a="1"/>
  <c r="E313" i="51" s="1"/>
  <c r="E318" i="51" a="1"/>
  <c r="E318" i="51" s="1"/>
  <c r="E326" i="51" a="1"/>
  <c r="E326" i="51" s="1"/>
  <c r="E330" i="51" a="1"/>
  <c r="E330" i="51" s="1"/>
  <c r="E335" i="51" a="1"/>
  <c r="E335" i="51" s="1"/>
  <c r="E339" i="51" a="1"/>
  <c r="E339" i="51" s="1"/>
  <c r="E346" i="51" a="1"/>
  <c r="E346" i="51" s="1"/>
  <c r="E350" i="51" a="1"/>
  <c r="E350" i="51" s="1"/>
  <c r="E355" i="51" a="1"/>
  <c r="E355" i="51" s="1"/>
  <c r="E361" i="51" a="1"/>
  <c r="E361" i="51" s="1"/>
  <c r="E369" i="51" a="1"/>
  <c r="E369" i="51" s="1"/>
  <c r="E375" i="51" a="1"/>
  <c r="E375" i="51" s="1"/>
  <c r="E379" i="51" a="1"/>
  <c r="E379" i="51" s="1"/>
  <c r="E386" i="51" a="1"/>
  <c r="E386" i="51" s="1"/>
  <c r="E389" i="51" a="1"/>
  <c r="E389" i="51" s="1"/>
  <c r="E408" i="51" a="1"/>
  <c r="E408" i="51" s="1"/>
  <c r="E413" i="51" a="1"/>
  <c r="E413" i="51" s="1"/>
  <c r="E426" i="51" a="1"/>
  <c r="E426" i="51" s="1"/>
  <c r="E434" i="51" a="1"/>
  <c r="E434" i="51" s="1"/>
  <c r="E442" i="51" a="1"/>
  <c r="E442" i="51" s="1"/>
  <c r="E447" i="51" a="1"/>
  <c r="E447" i="51" s="1"/>
  <c r="E453" i="51" a="1"/>
  <c r="E453" i="51" s="1"/>
  <c r="E457" i="51" a="1"/>
  <c r="E457" i="51" s="1"/>
  <c r="E461" i="51" a="1"/>
  <c r="E461" i="51" s="1"/>
  <c r="E466" i="51" a="1"/>
  <c r="E466" i="51" s="1"/>
  <c r="E469" i="51" a="1"/>
  <c r="E469" i="51" s="1"/>
  <c r="E473" i="51" a="1"/>
  <c r="E473" i="51" s="1"/>
  <c r="E479" i="51" a="1"/>
  <c r="E479" i="51" s="1"/>
  <c r="E483" i="51" a="1"/>
  <c r="E483" i="51" s="1"/>
  <c r="E489" i="51" a="1"/>
  <c r="E489" i="51" s="1"/>
  <c r="E493" i="51" a="1"/>
  <c r="E493" i="51" s="1"/>
  <c r="E500" i="51" a="1"/>
  <c r="E500" i="51" s="1"/>
  <c r="E506" i="51" a="1"/>
  <c r="E506" i="51" s="1"/>
  <c r="E509" i="51" a="1"/>
  <c r="E509" i="51" s="1"/>
  <c r="E513" i="51" a="1"/>
  <c r="E513" i="51" s="1"/>
  <c r="E518" i="51" a="1"/>
  <c r="E518" i="51" s="1"/>
  <c r="E522" i="51" a="1"/>
  <c r="E522" i="51" s="1"/>
  <c r="E528" i="51" a="1"/>
  <c r="E528" i="51" s="1"/>
  <c r="E536" i="51" a="1"/>
  <c r="E536" i="51" s="1"/>
  <c r="E546" i="51" a="1"/>
  <c r="E546" i="51" s="1"/>
  <c r="E551" i="51" a="1"/>
  <c r="E551" i="51" s="1"/>
  <c r="E560" i="51" a="1"/>
  <c r="E560" i="51" s="1"/>
  <c r="E565" i="51" a="1"/>
  <c r="E565" i="51" s="1"/>
  <c r="E568" i="51" a="1"/>
  <c r="E568" i="51" s="1"/>
  <c r="E575" i="51" a="1"/>
  <c r="E575" i="51" s="1"/>
  <c r="E580" i="51" a="1"/>
  <c r="E580" i="51" s="1"/>
  <c r="E585" i="51" a="1"/>
  <c r="E585" i="51" s="1"/>
  <c r="E590" i="51" a="1"/>
  <c r="E590" i="51" s="1"/>
  <c r="E600" i="51" a="1"/>
  <c r="E600" i="51" s="1"/>
  <c r="E608" i="51" a="1"/>
  <c r="E608" i="51" s="1"/>
  <c r="E614" i="51" a="1"/>
  <c r="E614" i="51" s="1"/>
  <c r="E618" i="51" a="1"/>
  <c r="E618" i="51" s="1"/>
  <c r="E625" i="51" a="1"/>
  <c r="E625" i="51" s="1"/>
  <c r="E634" i="51" a="1"/>
  <c r="E634" i="51" s="1"/>
  <c r="E639" i="51" a="1"/>
  <c r="E639" i="51" s="1"/>
  <c r="E644" i="51" a="1"/>
  <c r="E644" i="51" s="1"/>
  <c r="E649" i="51" a="1"/>
  <c r="E649" i="51" s="1"/>
  <c r="E655" i="51" a="1"/>
  <c r="E655" i="51" s="1"/>
  <c r="E662" i="51" a="1"/>
  <c r="E662" i="51" s="1"/>
  <c r="E667" i="51" a="1"/>
  <c r="E667" i="51" s="1"/>
  <c r="E673" i="51" a="1"/>
  <c r="E673" i="51" s="1"/>
  <c r="E677" i="51" a="1"/>
  <c r="E677" i="51" s="1"/>
  <c r="E680" i="51" a="1"/>
  <c r="E680" i="51" s="1"/>
  <c r="E684" i="51" a="1"/>
  <c r="E684" i="51" s="1"/>
  <c r="E688" i="51" a="1"/>
  <c r="E688" i="51" s="1"/>
  <c r="E695" i="51" a="1"/>
  <c r="E695" i="51" s="1"/>
  <c r="E701" i="51" a="1"/>
  <c r="E701" i="51" s="1"/>
  <c r="E705" i="51" a="1"/>
  <c r="E705" i="51" s="1"/>
  <c r="E709" i="51" a="1"/>
  <c r="E709" i="51" s="1"/>
  <c r="E713" i="51" a="1"/>
  <c r="E713" i="51" s="1"/>
  <c r="E716" i="51" a="1"/>
  <c r="E716" i="51" s="1"/>
  <c r="E719" i="51" a="1"/>
  <c r="E719" i="51" s="1"/>
  <c r="E730" i="51" a="1"/>
  <c r="E730" i="51" s="1"/>
  <c r="E734" i="51" a="1"/>
  <c r="E734" i="51" s="1"/>
  <c r="E738" i="51" a="1"/>
  <c r="E738" i="51" s="1"/>
  <c r="E741" i="51" a="1"/>
  <c r="E741" i="51" s="1"/>
  <c r="E746" i="51" a="1"/>
  <c r="E746" i="51" s="1"/>
  <c r="E749" i="51" a="1"/>
  <c r="E749" i="51" s="1"/>
  <c r="E753" i="51" a="1"/>
  <c r="E753" i="51" s="1"/>
  <c r="E758" i="51" a="1"/>
  <c r="E758" i="51" s="1"/>
  <c r="E764" i="51" a="1"/>
  <c r="E764" i="51" s="1"/>
  <c r="E771" i="51" a="1"/>
  <c r="E771" i="51" s="1"/>
  <c r="E777" i="51" a="1"/>
  <c r="E777" i="51" s="1"/>
  <c r="E779" i="51" a="1"/>
  <c r="E779" i="51" s="1"/>
  <c r="E782" i="51" a="1"/>
  <c r="E782" i="51" s="1"/>
  <c r="E785" i="51" a="1"/>
  <c r="E785" i="51" s="1"/>
  <c r="E789" i="51" a="1"/>
  <c r="E789" i="51" s="1"/>
  <c r="E793" i="51" a="1"/>
  <c r="E793" i="51" s="1"/>
  <c r="E798" i="51" a="1"/>
  <c r="E798" i="51" s="1"/>
  <c r="E802" i="51" a="1"/>
  <c r="E802" i="51" s="1"/>
  <c r="E810" i="51" a="1"/>
  <c r="E810" i="51" s="1"/>
  <c r="E816" i="51" a="1"/>
  <c r="E816" i="51" s="1"/>
  <c r="E822" i="51" a="1"/>
  <c r="E822" i="51" s="1"/>
  <c r="E830" i="51" a="1"/>
  <c r="E830" i="51" s="1"/>
  <c r="E844" i="51" a="1"/>
  <c r="E844" i="51" s="1"/>
  <c r="E856" i="51" a="1"/>
  <c r="E856" i="51" s="1"/>
  <c r="E861" i="51" a="1"/>
  <c r="E861" i="51" s="1"/>
  <c r="E872" i="51" a="1"/>
  <c r="E872" i="51" s="1"/>
  <c r="E876" i="51" a="1"/>
  <c r="E876" i="51" s="1"/>
  <c r="E881" i="51" a="1"/>
  <c r="E881" i="51" s="1"/>
  <c r="E919" i="51" a="1"/>
  <c r="E919" i="51" s="1"/>
  <c r="E923" i="51" a="1"/>
  <c r="E923" i="51" s="1"/>
  <c r="E925" i="51" a="1"/>
  <c r="E925" i="51" s="1"/>
  <c r="E929" i="51" a="1"/>
  <c r="E929" i="51" s="1"/>
  <c r="E938" i="51" a="1"/>
  <c r="E938" i="51" s="1"/>
  <c r="E946" i="51" a="1"/>
  <c r="E946" i="51" s="1"/>
  <c r="E948" i="51" a="1"/>
  <c r="E948" i="51" s="1"/>
  <c r="E952" i="51" a="1"/>
  <c r="E952" i="51" s="1"/>
  <c r="E956" i="51" a="1"/>
  <c r="E956" i="51" s="1"/>
  <c r="E960" i="51" a="1"/>
  <c r="E960" i="51" s="1"/>
  <c r="E965" i="51" a="1"/>
  <c r="E965" i="51" s="1"/>
  <c r="E969" i="51" a="1"/>
  <c r="E969" i="51" s="1"/>
  <c r="E978" i="51" a="1"/>
  <c r="E978" i="51" s="1"/>
  <c r="E987" i="51" a="1"/>
  <c r="E987" i="51" s="1"/>
  <c r="E991" i="51" a="1"/>
  <c r="E991" i="51" s="1"/>
  <c r="E996" i="51" a="1"/>
  <c r="E996" i="51" s="1"/>
  <c r="E1002" i="51" a="1"/>
  <c r="E1002" i="51" s="1"/>
  <c r="E1013" i="51" a="1"/>
  <c r="E1013" i="51" s="1"/>
  <c r="E1018" i="51" a="1"/>
  <c r="E1018" i="51" s="1"/>
  <c r="E1022" i="51" a="1"/>
  <c r="E1022" i="51" s="1"/>
  <c r="E1026" i="51" a="1"/>
  <c r="E1026" i="51" s="1"/>
  <c r="E1030" i="51" a="1"/>
  <c r="E1030" i="51" s="1"/>
  <c r="E1037" i="51" a="1"/>
  <c r="E1037" i="51" s="1"/>
  <c r="E1042" i="51" a="1"/>
  <c r="E1042" i="51" s="1"/>
  <c r="E1048" i="51" a="1"/>
  <c r="E1048" i="51" s="1"/>
  <c r="E1055" i="51" a="1"/>
  <c r="E1055" i="51" s="1"/>
  <c r="E1060" i="51" a="1"/>
  <c r="E1060" i="51" s="1"/>
  <c r="E1065" i="51" a="1"/>
  <c r="E1065" i="51" s="1"/>
  <c r="E1068" i="51" a="1"/>
  <c r="E1068" i="51" s="1"/>
  <c r="E1075" i="51" a="1"/>
  <c r="E1075" i="51" s="1"/>
  <c r="E1080" i="51" a="1"/>
  <c r="E1080" i="51" s="1"/>
  <c r="E1084" i="51" a="1"/>
  <c r="E1084" i="51" s="1"/>
  <c r="E1091" i="51" a="1"/>
  <c r="E1091" i="51" s="1"/>
  <c r="E1098" i="51" a="1"/>
  <c r="E1098" i="51" s="1"/>
  <c r="E1109" i="51" a="1"/>
  <c r="E1109" i="51" s="1"/>
  <c r="E1117" i="51" a="1"/>
  <c r="E1117" i="51" s="1"/>
  <c r="E1124" i="51" a="1"/>
  <c r="E1124" i="51" s="1"/>
  <c r="E1130" i="51" a="1"/>
  <c r="E1130" i="51" s="1"/>
  <c r="E1134" i="51" a="1"/>
  <c r="E1134" i="51" s="1"/>
  <c r="E1142" i="51" a="1"/>
  <c r="E1142" i="51" s="1"/>
  <c r="E1148" i="51" a="1"/>
  <c r="E1148" i="51" s="1"/>
  <c r="E1152" i="51" a="1"/>
  <c r="E1152" i="51" s="1"/>
  <c r="E1156" i="51" a="1"/>
  <c r="E1156" i="51" s="1"/>
  <c r="E1161" i="51" a="1"/>
  <c r="E1161" i="51" s="1"/>
  <c r="E1166" i="51" a="1"/>
  <c r="E1166" i="51" s="1"/>
  <c r="E1169" i="51" a="1"/>
  <c r="E1169" i="51" s="1"/>
  <c r="E1173" i="51" a="1"/>
  <c r="E1173" i="51" s="1"/>
  <c r="E1175" i="51" a="1"/>
  <c r="E1175" i="51" s="1"/>
  <c r="E1180" i="51" a="1"/>
  <c r="E1180" i="51" s="1"/>
  <c r="E1184" i="51" a="1"/>
  <c r="E1184" i="51" s="1"/>
  <c r="E1188" i="51" a="1"/>
  <c r="E1188" i="51" s="1"/>
  <c r="E1192" i="51" a="1"/>
  <c r="E1192" i="51" s="1"/>
  <c r="E1194" i="51" a="1"/>
  <c r="E1194" i="51" s="1"/>
  <c r="E1196" i="51" a="1"/>
  <c r="E1196" i="51" s="1"/>
  <c r="E1199" i="51" a="1"/>
  <c r="E1199" i="51" s="1"/>
  <c r="E1201" i="51" a="1"/>
  <c r="E1201" i="51" s="1"/>
  <c r="E1203" i="51" a="1"/>
  <c r="E1203" i="51" s="1"/>
  <c r="E1205" i="51" a="1"/>
  <c r="E1205" i="51" s="1"/>
  <c r="E1208" i="51" a="1"/>
  <c r="E1208" i="51" s="1"/>
  <c r="E1210" i="51" a="1"/>
  <c r="E1210" i="51" s="1"/>
  <c r="E1214" i="51" a="1"/>
  <c r="E1214" i="51" s="1"/>
  <c r="E1215" i="51" a="1"/>
  <c r="E1215" i="51" s="1"/>
  <c r="E1217" i="51" a="1"/>
  <c r="E1217" i="51" s="1"/>
  <c r="E1220" i="51" a="1"/>
  <c r="E1220" i="51" s="1"/>
  <c r="E1222" i="51" a="1"/>
  <c r="E1222" i="51" s="1"/>
  <c r="E1224" i="51" a="1"/>
  <c r="E1224" i="51" s="1"/>
  <c r="E1226" i="51" a="1"/>
  <c r="E1226" i="51" s="1"/>
  <c r="E1228" i="51" a="1"/>
  <c r="E1228" i="51" s="1"/>
  <c r="E1230" i="51" a="1"/>
  <c r="E1230" i="51" s="1"/>
  <c r="E1231" i="51" a="1"/>
  <c r="E1231" i="51" s="1"/>
  <c r="E1234" i="51" a="1"/>
  <c r="E1234" i="51" s="1"/>
  <c r="E1236" i="51" a="1"/>
  <c r="E1236" i="51" s="1"/>
  <c r="E1237" i="51" a="1"/>
  <c r="E1237" i="51" s="1"/>
  <c r="E1240" i="51" a="1"/>
  <c r="E1240" i="51" s="1"/>
  <c r="E1241" i="51" a="1"/>
  <c r="E1241" i="51" s="1"/>
  <c r="E1243" i="51" a="1"/>
  <c r="E1243" i="51" s="1"/>
  <c r="E1245" i="51" a="1"/>
  <c r="E1245" i="51" s="1"/>
  <c r="E1247" i="51" a="1"/>
  <c r="E1247" i="51" s="1"/>
  <c r="E1249" i="51" a="1"/>
  <c r="E1249" i="51" s="1"/>
  <c r="E1251" i="51" a="1"/>
  <c r="E1251" i="51" s="1"/>
  <c r="E1252" i="51" a="1"/>
  <c r="E1252" i="51" s="1"/>
  <c r="E1254" i="51" a="1"/>
  <c r="E1254" i="51" s="1"/>
  <c r="E1256" i="51" a="1"/>
  <c r="E1256" i="51" s="1"/>
  <c r="E1259" i="51" a="1"/>
  <c r="E1259" i="51" s="1"/>
  <c r="E1260" i="51" a="1"/>
  <c r="E1260" i="51" s="1"/>
  <c r="E1273" i="51" a="1"/>
  <c r="E1273" i="51" s="1"/>
  <c r="E4" i="51" a="1"/>
  <c r="E4" i="51" s="1"/>
  <c r="E8" i="51" a="1"/>
  <c r="E8" i="51" s="1"/>
  <c r="E15" i="51" a="1"/>
  <c r="E15" i="51" s="1"/>
  <c r="E22" i="51" a="1"/>
  <c r="E22" i="51" s="1"/>
  <c r="E42" i="51" a="1"/>
  <c r="E42" i="51" s="1"/>
  <c r="E54" i="51" a="1"/>
  <c r="E54" i="51" s="1"/>
  <c r="E61" i="51" a="1"/>
  <c r="E61" i="51" s="1"/>
  <c r="E66" i="51" a="1"/>
  <c r="E66" i="51" s="1"/>
  <c r="E77" i="51" a="1"/>
  <c r="E77" i="51" s="1"/>
  <c r="E85" i="51" a="1"/>
  <c r="E85" i="51" s="1"/>
  <c r="E89" i="51" a="1"/>
  <c r="E89" i="51" s="1"/>
  <c r="E95" i="51" a="1"/>
  <c r="E95" i="51" s="1"/>
  <c r="E104" i="51" a="1"/>
  <c r="E104" i="51" s="1"/>
  <c r="E110" i="51" a="1"/>
  <c r="E110" i="51" s="1"/>
  <c r="E115" i="51" a="1"/>
  <c r="E115" i="51" s="1"/>
  <c r="E128" i="51" a="1"/>
  <c r="E128" i="51" s="1"/>
  <c r="E140" i="51" a="1"/>
  <c r="E140" i="51" s="1"/>
  <c r="E146" i="51" a="1"/>
  <c r="E146" i="51" s="1"/>
  <c r="E154" i="51" a="1"/>
  <c r="E154" i="51" s="1"/>
  <c r="E160" i="51" a="1"/>
  <c r="E160" i="51" s="1"/>
  <c r="E164" i="51" a="1"/>
  <c r="E164" i="51" s="1"/>
  <c r="E168" i="51" a="1"/>
  <c r="E168" i="51" s="1"/>
  <c r="E172" i="51" a="1"/>
  <c r="E172" i="51" s="1"/>
  <c r="E182" i="51" a="1"/>
  <c r="E182" i="51" s="1"/>
  <c r="E192" i="51" a="1"/>
  <c r="E192" i="51" s="1"/>
  <c r="E197" i="51" a="1"/>
  <c r="E197" i="51" s="1"/>
  <c r="E201" i="51" a="1"/>
  <c r="E201" i="51" s="1"/>
  <c r="E205" i="51" a="1"/>
  <c r="E205" i="51" s="1"/>
  <c r="E211" i="51" a="1"/>
  <c r="E211" i="51" s="1"/>
  <c r="E221" i="51" a="1"/>
  <c r="E221" i="51" s="1"/>
  <c r="E235" i="51" a="1"/>
  <c r="E235" i="51" s="1"/>
  <c r="E242" i="51" a="1"/>
  <c r="E242" i="51" s="1"/>
  <c r="E247" i="51" a="1"/>
  <c r="E247" i="51" s="1"/>
  <c r="E251" i="51" a="1"/>
  <c r="E251" i="51" s="1"/>
  <c r="E259" i="51" a="1"/>
  <c r="E259" i="51" s="1"/>
  <c r="E270" i="51" a="1"/>
  <c r="E270" i="51" s="1"/>
  <c r="E276" i="51" a="1"/>
  <c r="E276" i="51" s="1"/>
  <c r="E291" i="51" a="1"/>
  <c r="E291" i="51" s="1"/>
  <c r="E296" i="51" a="1"/>
  <c r="E296" i="51" s="1"/>
  <c r="E307" i="51" a="1"/>
  <c r="E307" i="51" s="1"/>
  <c r="E311" i="51" a="1"/>
  <c r="E311" i="51" s="1"/>
  <c r="E315" i="51" a="1"/>
  <c r="E315" i="51" s="1"/>
  <c r="E320" i="51" a="1"/>
  <c r="E320" i="51" s="1"/>
  <c r="E334" i="51" a="1"/>
  <c r="E334" i="51" s="1"/>
  <c r="E345" i="51" a="1"/>
  <c r="E345" i="51" s="1"/>
  <c r="E349" i="51" a="1"/>
  <c r="E349" i="51" s="1"/>
  <c r="E362" i="51" a="1"/>
  <c r="E362" i="51" s="1"/>
  <c r="E372" i="51" a="1"/>
  <c r="E372" i="51" s="1"/>
  <c r="E377" i="51" a="1"/>
  <c r="E377" i="51" s="1"/>
  <c r="E390" i="51" a="1"/>
  <c r="E390" i="51" s="1"/>
  <c r="E395" i="51" a="1"/>
  <c r="E395" i="51" s="1"/>
  <c r="E401" i="51" a="1"/>
  <c r="E401" i="51" s="1"/>
  <c r="E414" i="51" a="1"/>
  <c r="E414" i="51" s="1"/>
  <c r="E420" i="51" a="1"/>
  <c r="E420" i="51" s="1"/>
  <c r="E432" i="51" a="1"/>
  <c r="E432" i="51" s="1"/>
  <c r="E436" i="51" a="1"/>
  <c r="E436" i="51" s="1"/>
  <c r="E440" i="51" a="1"/>
  <c r="E440" i="51" s="1"/>
  <c r="E449" i="51" a="1"/>
  <c r="E449" i="51" s="1"/>
  <c r="E468" i="51" a="1"/>
  <c r="E468" i="51" s="1"/>
  <c r="E472" i="51" a="1"/>
  <c r="E472" i="51" s="1"/>
  <c r="E478" i="51" a="1"/>
  <c r="E478" i="51" s="1"/>
  <c r="E487" i="51" a="1"/>
  <c r="E487" i="51" s="1"/>
  <c r="E492" i="51" a="1"/>
  <c r="E492" i="51" s="1"/>
  <c r="E497" i="51" a="1"/>
  <c r="E497" i="51" s="1"/>
  <c r="E501" i="51" a="1"/>
  <c r="E501" i="51" s="1"/>
  <c r="E505" i="51" a="1"/>
  <c r="E505" i="51" s="1"/>
  <c r="E510" i="51" a="1"/>
  <c r="E510" i="51" s="1"/>
  <c r="E514" i="51" a="1"/>
  <c r="E514" i="51" s="1"/>
  <c r="E520" i="51" a="1"/>
  <c r="E520" i="51" s="1"/>
  <c r="E527" i="51" a="1"/>
  <c r="E527" i="51" s="1"/>
  <c r="E532" i="51" a="1"/>
  <c r="E532" i="51" s="1"/>
  <c r="E541" i="51" a="1"/>
  <c r="E541" i="51" s="1"/>
  <c r="E554" i="51" a="1"/>
  <c r="E554" i="51" s="1"/>
  <c r="E558" i="51" a="1"/>
  <c r="E558" i="51" s="1"/>
  <c r="E561" i="51" a="1"/>
  <c r="E561" i="51" s="1"/>
  <c r="E567" i="51" a="1"/>
  <c r="E567" i="51" s="1"/>
  <c r="E572" i="51" a="1"/>
  <c r="E572" i="51" s="1"/>
  <c r="E577" i="51" a="1"/>
  <c r="E577" i="51" s="1"/>
  <c r="E584" i="51" a="1"/>
  <c r="E584" i="51" s="1"/>
  <c r="E591" i="51" a="1"/>
  <c r="E591" i="51" s="1"/>
  <c r="E597" i="51" a="1"/>
  <c r="E597" i="51" s="1"/>
  <c r="E601" i="51" a="1"/>
  <c r="E601" i="51" s="1"/>
  <c r="E610" i="51" a="1"/>
  <c r="E610" i="51" s="1"/>
  <c r="E615" i="51" a="1"/>
  <c r="E615" i="51" s="1"/>
  <c r="E620" i="51" a="1"/>
  <c r="E620" i="51" s="1"/>
  <c r="E624" i="51" a="1"/>
  <c r="E624" i="51" s="1"/>
  <c r="E628" i="51" a="1"/>
  <c r="E628" i="51" s="1"/>
  <c r="E632" i="51" a="1"/>
  <c r="E632" i="51" s="1"/>
  <c r="E638" i="51" a="1"/>
  <c r="E638" i="51" s="1"/>
  <c r="E646" i="51" a="1"/>
  <c r="E646" i="51" s="1"/>
  <c r="E653" i="51" a="1"/>
  <c r="E653" i="51" s="1"/>
  <c r="E663" i="51" a="1"/>
  <c r="E663" i="51" s="1"/>
  <c r="E671" i="51" a="1"/>
  <c r="E671" i="51" s="1"/>
  <c r="E676" i="51" a="1"/>
  <c r="E676" i="51" s="1"/>
  <c r="E681" i="51" a="1"/>
  <c r="E681" i="51" s="1"/>
  <c r="E686" i="51" a="1"/>
  <c r="E686" i="51" s="1"/>
  <c r="E692" i="51" a="1"/>
  <c r="E692" i="51" s="1"/>
  <c r="E698" i="51" a="1"/>
  <c r="E698" i="51" s="1"/>
  <c r="E704" i="51" a="1"/>
  <c r="E704" i="51" s="1"/>
  <c r="E714" i="51" a="1"/>
  <c r="E714" i="51" s="1"/>
  <c r="E718" i="51" a="1"/>
  <c r="E718" i="51" s="1"/>
  <c r="E721" i="51" a="1"/>
  <c r="E721" i="51" s="1"/>
  <c r="E728" i="51" a="1"/>
  <c r="E728" i="51" s="1"/>
  <c r="E737" i="51" a="1"/>
  <c r="E737" i="51" s="1"/>
  <c r="E747" i="51" a="1"/>
  <c r="E747" i="51" s="1"/>
  <c r="E752" i="51" a="1"/>
  <c r="E752" i="51" s="1"/>
  <c r="E762" i="51" a="1"/>
  <c r="E762" i="51" s="1"/>
  <c r="E768" i="51" a="1"/>
  <c r="E768" i="51" s="1"/>
  <c r="E773" i="51" a="1"/>
  <c r="E773" i="51" s="1"/>
  <c r="E780" i="51" a="1"/>
  <c r="E780" i="51" s="1"/>
  <c r="E786" i="51" a="1"/>
  <c r="E786" i="51" s="1"/>
  <c r="E794" i="51" a="1"/>
  <c r="E794" i="51" s="1"/>
  <c r="E801" i="51" a="1"/>
  <c r="E801" i="51" s="1"/>
  <c r="E804" i="51" a="1"/>
  <c r="E804" i="51" s="1"/>
  <c r="E809" i="51" a="1"/>
  <c r="E809" i="51" s="1"/>
  <c r="E817" i="51" a="1"/>
  <c r="E817" i="51" s="1"/>
  <c r="E832" i="51" a="1"/>
  <c r="E832" i="51" s="1"/>
  <c r="E847" i="51" a="1"/>
  <c r="E847" i="51" s="1"/>
  <c r="E853" i="51" a="1"/>
  <c r="E853" i="51" s="1"/>
  <c r="E857" i="51" a="1"/>
  <c r="E857" i="51" s="1"/>
  <c r="E864" i="51" a="1"/>
  <c r="E864" i="51" s="1"/>
  <c r="E875" i="51" a="1"/>
  <c r="E875" i="51" s="1"/>
  <c r="E886" i="51" a="1"/>
  <c r="E886" i="51" s="1"/>
  <c r="E892" i="51" a="1"/>
  <c r="E892" i="51" s="1"/>
  <c r="E900" i="51" a="1"/>
  <c r="E900" i="51" s="1"/>
  <c r="E907" i="51" a="1"/>
  <c r="E907" i="51" s="1"/>
  <c r="E914" i="51" a="1"/>
  <c r="E914" i="51" s="1"/>
  <c r="E918" i="51" a="1"/>
  <c r="E918" i="51" s="1"/>
  <c r="E926" i="51" a="1"/>
  <c r="E926" i="51" s="1"/>
  <c r="E934" i="51" a="1"/>
  <c r="E934" i="51" s="1"/>
  <c r="E939" i="51" a="1"/>
  <c r="E939" i="51" s="1"/>
  <c r="E945" i="51" a="1"/>
  <c r="E945" i="51" s="1"/>
  <c r="E964" i="51" a="1"/>
  <c r="E964" i="51" s="1"/>
  <c r="E973" i="51" a="1"/>
  <c r="E973" i="51" s="1"/>
  <c r="E984" i="51" a="1"/>
  <c r="E984" i="51" s="1"/>
  <c r="E999" i="51" a="1"/>
  <c r="E999" i="51" s="1"/>
  <c r="E1008" i="51" a="1"/>
  <c r="E1008" i="51" s="1"/>
  <c r="E1017" i="51" a="1"/>
  <c r="E1017" i="51" s="1"/>
  <c r="E1029" i="51" a="1"/>
  <c r="E1029" i="51" s="1"/>
  <c r="E1033" i="51" a="1"/>
  <c r="E1033" i="51" s="1"/>
  <c r="E1038" i="51" a="1"/>
  <c r="E1038" i="51" s="1"/>
  <c r="E1041" i="51" a="1"/>
  <c r="E1041" i="51" s="1"/>
  <c r="E1054" i="51" a="1"/>
  <c r="E1054" i="51" s="1"/>
  <c r="E1093" i="51" a="1"/>
  <c r="E1093" i="51" s="1"/>
  <c r="E1099" i="51" a="1"/>
  <c r="E1099" i="51" s="1"/>
  <c r="E1103" i="51" a="1"/>
  <c r="E1103" i="51" s="1"/>
  <c r="E1110" i="51" a="1"/>
  <c r="E1110" i="51" s="1"/>
  <c r="E1115" i="51" a="1"/>
  <c r="E1115" i="51" s="1"/>
  <c r="E1122" i="51" a="1"/>
  <c r="E1122" i="51" s="1"/>
  <c r="E1129" i="51" a="1"/>
  <c r="E1129" i="51" s="1"/>
  <c r="E1137" i="51" a="1"/>
  <c r="E1137" i="51" s="1"/>
  <c r="E1145" i="51" a="1"/>
  <c r="E1145" i="51" s="1"/>
  <c r="E1151" i="51" a="1"/>
  <c r="E1151" i="51" s="1"/>
  <c r="E1157" i="51" a="1"/>
  <c r="E1157" i="51" s="1"/>
  <c r="E1162" i="51" a="1"/>
  <c r="E1162" i="51" s="1"/>
  <c r="E1172" i="51" a="1"/>
  <c r="E1172" i="51" s="1"/>
  <c r="E1176" i="51" a="1"/>
  <c r="E1176" i="51" s="1"/>
  <c r="E1179" i="51" a="1"/>
  <c r="E1179" i="51" s="1"/>
  <c r="E1182" i="51" a="1"/>
  <c r="E1182" i="51" s="1"/>
  <c r="E1183" i="51" a="1"/>
  <c r="E1183" i="51" s="1"/>
  <c r="E1186" i="51" a="1"/>
  <c r="E1186" i="51" s="1"/>
  <c r="E1189" i="51" a="1"/>
  <c r="E1189" i="51" s="1"/>
  <c r="E1191" i="51" a="1"/>
  <c r="E1191" i="51" s="1"/>
  <c r="E1195" i="51" a="1"/>
  <c r="E1195" i="51" s="1"/>
  <c r="E1197" i="51" a="1"/>
  <c r="E1197" i="51" s="1"/>
  <c r="E1200" i="51" a="1"/>
  <c r="E1200" i="51" s="1"/>
  <c r="E1202" i="51" a="1"/>
  <c r="E1202" i="51" s="1"/>
  <c r="E1204" i="51" a="1"/>
  <c r="E1204" i="51" s="1"/>
  <c r="E1207" i="51" a="1"/>
  <c r="E1207" i="51" s="1"/>
  <c r="E1209" i="51" a="1"/>
  <c r="E1209" i="51" s="1"/>
  <c r="E1211" i="51" a="1"/>
  <c r="E1211" i="51" s="1"/>
  <c r="E1213" i="51" a="1"/>
  <c r="E1213" i="51" s="1"/>
  <c r="E1216" i="51" a="1"/>
  <c r="E1216" i="51" s="1"/>
  <c r="E1218" i="51" a="1"/>
  <c r="E1218" i="51" s="1"/>
  <c r="E1219" i="51" a="1"/>
  <c r="E1219" i="51" s="1"/>
  <c r="E1221" i="51" a="1"/>
  <c r="E1221" i="51" s="1"/>
  <c r="E1223" i="51" a="1"/>
  <c r="E1223" i="51" s="1"/>
  <c r="E1225" i="51" a="1"/>
  <c r="E1225" i="51" s="1"/>
  <c r="E1227" i="51" a="1"/>
  <c r="E1227" i="51" s="1"/>
  <c r="E1229" i="51" a="1"/>
  <c r="E1229" i="51" s="1"/>
  <c r="E1232" i="51" a="1"/>
  <c r="E1232" i="51" s="1"/>
  <c r="E1233" i="51" a="1"/>
  <c r="E1233" i="51" s="1"/>
  <c r="E1235" i="51" a="1"/>
  <c r="E1235" i="51" s="1"/>
  <c r="E1238" i="51" a="1"/>
  <c r="E1238" i="51" s="1"/>
  <c r="E1239" i="51" a="1"/>
  <c r="E1239" i="51" s="1"/>
  <c r="E1242" i="51" a="1"/>
  <c r="E1242" i="51" s="1"/>
  <c r="E1244" i="51" a="1"/>
  <c r="E1244" i="51" s="1"/>
  <c r="E1246" i="51" a="1"/>
  <c r="E1246" i="51" s="1"/>
  <c r="E1248" i="51" a="1"/>
  <c r="E1248" i="51" s="1"/>
  <c r="E1250" i="51" a="1"/>
  <c r="E1250" i="51" s="1"/>
  <c r="E1253" i="51" a="1"/>
  <c r="E1253" i="51" s="1"/>
  <c r="E1255" i="51" a="1"/>
  <c r="E1255" i="51" s="1"/>
  <c r="E1257" i="51" a="1"/>
  <c r="E1257" i="51" s="1"/>
  <c r="E1258" i="51" a="1"/>
  <c r="E1258" i="51" s="1"/>
  <c r="E1261" i="51" a="1"/>
  <c r="E1261" i="51" s="1"/>
  <c r="E1262" i="51" a="1"/>
  <c r="E1262" i="51" s="1"/>
  <c r="E1263" i="51" a="1"/>
  <c r="E1263" i="51" s="1"/>
  <c r="E1264" i="51" a="1"/>
  <c r="E1264" i="51" s="1"/>
  <c r="E1265" i="51" a="1"/>
  <c r="E1265" i="51" s="1"/>
  <c r="E1266" i="51" a="1"/>
  <c r="E1266" i="51" s="1"/>
  <c r="E1267" i="51" a="1"/>
  <c r="E1267" i="51" s="1"/>
  <c r="E1268" i="51" a="1"/>
  <c r="E1268" i="51" s="1"/>
  <c r="E1269" i="51" a="1"/>
  <c r="E1269" i="51" s="1"/>
  <c r="E1270" i="51" a="1"/>
  <c r="E1270" i="51" s="1"/>
  <c r="E1271" i="51" a="1"/>
  <c r="E1271" i="51" s="1"/>
  <c r="E1272" i="51" a="1"/>
  <c r="E1272" i="51" s="1"/>
  <c r="E1274" i="51" a="1"/>
  <c r="E1274" i="51" s="1"/>
  <c r="E1275" i="51" a="1"/>
  <c r="E1275" i="51" s="1"/>
  <c r="E1276" i="51" a="1"/>
  <c r="E1276" i="51" s="1"/>
  <c r="E1277" i="51" a="1"/>
  <c r="E1277" i="51" s="1"/>
  <c r="E1278" i="51" a="1"/>
  <c r="E1278" i="51" s="1"/>
  <c r="E1279" i="51" a="1"/>
  <c r="E1279" i="51" s="1"/>
  <c r="E1280" i="51" a="1"/>
  <c r="E1280" i="51" s="1"/>
  <c r="E1281" i="51" a="1"/>
  <c r="E1281" i="51" s="1"/>
  <c r="E1282" i="51" a="1"/>
  <c r="E1282" i="51" s="1"/>
  <c r="E1283" i="51" a="1"/>
  <c r="E1283" i="51" s="1"/>
  <c r="E1284" i="51" a="1"/>
  <c r="E1284" i="51" s="1"/>
  <c r="E1285" i="51" a="1"/>
  <c r="E1285" i="51" s="1"/>
  <c r="E1286" i="51" a="1"/>
  <c r="E1286" i="51" s="1"/>
  <c r="E1287" i="51" a="1"/>
  <c r="E1287" i="51" s="1"/>
  <c r="I21" i="51"/>
  <c r="E6" i="52" a="1"/>
  <c r="E6" i="52" s="1"/>
  <c r="E12" i="52" a="1"/>
  <c r="E12" i="52" s="1"/>
  <c r="E15" i="52" a="1"/>
  <c r="E15" i="52" s="1"/>
  <c r="E19" i="52" a="1"/>
  <c r="E19" i="52" s="1"/>
  <c r="E25" i="52" a="1"/>
  <c r="E25" i="52" s="1"/>
  <c r="E28" i="52" a="1"/>
  <c r="E28" i="52" s="1"/>
  <c r="E36" i="52" a="1"/>
  <c r="E36" i="52" s="1"/>
  <c r="E47" i="52" a="1"/>
  <c r="E47" i="52" s="1"/>
  <c r="E59" i="52" a="1"/>
  <c r="E59" i="52" s="1"/>
  <c r="E66" i="52" a="1"/>
  <c r="E66" i="52" s="1"/>
  <c r="E71" i="52" a="1"/>
  <c r="E71" i="52" s="1"/>
  <c r="E77" i="52" a="1"/>
  <c r="E77" i="52" s="1"/>
  <c r="E86" i="52" a="1"/>
  <c r="E86" i="52" s="1"/>
  <c r="E93" i="52" a="1"/>
  <c r="E93" i="52" s="1"/>
  <c r="E99" i="52" a="1"/>
  <c r="E99" i="52" s="1"/>
  <c r="E107" i="52" a="1"/>
  <c r="E107" i="52" s="1"/>
  <c r="E119" i="52" a="1"/>
  <c r="E119" i="52" s="1"/>
  <c r="E123" i="52" a="1"/>
  <c r="E123" i="52" s="1"/>
  <c r="E129" i="52" a="1"/>
  <c r="E129" i="52" s="1"/>
  <c r="E134" i="52" a="1"/>
  <c r="E134" i="52" s="1"/>
  <c r="E140" i="52" a="1"/>
  <c r="E140" i="52" s="1"/>
  <c r="E153" i="52" a="1"/>
  <c r="E153" i="52" s="1"/>
  <c r="E167" i="52" a="1"/>
  <c r="E167" i="52" s="1"/>
  <c r="E176" i="52" a="1"/>
  <c r="E176" i="52" s="1"/>
  <c r="E180" i="52" a="1"/>
  <c r="E180" i="52" s="1"/>
  <c r="E186" i="52" a="1"/>
  <c r="E186" i="52" s="1"/>
  <c r="E191" i="52" a="1"/>
  <c r="E191" i="52" s="1"/>
  <c r="E195" i="52" a="1"/>
  <c r="E195" i="52" s="1"/>
  <c r="E200" i="52" a="1"/>
  <c r="E200" i="52" s="1"/>
  <c r="E214" i="52" a="1"/>
  <c r="E214" i="52" s="1"/>
  <c r="E218" i="52" a="1"/>
  <c r="E218" i="52" s="1"/>
  <c r="E226" i="52" a="1"/>
  <c r="E226" i="52" s="1"/>
  <c r="E230" i="52" a="1"/>
  <c r="E230" i="52" s="1"/>
  <c r="E236" i="52" a="1"/>
  <c r="E236" i="52" s="1"/>
  <c r="E245" i="52" a="1"/>
  <c r="E245" i="52" s="1"/>
  <c r="E253" i="52" a="1"/>
  <c r="E253" i="52" s="1"/>
  <c r="E259" i="52" a="1"/>
  <c r="E259" i="52" s="1"/>
  <c r="E269" i="52" a="1"/>
  <c r="E269" i="52" s="1"/>
  <c r="E282" i="52" a="1"/>
  <c r="E282" i="52" s="1"/>
  <c r="E301" i="52" a="1"/>
  <c r="E301" i="52" s="1"/>
  <c r="E311" i="52" a="1"/>
  <c r="E311" i="52" s="1"/>
  <c r="E318" i="52" a="1"/>
  <c r="E318" i="52" s="1"/>
  <c r="E327" i="52" a="1"/>
  <c r="E327" i="52" s="1"/>
  <c r="E334" i="52" a="1"/>
  <c r="E334" i="52" s="1"/>
  <c r="E354" i="52" a="1"/>
  <c r="E354" i="52" s="1"/>
  <c r="E367" i="52" a="1"/>
  <c r="E367" i="52" s="1"/>
  <c r="E371" i="52" a="1"/>
  <c r="E371" i="52" s="1"/>
  <c r="E388" i="52" a="1"/>
  <c r="E388" i="52" s="1"/>
  <c r="E396" i="52" a="1"/>
  <c r="E396" i="52" s="1"/>
  <c r="E401" i="52" a="1"/>
  <c r="E401" i="52" s="1"/>
  <c r="E405" i="52" a="1"/>
  <c r="E405" i="52" s="1"/>
  <c r="E411" i="52" a="1"/>
  <c r="E411" i="52" s="1"/>
  <c r="E422" i="52" a="1"/>
  <c r="E422" i="52" s="1"/>
  <c r="E427" i="52" a="1"/>
  <c r="E427" i="52" s="1"/>
  <c r="E431" i="52" a="1"/>
  <c r="E431" i="52" s="1"/>
  <c r="E436" i="52" a="1"/>
  <c r="E436" i="52" s="1"/>
  <c r="E440" i="52" a="1"/>
  <c r="E440" i="52" s="1"/>
  <c r="E447" i="52" a="1"/>
  <c r="E447" i="52" s="1"/>
  <c r="E453" i="52" a="1"/>
  <c r="E453" i="52" s="1"/>
  <c r="E464" i="52" a="1"/>
  <c r="E464" i="52" s="1"/>
  <c r="E472" i="52" a="1"/>
  <c r="E472" i="52" s="1"/>
  <c r="E476" i="52" a="1"/>
  <c r="E476" i="52" s="1"/>
  <c r="E482" i="52" a="1"/>
  <c r="E482" i="52" s="1"/>
  <c r="E488" i="52" a="1"/>
  <c r="E488" i="52" s="1"/>
  <c r="E494" i="52" a="1"/>
  <c r="E494" i="52" s="1"/>
  <c r="E498" i="52" a="1"/>
  <c r="E498" i="52" s="1"/>
  <c r="E509" i="52" a="1"/>
  <c r="E509" i="52" s="1"/>
  <c r="E514" i="52" a="1"/>
  <c r="E514" i="52" s="1"/>
  <c r="E521" i="52" a="1"/>
  <c r="E521" i="52" s="1"/>
  <c r="E531" i="52" a="1"/>
  <c r="E531" i="52" s="1"/>
  <c r="E535" i="52" a="1"/>
  <c r="E535" i="52" s="1"/>
  <c r="E544" i="52" a="1"/>
  <c r="E544" i="52" s="1"/>
  <c r="E561" i="52" a="1"/>
  <c r="E561" i="52" s="1"/>
  <c r="E566" i="52" a="1"/>
  <c r="E566" i="52" s="1"/>
  <c r="E570" i="52" a="1"/>
  <c r="E570" i="52" s="1"/>
  <c r="E576" i="52" a="1"/>
  <c r="E576" i="52" s="1"/>
  <c r="E583" i="52" a="1"/>
  <c r="E583" i="52" s="1"/>
  <c r="E593" i="52" a="1"/>
  <c r="E593" i="52" s="1"/>
  <c r="E603" i="52" a="1"/>
  <c r="E603" i="52" s="1"/>
  <c r="E611" i="52" a="1"/>
  <c r="E611" i="52" s="1"/>
  <c r="E618" i="52" a="1"/>
  <c r="E618" i="52" s="1"/>
  <c r="E622" i="52" a="1"/>
  <c r="E622" i="52" s="1"/>
  <c r="E629" i="52" a="1"/>
  <c r="E629" i="52" s="1"/>
  <c r="E638" i="52" a="1"/>
  <c r="E638" i="52" s="1"/>
  <c r="E642" i="52" a="1"/>
  <c r="E642" i="52" s="1"/>
  <c r="E650" i="52" a="1"/>
  <c r="E650" i="52" s="1"/>
  <c r="E664" i="52" a="1"/>
  <c r="E664" i="52" s="1"/>
  <c r="E671" i="52" a="1"/>
  <c r="E671" i="52" s="1"/>
  <c r="E680" i="52" a="1"/>
  <c r="E680" i="52" s="1"/>
  <c r="E686" i="52" a="1"/>
  <c r="E686" i="52" s="1"/>
  <c r="E691" i="52" a="1"/>
  <c r="E691" i="52" s="1"/>
  <c r="E701" i="52" a="1"/>
  <c r="E701" i="52" s="1"/>
  <c r="E706" i="52" a="1"/>
  <c r="E706" i="52" s="1"/>
  <c r="E712" i="52" a="1"/>
  <c r="E712" i="52" s="1"/>
  <c r="E718" i="52" a="1"/>
  <c r="E718" i="52" s="1"/>
  <c r="E722" i="52" a="1"/>
  <c r="E722" i="52" s="1"/>
  <c r="E728" i="52" a="1"/>
  <c r="E728" i="52" s="1"/>
  <c r="E733" i="52" a="1"/>
  <c r="E733" i="52" s="1"/>
  <c r="E738" i="52" a="1"/>
  <c r="E738" i="52" s="1"/>
  <c r="E751" i="52" a="1"/>
  <c r="E751" i="52" s="1"/>
  <c r="E760" i="52" a="1"/>
  <c r="E760" i="52" s="1"/>
  <c r="E765" i="52" a="1"/>
  <c r="E765" i="52" s="1"/>
  <c r="E771" i="52" a="1"/>
  <c r="E771" i="52" s="1"/>
  <c r="E775" i="52" a="1"/>
  <c r="E775" i="52" s="1"/>
  <c r="E785" i="52" a="1"/>
  <c r="E785" i="52" s="1"/>
  <c r="E790" i="52" a="1"/>
  <c r="E790" i="52" s="1"/>
  <c r="E794" i="52" a="1"/>
  <c r="E794" i="52" s="1"/>
  <c r="E799" i="52" a="1"/>
  <c r="E799" i="52" s="1"/>
  <c r="E806" i="52" a="1"/>
  <c r="E806" i="52" s="1"/>
  <c r="E812" i="52" a="1"/>
  <c r="E812" i="52" s="1"/>
  <c r="E815" i="52" a="1"/>
  <c r="E815" i="52" s="1"/>
  <c r="E820" i="52" a="1"/>
  <c r="E820" i="52" s="1"/>
  <c r="E824" i="52" a="1"/>
  <c r="E824" i="52" s="1"/>
  <c r="E831" i="52" a="1"/>
  <c r="E831" i="52" s="1"/>
  <c r="E899" i="52" a="1"/>
  <c r="E899" i="52" s="1"/>
  <c r="E906" i="52" a="1"/>
  <c r="E906" i="52" s="1"/>
  <c r="E911" i="52" a="1"/>
  <c r="E911" i="52" s="1"/>
  <c r="E916" i="52" a="1"/>
  <c r="E916" i="52" s="1"/>
  <c r="E920" i="52" a="1"/>
  <c r="E920" i="52" s="1"/>
  <c r="E926" i="52" a="1"/>
  <c r="E926" i="52" s="1"/>
  <c r="E931" i="52" a="1"/>
  <c r="E931" i="52" s="1"/>
  <c r="E936" i="52" a="1"/>
  <c r="E936" i="52" s="1"/>
  <c r="E941" i="52" a="1"/>
  <c r="E941" i="52" s="1"/>
  <c r="E963" i="52" a="1"/>
  <c r="E963" i="52" s="1"/>
  <c r="E967" i="52" a="1"/>
  <c r="E967" i="52" s="1"/>
  <c r="E971" i="52" a="1"/>
  <c r="E971" i="52" s="1"/>
  <c r="E974" i="52" a="1"/>
  <c r="E974" i="52" s="1"/>
  <c r="E976" i="52" a="1"/>
  <c r="E976" i="52" s="1"/>
  <c r="E980" i="52" a="1"/>
  <c r="E980" i="52" s="1"/>
  <c r="E982" i="52" a="1"/>
  <c r="E982" i="52" s="1"/>
  <c r="E984" i="52" a="1"/>
  <c r="E984" i="52" s="1"/>
  <c r="E986" i="52" a="1"/>
  <c r="E986" i="52" s="1"/>
  <c r="E988" i="52" a="1"/>
  <c r="E988" i="52" s="1"/>
  <c r="E990" i="52" a="1"/>
  <c r="E990" i="52" s="1"/>
  <c r="E991" i="52" a="1"/>
  <c r="E991" i="52" s="1"/>
  <c r="E994" i="52" a="1"/>
  <c r="E994" i="52" s="1"/>
  <c r="E997" i="52" a="1"/>
  <c r="E997" i="52" s="1"/>
  <c r="E999" i="52" a="1"/>
  <c r="E999" i="52" s="1"/>
  <c r="E1002" i="52" a="1"/>
  <c r="E1002" i="52" s="1"/>
  <c r="E1004" i="52" a="1"/>
  <c r="E1004" i="52" s="1"/>
  <c r="E1006" i="52" a="1"/>
  <c r="E1006" i="52" s="1"/>
  <c r="E1008" i="52" a="1"/>
  <c r="E1008" i="52" s="1"/>
  <c r="E1010" i="52" a="1"/>
  <c r="E1010" i="52" s="1"/>
  <c r="E1011" i="52" a="1"/>
  <c r="E1011" i="52" s="1"/>
  <c r="E1012" i="52" a="1"/>
  <c r="E1012" i="52" s="1"/>
  <c r="E1013" i="52" a="1"/>
  <c r="E1013" i="52" s="1"/>
  <c r="E1014" i="52" a="1"/>
  <c r="E1014" i="52" s="1"/>
  <c r="E1015" i="52" a="1"/>
  <c r="E1015" i="52" s="1"/>
  <c r="E1016" i="52" a="1"/>
  <c r="E1016" i="52" s="1"/>
  <c r="E1017" i="52" a="1"/>
  <c r="E1017" i="52" s="1"/>
  <c r="E1018" i="52" a="1"/>
  <c r="E1018" i="52" s="1"/>
  <c r="E1019" i="52" a="1"/>
  <c r="E1019" i="52" s="1"/>
  <c r="E1020" i="52" a="1"/>
  <c r="E1020" i="52" s="1"/>
  <c r="E1021" i="52" a="1"/>
  <c r="E1021" i="52" s="1"/>
  <c r="E1022" i="52" a="1"/>
  <c r="E1022" i="52" s="1"/>
  <c r="E1023" i="52" a="1"/>
  <c r="E1023" i="52" s="1"/>
  <c r="E1024" i="52" a="1"/>
  <c r="E1024" i="52" s="1"/>
  <c r="E1026" i="52" a="1"/>
  <c r="E1026" i="52" s="1"/>
  <c r="E1027" i="52" a="1"/>
  <c r="E1027" i="52" s="1"/>
  <c r="E1028" i="52" a="1"/>
  <c r="E1028" i="52" s="1"/>
  <c r="E1029" i="52" a="1"/>
  <c r="E1029" i="52" s="1"/>
  <c r="E1030" i="52" a="1"/>
  <c r="E1030" i="52" s="1"/>
  <c r="E1031" i="52" a="1"/>
  <c r="E1031" i="52" s="1"/>
  <c r="E1032" i="52" a="1"/>
  <c r="E1032" i="52" s="1"/>
  <c r="E1033" i="52" a="1"/>
  <c r="E1033" i="52" s="1"/>
  <c r="E1034" i="52" a="1"/>
  <c r="E1034" i="52" s="1"/>
  <c r="E1035" i="52" a="1"/>
  <c r="E1035" i="52" s="1"/>
  <c r="E1036" i="52" a="1"/>
  <c r="E1036" i="52" s="1"/>
  <c r="E1037" i="52" a="1"/>
  <c r="E1037" i="52" s="1"/>
  <c r="E1038" i="52" a="1"/>
  <c r="E1038" i="52" s="1"/>
  <c r="E1039" i="52" a="1"/>
  <c r="E1039" i="52" s="1"/>
  <c r="E1040" i="52" a="1"/>
  <c r="E1040" i="52" s="1"/>
  <c r="E1041" i="52" a="1"/>
  <c r="E1041" i="52" s="1"/>
  <c r="E1042" i="52" a="1"/>
  <c r="E1042" i="52" s="1"/>
  <c r="E1043" i="52" a="1"/>
  <c r="E1043" i="52" s="1"/>
  <c r="E1044" i="52" a="1"/>
  <c r="E1044" i="52" s="1"/>
  <c r="E1045" i="52" a="1"/>
  <c r="E1045" i="52" s="1"/>
  <c r="E1046" i="52" a="1"/>
  <c r="E1046" i="52" s="1"/>
  <c r="E1047" i="52" a="1"/>
  <c r="E1047" i="52" s="1"/>
  <c r="E1048" i="52" a="1"/>
  <c r="E1048" i="52" s="1"/>
  <c r="E1049" i="52" a="1"/>
  <c r="E1049" i="52" s="1"/>
  <c r="E1050" i="52" a="1"/>
  <c r="E1050" i="52" s="1"/>
  <c r="E1051" i="52" a="1"/>
  <c r="E1051" i="52" s="1"/>
  <c r="E1052" i="52" a="1"/>
  <c r="E1052" i="52" s="1"/>
  <c r="E1053" i="52" a="1"/>
  <c r="E1053" i="52" s="1"/>
  <c r="E1054" i="52" a="1"/>
  <c r="E1054" i="52" s="1"/>
  <c r="E1055" i="52" a="1"/>
  <c r="E1055" i="52" s="1"/>
  <c r="E1056" i="52" a="1"/>
  <c r="E1056" i="52" s="1"/>
  <c r="E1057" i="52" a="1"/>
  <c r="E1057" i="52" s="1"/>
  <c r="E1058" i="52" a="1"/>
  <c r="E1058" i="52" s="1"/>
  <c r="E1059" i="52" a="1"/>
  <c r="E1059" i="52" s="1"/>
  <c r="E1060" i="52" a="1"/>
  <c r="E1060" i="52" s="1"/>
  <c r="E1061" i="52" a="1"/>
  <c r="E1061" i="52" s="1"/>
  <c r="E1062" i="52" a="1"/>
  <c r="E1062" i="52" s="1"/>
  <c r="E1063" i="52" a="1"/>
  <c r="E1063" i="52" s="1"/>
  <c r="E1064" i="52" a="1"/>
  <c r="E1064" i="52" s="1"/>
  <c r="E1065" i="52" a="1"/>
  <c r="E1065" i="52" s="1"/>
  <c r="E1066" i="52" a="1"/>
  <c r="E1066" i="52" s="1"/>
  <c r="E1067" i="52" a="1"/>
  <c r="E1067" i="52" s="1"/>
  <c r="E1068" i="52" a="1"/>
  <c r="E1068" i="52" s="1"/>
  <c r="E1069" i="52" a="1"/>
  <c r="E1069" i="52" s="1"/>
  <c r="E1070" i="52" a="1"/>
  <c r="E1070" i="52" s="1"/>
  <c r="E1071" i="52" a="1"/>
  <c r="E1071" i="52" s="1"/>
  <c r="E1072" i="52" a="1"/>
  <c r="E1072" i="52" s="1"/>
  <c r="E1073" i="52" a="1"/>
  <c r="E1073" i="52" s="1"/>
  <c r="E1074" i="52" a="1"/>
  <c r="E1074" i="52" s="1"/>
  <c r="E1075" i="52" a="1"/>
  <c r="E1075" i="52" s="1"/>
  <c r="E1076" i="52" a="1"/>
  <c r="E1076" i="52" s="1"/>
  <c r="E1077" i="52" a="1"/>
  <c r="E1077" i="52" s="1"/>
  <c r="E1078" i="52" a="1"/>
  <c r="E1078" i="52" s="1"/>
  <c r="E1079" i="52" a="1"/>
  <c r="E1079" i="52" s="1"/>
  <c r="E1080" i="52" a="1"/>
  <c r="E1080" i="52" s="1"/>
  <c r="E1081" i="52" a="1"/>
  <c r="E1081" i="52" s="1"/>
  <c r="E1082" i="52" a="1"/>
  <c r="E1082" i="52" s="1"/>
  <c r="E1083" i="52" a="1"/>
  <c r="E1083" i="52" s="1"/>
  <c r="E1084" i="52" a="1"/>
  <c r="E1084" i="52" s="1"/>
  <c r="E1085" i="52" a="1"/>
  <c r="E1085" i="52" s="1"/>
  <c r="E1086" i="52" a="1"/>
  <c r="E1086" i="52" s="1"/>
  <c r="E1087" i="52" a="1"/>
  <c r="E1087" i="52" s="1"/>
  <c r="E1088" i="52" a="1"/>
  <c r="E1088" i="52" s="1"/>
  <c r="E1089" i="52" a="1"/>
  <c r="E1089" i="52" s="1"/>
  <c r="E1090" i="52" a="1"/>
  <c r="E1090" i="52" s="1"/>
  <c r="E1091" i="52" a="1"/>
  <c r="E1091" i="52" s="1"/>
  <c r="E1092" i="52" a="1"/>
  <c r="E1092" i="52" s="1"/>
  <c r="E1093" i="52" a="1"/>
  <c r="E1093" i="52" s="1"/>
  <c r="E1094" i="52" a="1"/>
  <c r="E1094" i="52" s="1"/>
  <c r="E1095" i="52" a="1"/>
  <c r="E1095" i="52" s="1"/>
  <c r="E1096" i="52" a="1"/>
  <c r="E1096" i="52" s="1"/>
  <c r="E1097" i="52" a="1"/>
  <c r="E1097" i="52" s="1"/>
  <c r="E1098" i="52" a="1"/>
  <c r="E1098" i="52" s="1"/>
  <c r="E1099" i="52" a="1"/>
  <c r="E1099" i="52" s="1"/>
  <c r="E1100" i="52" a="1"/>
  <c r="E1100" i="52" s="1"/>
  <c r="E1101" i="52" a="1"/>
  <c r="E1101" i="52" s="1"/>
  <c r="E1102" i="52" a="1"/>
  <c r="E1102" i="52" s="1"/>
  <c r="E1103" i="52" a="1"/>
  <c r="E1103" i="52" s="1"/>
  <c r="E1104" i="52" a="1"/>
  <c r="E1104" i="52" s="1"/>
  <c r="E1105" i="52" a="1"/>
  <c r="E1105" i="52" s="1"/>
  <c r="E1106" i="52" a="1"/>
  <c r="E1106" i="52" s="1"/>
  <c r="E1107" i="52" a="1"/>
  <c r="E1107" i="52" s="1"/>
  <c r="E1108" i="52" a="1"/>
  <c r="E1108" i="52" s="1"/>
  <c r="E1109" i="52" a="1"/>
  <c r="E1109" i="52" s="1"/>
  <c r="E1110" i="52" a="1"/>
  <c r="E1110" i="52" s="1"/>
  <c r="E1111" i="52" a="1"/>
  <c r="E1111" i="52" s="1"/>
  <c r="E1112" i="52" a="1"/>
  <c r="E1112" i="52" s="1"/>
  <c r="E1113" i="52" a="1"/>
  <c r="E1113" i="52" s="1"/>
  <c r="E1114" i="52" a="1"/>
  <c r="E1114" i="52" s="1"/>
  <c r="E1115" i="52" a="1"/>
  <c r="E1115" i="52" s="1"/>
  <c r="E1116" i="52" a="1"/>
  <c r="E1116" i="52" s="1"/>
  <c r="E1117" i="52" a="1"/>
  <c r="E1117" i="52" s="1"/>
  <c r="E1118" i="52" a="1"/>
  <c r="E1118" i="52" s="1"/>
  <c r="E1119" i="52" a="1"/>
  <c r="E1119" i="52" s="1"/>
  <c r="E1120" i="52" a="1"/>
  <c r="E1120" i="52" s="1"/>
  <c r="E1121" i="52" a="1"/>
  <c r="E1121" i="52" s="1"/>
  <c r="E1122" i="52" a="1"/>
  <c r="E1122" i="52" s="1"/>
  <c r="E1123" i="52" a="1"/>
  <c r="E1123" i="52" s="1"/>
  <c r="E1124" i="52" a="1"/>
  <c r="E1124" i="52" s="1"/>
  <c r="E1125" i="52" a="1"/>
  <c r="E1125" i="52" s="1"/>
  <c r="E1126" i="52" a="1"/>
  <c r="E1126" i="52" s="1"/>
  <c r="E1127" i="52" a="1"/>
  <c r="E1127" i="52" s="1"/>
  <c r="E1128" i="52" a="1"/>
  <c r="E1128" i="52" s="1"/>
  <c r="E1129" i="52" a="1"/>
  <c r="E1129" i="52" s="1"/>
  <c r="E1130" i="52" a="1"/>
  <c r="E1130" i="52" s="1"/>
  <c r="E1131" i="52" a="1"/>
  <c r="E1131" i="52" s="1"/>
  <c r="E1132" i="52" a="1"/>
  <c r="E1132" i="52" s="1"/>
  <c r="E1133" i="52" a="1"/>
  <c r="E1133" i="52" s="1"/>
  <c r="E1134" i="52" a="1"/>
  <c r="E1134" i="52" s="1"/>
  <c r="E1135" i="52" a="1"/>
  <c r="E1135" i="52" s="1"/>
  <c r="E1136" i="52" a="1"/>
  <c r="E1136" i="52" s="1"/>
  <c r="E1137" i="52" a="1"/>
  <c r="E1137" i="52" s="1"/>
  <c r="E1138" i="52" a="1"/>
  <c r="E1138" i="52" s="1"/>
  <c r="E1139" i="52" a="1"/>
  <c r="E1139" i="52" s="1"/>
  <c r="E1140" i="52" a="1"/>
  <c r="E1140" i="52" s="1"/>
  <c r="E1141" i="52" a="1"/>
  <c r="E1141" i="52" s="1"/>
  <c r="E1142" i="52" a="1"/>
  <c r="E1142" i="52" s="1"/>
  <c r="E1143" i="52" a="1"/>
  <c r="E1143" i="52" s="1"/>
  <c r="E1144" i="52" a="1"/>
  <c r="E1144" i="52" s="1"/>
  <c r="E1145" i="52" a="1"/>
  <c r="E1145" i="52" s="1"/>
  <c r="E1146" i="52" a="1"/>
  <c r="E1146" i="52" s="1"/>
  <c r="E1147" i="52" a="1"/>
  <c r="E1147" i="52" s="1"/>
  <c r="E1148" i="52" a="1"/>
  <c r="E1148" i="52" s="1"/>
  <c r="E1149" i="52" a="1"/>
  <c r="E1149" i="52" s="1"/>
  <c r="E1150" i="52" a="1"/>
  <c r="E1150" i="52" s="1"/>
  <c r="E1151" i="52" a="1"/>
  <c r="E1151" i="52" s="1"/>
  <c r="E1152" i="52" a="1"/>
  <c r="E1152" i="52" s="1"/>
  <c r="E1153" i="52" a="1"/>
  <c r="E1153" i="52" s="1"/>
  <c r="E1154" i="52" a="1"/>
  <c r="E1154" i="52" s="1"/>
  <c r="E1155" i="52" a="1"/>
  <c r="E1155" i="52" s="1"/>
  <c r="E1156" i="52" a="1"/>
  <c r="E1156" i="52" s="1"/>
  <c r="E1157" i="52" a="1"/>
  <c r="E1157" i="52" s="1"/>
  <c r="E1158" i="52" a="1"/>
  <c r="E1158" i="52" s="1"/>
  <c r="E1159" i="52" a="1"/>
  <c r="E1159" i="52" s="1"/>
  <c r="E1160" i="52" a="1"/>
  <c r="E1160" i="52" s="1"/>
  <c r="E1161" i="52" a="1"/>
  <c r="E1161" i="52" s="1"/>
  <c r="E1162" i="52" a="1"/>
  <c r="E1162" i="52" s="1"/>
  <c r="E21" i="52" a="1"/>
  <c r="E21" i="52" s="1"/>
  <c r="E33" i="52" a="1"/>
  <c r="E33" i="52" s="1"/>
  <c r="E46" i="52" a="1"/>
  <c r="E46" i="52" s="1"/>
  <c r="E64" i="52" a="1"/>
  <c r="E64" i="52" s="1"/>
  <c r="E67" i="52" a="1"/>
  <c r="E67" i="52" s="1"/>
  <c r="E74" i="52" a="1"/>
  <c r="E74" i="52" s="1"/>
  <c r="E81" i="52" a="1"/>
  <c r="E81" i="52" s="1"/>
  <c r="E92" i="52" a="1"/>
  <c r="E92" i="52" s="1"/>
  <c r="E97" i="52" a="1"/>
  <c r="E97" i="52" s="1"/>
  <c r="E104" i="52" a="1"/>
  <c r="E104" i="52" s="1"/>
  <c r="E109" i="52" a="1"/>
  <c r="E109" i="52" s="1"/>
  <c r="E116" i="52" a="1"/>
  <c r="E116" i="52" s="1"/>
  <c r="E122" i="52" a="1"/>
  <c r="E122" i="52" s="1"/>
  <c r="E132" i="52" a="1"/>
  <c r="E132" i="52" s="1"/>
  <c r="E135" i="52" a="1"/>
  <c r="E135" i="52" s="1"/>
  <c r="E141" i="52" a="1"/>
  <c r="E141" i="52" s="1"/>
  <c r="E145" i="52" a="1"/>
  <c r="E145" i="52" s="1"/>
  <c r="E156" i="52" a="1"/>
  <c r="E156" i="52" s="1"/>
  <c r="E160" i="52" a="1"/>
  <c r="E160" i="52" s="1"/>
  <c r="E168" i="52" a="1"/>
  <c r="E168" i="52" s="1"/>
  <c r="E173" i="52" a="1"/>
  <c r="E173" i="52" s="1"/>
  <c r="E177" i="52" a="1"/>
  <c r="E177" i="52" s="1"/>
  <c r="E184" i="52" a="1"/>
  <c r="E184" i="52" s="1"/>
  <c r="E188" i="52" a="1"/>
  <c r="E188" i="52" s="1"/>
  <c r="E194" i="52" a="1"/>
  <c r="E194" i="52" s="1"/>
  <c r="E201" i="52" a="1"/>
  <c r="E201" i="52" s="1"/>
  <c r="E209" i="52" a="1"/>
  <c r="E209" i="52" s="1"/>
  <c r="E213" i="52" a="1"/>
  <c r="E213" i="52" s="1"/>
  <c r="E220" i="52" a="1"/>
  <c r="E220" i="52" s="1"/>
  <c r="E232" i="52" a="1"/>
  <c r="E232" i="52" s="1"/>
  <c r="E235" i="52" a="1"/>
  <c r="E235" i="52" s="1"/>
  <c r="E241" i="52" a="1"/>
  <c r="E241" i="52" s="1"/>
  <c r="E248" i="52" a="1"/>
  <c r="E248" i="52" s="1"/>
  <c r="E260" i="52" a="1"/>
  <c r="E260" i="52" s="1"/>
  <c r="E266" i="52" a="1"/>
  <c r="E266" i="52" s="1"/>
  <c r="E270" i="52" a="1"/>
  <c r="E270" i="52" s="1"/>
  <c r="E273" i="52" a="1"/>
  <c r="E273" i="52" s="1"/>
  <c r="E278" i="52" a="1"/>
  <c r="E278" i="52" s="1"/>
  <c r="E284" i="52" a="1"/>
  <c r="E284" i="52" s="1"/>
  <c r="E290" i="52" a="1"/>
  <c r="E290" i="52" s="1"/>
  <c r="E298" i="52" a="1"/>
  <c r="E298" i="52" s="1"/>
  <c r="E303" i="52" a="1"/>
  <c r="E303" i="52" s="1"/>
  <c r="E314" i="52" a="1"/>
  <c r="E314" i="52" s="1"/>
  <c r="E326" i="52" a="1"/>
  <c r="E326" i="52" s="1"/>
  <c r="E336" i="52" a="1"/>
  <c r="E336" i="52" s="1"/>
  <c r="E338" i="52" a="1"/>
  <c r="E338" i="52" s="1"/>
  <c r="E343" i="52" a="1"/>
  <c r="E343" i="52" s="1"/>
  <c r="E346" i="52" a="1"/>
  <c r="E346" i="52" s="1"/>
  <c r="E350" i="52" a="1"/>
  <c r="E350" i="52" s="1"/>
  <c r="E357" i="52" a="1"/>
  <c r="E357" i="52" s="1"/>
  <c r="E360" i="52" a="1"/>
  <c r="E360" i="52" s="1"/>
  <c r="E366" i="52" a="1"/>
  <c r="E366" i="52" s="1"/>
  <c r="E370" i="52" a="1"/>
  <c r="E370" i="52" s="1"/>
  <c r="E377" i="52" a="1"/>
  <c r="E377" i="52" s="1"/>
  <c r="E386" i="52" a="1"/>
  <c r="E386" i="52" s="1"/>
  <c r="E391" i="52" a="1"/>
  <c r="E391" i="52" s="1"/>
  <c r="E398" i="52" a="1"/>
  <c r="E398" i="52" s="1"/>
  <c r="E403" i="52" a="1"/>
  <c r="E403" i="52" s="1"/>
  <c r="E409" i="52" a="1"/>
  <c r="E409" i="52" s="1"/>
  <c r="E416" i="52" a="1"/>
  <c r="E416" i="52" s="1"/>
  <c r="E426" i="52" a="1"/>
  <c r="E426" i="52" s="1"/>
  <c r="E433" i="52" a="1"/>
  <c r="E433" i="52" s="1"/>
  <c r="E442" i="52" a="1"/>
  <c r="E442" i="52" s="1"/>
  <c r="E448" i="52" a="1"/>
  <c r="E448" i="52" s="1"/>
  <c r="E457" i="52" a="1"/>
  <c r="E457" i="52" s="1"/>
  <c r="E460" i="52" a="1"/>
  <c r="E460" i="52" s="1"/>
  <c r="E467" i="52" a="1"/>
  <c r="E467" i="52" s="1"/>
  <c r="E475" i="52" a="1"/>
  <c r="E475" i="52" s="1"/>
  <c r="E480" i="52" a="1"/>
  <c r="E480" i="52" s="1"/>
  <c r="E483" i="52" a="1"/>
  <c r="E483" i="52" s="1"/>
  <c r="E486" i="52" a="1"/>
  <c r="E486" i="52" s="1"/>
  <c r="E493" i="52" a="1"/>
  <c r="E493" i="52" s="1"/>
  <c r="E501" i="52" a="1"/>
  <c r="E501" i="52" s="1"/>
  <c r="E505" i="52" a="1"/>
  <c r="E505" i="52" s="1"/>
  <c r="E522" i="52" a="1"/>
  <c r="E522" i="52" s="1"/>
  <c r="E527" i="52" a="1"/>
  <c r="E527" i="52" s="1"/>
  <c r="E533" i="52" a="1"/>
  <c r="E533" i="52" s="1"/>
  <c r="E537" i="52" a="1"/>
  <c r="E537" i="52" s="1"/>
  <c r="E542" i="52" a="1"/>
  <c r="E542" i="52" s="1"/>
  <c r="E546" i="52" a="1"/>
  <c r="E546" i="52" s="1"/>
  <c r="E553" i="52" a="1"/>
  <c r="E553" i="52" s="1"/>
  <c r="E558" i="52" a="1"/>
  <c r="E558" i="52" s="1"/>
  <c r="E565" i="52" a="1"/>
  <c r="E565" i="52" s="1"/>
  <c r="E571" i="52" a="1"/>
  <c r="E571" i="52" s="1"/>
  <c r="E584" i="52" a="1"/>
  <c r="E584" i="52" s="1"/>
  <c r="E613" i="52" a="1"/>
  <c r="E613" i="52" s="1"/>
  <c r="E630" i="52" a="1"/>
  <c r="E630" i="52" s="1"/>
  <c r="E634" i="52" a="1"/>
  <c r="E634" i="52" s="1"/>
  <c r="E637" i="52" a="1"/>
  <c r="E637" i="52" s="1"/>
  <c r="E645" i="52" a="1"/>
  <c r="E645" i="52" s="1"/>
  <c r="E652" i="52" a="1"/>
  <c r="E652" i="52" s="1"/>
  <c r="E658" i="52" a="1"/>
  <c r="E658" i="52" s="1"/>
  <c r="E662" i="52" a="1"/>
  <c r="E662" i="52" s="1"/>
  <c r="E670" i="52" a="1"/>
  <c r="E670" i="52" s="1"/>
  <c r="E676" i="52" a="1"/>
  <c r="E676" i="52" s="1"/>
  <c r="E687" i="52" a="1"/>
  <c r="E687" i="52" s="1"/>
  <c r="E695" i="52" a="1"/>
  <c r="E695" i="52" s="1"/>
  <c r="E709" i="52" a="1"/>
  <c r="E709" i="52" s="1"/>
  <c r="E715" i="52" a="1"/>
  <c r="E715" i="52" s="1"/>
  <c r="E719" i="52" a="1"/>
  <c r="E719" i="52" s="1"/>
  <c r="E725" i="52" a="1"/>
  <c r="E725" i="52" s="1"/>
  <c r="E731" i="52" a="1"/>
  <c r="E731" i="52" s="1"/>
  <c r="E735" i="52" a="1"/>
  <c r="E735" i="52" s="1"/>
  <c r="E740" i="52" a="1"/>
  <c r="E740" i="52" s="1"/>
  <c r="E745" i="52" a="1"/>
  <c r="E745" i="52" s="1"/>
  <c r="E750" i="52" a="1"/>
  <c r="E750" i="52" s="1"/>
  <c r="E755" i="52" a="1"/>
  <c r="E755" i="52" s="1"/>
  <c r="E759" i="52" a="1"/>
  <c r="E759" i="52" s="1"/>
  <c r="E766" i="52" a="1"/>
  <c r="E766" i="52" s="1"/>
  <c r="E770" i="52" a="1"/>
  <c r="E770" i="52" s="1"/>
  <c r="E776" i="52" a="1"/>
  <c r="E776" i="52" s="1"/>
  <c r="E782" i="52" a="1"/>
  <c r="E782" i="52" s="1"/>
  <c r="E786" i="52" a="1"/>
  <c r="E786" i="52" s="1"/>
  <c r="E791" i="52" a="1"/>
  <c r="E791" i="52" s="1"/>
  <c r="E795" i="52" a="1"/>
  <c r="E795" i="52" s="1"/>
  <c r="E800" i="52" a="1"/>
  <c r="E800" i="52" s="1"/>
  <c r="E805" i="52" a="1"/>
  <c r="E805" i="52" s="1"/>
  <c r="E810" i="52" a="1"/>
  <c r="E810" i="52" s="1"/>
  <c r="E814" i="52" a="1"/>
  <c r="E814" i="52" s="1"/>
  <c r="E818" i="52" a="1"/>
  <c r="E818" i="52" s="1"/>
  <c r="E821" i="52" a="1"/>
  <c r="E821" i="52" s="1"/>
  <c r="E826" i="52" a="1"/>
  <c r="E826" i="52" s="1"/>
  <c r="E830" i="52" a="1"/>
  <c r="E830" i="52" s="1"/>
  <c r="E835" i="52" a="1"/>
  <c r="E835" i="52" s="1"/>
  <c r="E839" i="52" a="1"/>
  <c r="E839" i="52" s="1"/>
  <c r="E843" i="52" a="1"/>
  <c r="E843" i="52" s="1"/>
  <c r="E847" i="52" a="1"/>
  <c r="E847" i="52" s="1"/>
  <c r="E855" i="52" a="1"/>
  <c r="E855" i="52" s="1"/>
  <c r="E859" i="52" a="1"/>
  <c r="E859" i="52" s="1"/>
  <c r="E862" i="52" a="1"/>
  <c r="E862" i="52" s="1"/>
  <c r="E866" i="52" a="1"/>
  <c r="E866" i="52" s="1"/>
  <c r="E870" i="52" a="1"/>
  <c r="E870" i="52" s="1"/>
  <c r="E874" i="52" a="1"/>
  <c r="E874" i="52" s="1"/>
  <c r="E878" i="52" a="1"/>
  <c r="E878" i="52" s="1"/>
  <c r="E881" i="52" a="1"/>
  <c r="E881" i="52" s="1"/>
  <c r="E886" i="52" a="1"/>
  <c r="E886" i="52" s="1"/>
  <c r="E892" i="52" a="1"/>
  <c r="E892" i="52" s="1"/>
  <c r="E896" i="52" a="1"/>
  <c r="E896" i="52" s="1"/>
  <c r="E903" i="52" a="1"/>
  <c r="E903" i="52" s="1"/>
  <c r="E910" i="52" a="1"/>
  <c r="E910" i="52" s="1"/>
  <c r="E914" i="52" a="1"/>
  <c r="E914" i="52" s="1"/>
  <c r="E919" i="52" a="1"/>
  <c r="E919" i="52" s="1"/>
  <c r="E922" i="52" a="1"/>
  <c r="E922" i="52" s="1"/>
  <c r="E927" i="52" a="1"/>
  <c r="E927" i="52" s="1"/>
  <c r="E930" i="52" a="1"/>
  <c r="E930" i="52" s="1"/>
  <c r="E934" i="52" a="1"/>
  <c r="E934" i="52" s="1"/>
  <c r="E938" i="52" a="1"/>
  <c r="E938" i="52" s="1"/>
  <c r="E942" i="52" a="1"/>
  <c r="E942" i="52" s="1"/>
  <c r="E946" i="52" a="1"/>
  <c r="E946" i="52" s="1"/>
  <c r="E950" i="52" a="1"/>
  <c r="E950" i="52" s="1"/>
  <c r="E954" i="52" a="1"/>
  <c r="E954" i="52" s="1"/>
  <c r="E958" i="52" a="1"/>
  <c r="E958" i="52" s="1"/>
  <c r="E961" i="52" a="1"/>
  <c r="E961" i="52" s="1"/>
  <c r="E966" i="52" a="1"/>
  <c r="E966" i="52" s="1"/>
  <c r="E970" i="52" a="1"/>
  <c r="E970" i="52" s="1"/>
  <c r="E973" i="52" a="1"/>
  <c r="E973" i="52" s="1"/>
  <c r="E977" i="52" a="1"/>
  <c r="E977" i="52" s="1"/>
  <c r="E979" i="52" a="1"/>
  <c r="E979" i="52" s="1"/>
  <c r="E983" i="52" a="1"/>
  <c r="E983" i="52" s="1"/>
  <c r="E985" i="52" a="1"/>
  <c r="E985" i="52" s="1"/>
  <c r="E987" i="52" a="1"/>
  <c r="E987" i="52" s="1"/>
  <c r="E989" i="52" a="1"/>
  <c r="E989" i="52" s="1"/>
  <c r="E992" i="52" a="1"/>
  <c r="E992" i="52" s="1"/>
  <c r="E993" i="52" a="1"/>
  <c r="E993" i="52" s="1"/>
  <c r="E996" i="52" a="1"/>
  <c r="E996" i="52" s="1"/>
  <c r="E998" i="52" a="1"/>
  <c r="E998" i="52" s="1"/>
  <c r="E1001" i="52" a="1"/>
  <c r="E1001" i="52" s="1"/>
  <c r="E1003" i="52" a="1"/>
  <c r="E1003" i="52" s="1"/>
  <c r="E1007" i="52" a="1"/>
  <c r="E1007" i="52" s="1"/>
  <c r="E1009" i="52" a="1"/>
  <c r="E1009" i="52" s="1"/>
  <c r="E1025" i="52" a="1"/>
  <c r="E1025" i="52" s="1"/>
  <c r="E4" i="52" a="1"/>
  <c r="E4" i="52" s="1"/>
  <c r="E8" i="52" a="1"/>
  <c r="E8" i="52" s="1"/>
  <c r="E17" i="52" a="1"/>
  <c r="E17" i="52" s="1"/>
  <c r="E20" i="52" a="1"/>
  <c r="E20" i="52" s="1"/>
  <c r="E22" i="52" a="1"/>
  <c r="E22" i="52" s="1"/>
  <c r="E29" i="52" a="1"/>
  <c r="E29" i="52" s="1"/>
  <c r="E34" i="52" a="1"/>
  <c r="E34" i="52" s="1"/>
  <c r="E37" i="52" a="1"/>
  <c r="E37" i="52" s="1"/>
  <c r="E41" i="52" a="1"/>
  <c r="E41" i="52" s="1"/>
  <c r="E53" i="52" a="1"/>
  <c r="E53" i="52" s="1"/>
  <c r="E57" i="52" a="1"/>
  <c r="E57" i="52" s="1"/>
  <c r="E60" i="52" a="1"/>
  <c r="E60" i="52" s="1"/>
  <c r="E75" i="52" a="1"/>
  <c r="E75" i="52" s="1"/>
  <c r="E80" i="52" a="1"/>
  <c r="E80" i="52" s="1"/>
  <c r="E84" i="52" a="1"/>
  <c r="E84" i="52" s="1"/>
  <c r="E89" i="52" a="1"/>
  <c r="E89" i="52" s="1"/>
  <c r="E96" i="52" a="1"/>
  <c r="E96" i="52" s="1"/>
  <c r="E103" i="52" a="1"/>
  <c r="E103" i="52" s="1"/>
  <c r="E108" i="52" a="1"/>
  <c r="E108" i="52" s="1"/>
  <c r="E113" i="52" a="1"/>
  <c r="E113" i="52" s="1"/>
  <c r="E121" i="52" a="1"/>
  <c r="E121" i="52" s="1"/>
  <c r="E127" i="52" a="1"/>
  <c r="E127" i="52" s="1"/>
  <c r="E131" i="52" a="1"/>
  <c r="E131" i="52" s="1"/>
  <c r="E139" i="52" a="1"/>
  <c r="E139" i="52" s="1"/>
  <c r="E146" i="52" a="1"/>
  <c r="E146" i="52" s="1"/>
  <c r="E154" i="52" a="1"/>
  <c r="E154" i="52" s="1"/>
  <c r="E163" i="52" a="1"/>
  <c r="E163" i="52" s="1"/>
  <c r="E170" i="52" a="1"/>
  <c r="E170" i="52" s="1"/>
  <c r="E182" i="52" a="1"/>
  <c r="E182" i="52" s="1"/>
  <c r="E189" i="52" a="1"/>
  <c r="E189" i="52" s="1"/>
  <c r="E197" i="52" a="1"/>
  <c r="E197" i="52" s="1"/>
  <c r="E204" i="52" a="1"/>
  <c r="E204" i="52" s="1"/>
  <c r="E208" i="52" a="1"/>
  <c r="E208" i="52" s="1"/>
  <c r="E211" i="52" a="1"/>
  <c r="E211" i="52" s="1"/>
  <c r="E219" i="52" a="1"/>
  <c r="E219" i="52" s="1"/>
  <c r="E223" i="52" a="1"/>
  <c r="E223" i="52" s="1"/>
  <c r="E227" i="52" a="1"/>
  <c r="E227" i="52" s="1"/>
  <c r="E233" i="52" a="1"/>
  <c r="E233" i="52" s="1"/>
  <c r="E238" i="52" a="1"/>
  <c r="E238" i="52" s="1"/>
  <c r="E244" i="52" a="1"/>
  <c r="E244" i="52" s="1"/>
  <c r="E252" i="52" a="1"/>
  <c r="E252" i="52" s="1"/>
  <c r="E256" i="52" a="1"/>
  <c r="E256" i="52" s="1"/>
  <c r="E261" i="52" a="1"/>
  <c r="E261" i="52" s="1"/>
  <c r="E268" i="52" a="1"/>
  <c r="E268" i="52" s="1"/>
  <c r="E279" i="52" a="1"/>
  <c r="E279" i="52" s="1"/>
  <c r="E286" i="52" a="1"/>
  <c r="E286" i="52" s="1"/>
  <c r="E289" i="52" a="1"/>
  <c r="E289" i="52" s="1"/>
  <c r="E292" i="52" a="1"/>
  <c r="E292" i="52" s="1"/>
  <c r="E295" i="52" a="1"/>
  <c r="E295" i="52" s="1"/>
  <c r="E299" i="52" a="1"/>
  <c r="E299" i="52" s="1"/>
  <c r="E306" i="52" a="1"/>
  <c r="E306" i="52" s="1"/>
  <c r="E312" i="52" a="1"/>
  <c r="E312" i="52" s="1"/>
  <c r="E317" i="52" a="1"/>
  <c r="E317" i="52" s="1"/>
  <c r="E322" i="52" a="1"/>
  <c r="E322" i="52" s="1"/>
  <c r="E328" i="52" a="1"/>
  <c r="E328" i="52" s="1"/>
  <c r="E335" i="52" a="1"/>
  <c r="E335" i="52" s="1"/>
  <c r="E340" i="52" a="1"/>
  <c r="E340" i="52" s="1"/>
  <c r="E345" i="52" a="1"/>
  <c r="E345" i="52" s="1"/>
  <c r="E363" i="52" a="1"/>
  <c r="E363" i="52" s="1"/>
  <c r="E375" i="52" a="1"/>
  <c r="E375" i="52" s="1"/>
  <c r="E379" i="52" a="1"/>
  <c r="E379" i="52" s="1"/>
  <c r="E389" i="52" a="1"/>
  <c r="E389" i="52" s="1"/>
  <c r="E394" i="52" a="1"/>
  <c r="E394" i="52" s="1"/>
  <c r="E400" i="52" a="1"/>
  <c r="E400" i="52" s="1"/>
  <c r="E406" i="52" a="1"/>
  <c r="E406" i="52" s="1"/>
  <c r="E408" i="52" a="1"/>
  <c r="E408" i="52" s="1"/>
  <c r="E415" i="52" a="1"/>
  <c r="E415" i="52" s="1"/>
  <c r="E420" i="52" a="1"/>
  <c r="E420" i="52" s="1"/>
  <c r="E424" i="52" a="1"/>
  <c r="E424" i="52" s="1"/>
  <c r="E429" i="52" a="1"/>
  <c r="E429" i="52" s="1"/>
  <c r="E437" i="52" a="1"/>
  <c r="E437" i="52" s="1"/>
  <c r="E443" i="52" a="1"/>
  <c r="E443" i="52" s="1"/>
  <c r="E449" i="52" a="1"/>
  <c r="E449" i="52" s="1"/>
  <c r="E454" i="52" a="1"/>
  <c r="E454" i="52" s="1"/>
  <c r="E462" i="52" a="1"/>
  <c r="E462" i="52" s="1"/>
  <c r="E471" i="52" a="1"/>
  <c r="E471" i="52" s="1"/>
  <c r="E502" i="52" a="1"/>
  <c r="E502" i="52" s="1"/>
  <c r="E506" i="52" a="1"/>
  <c r="E506" i="52" s="1"/>
  <c r="E526" i="52" a="1"/>
  <c r="E526" i="52" s="1"/>
  <c r="E530" i="52" a="1"/>
  <c r="E530" i="52" s="1"/>
  <c r="E538" i="52" a="1"/>
  <c r="E538" i="52" s="1"/>
  <c r="E543" i="52" a="1"/>
  <c r="E543" i="52" s="1"/>
  <c r="E550" i="52" a="1"/>
  <c r="E550" i="52" s="1"/>
  <c r="E556" i="52" a="1"/>
  <c r="E556" i="52" s="1"/>
  <c r="E564" i="52" a="1"/>
  <c r="E564" i="52" s="1"/>
  <c r="E567" i="52" a="1"/>
  <c r="E567" i="52" s="1"/>
  <c r="E577" i="52" a="1"/>
  <c r="E577" i="52" s="1"/>
  <c r="E582" i="52" a="1"/>
  <c r="E582" i="52" s="1"/>
  <c r="E590" i="52" a="1"/>
  <c r="E590" i="52" s="1"/>
  <c r="E597" i="52" a="1"/>
  <c r="E597" i="52" s="1"/>
  <c r="E602" i="52" a="1"/>
  <c r="E602" i="52" s="1"/>
  <c r="E608" i="52" a="1"/>
  <c r="E608" i="52" s="1"/>
  <c r="E616" i="52" a="1"/>
  <c r="E616" i="52" s="1"/>
  <c r="E619" i="52" a="1"/>
  <c r="E619" i="52" s="1"/>
  <c r="E624" i="52" a="1"/>
  <c r="E624" i="52" s="1"/>
  <c r="E628" i="52" a="1"/>
  <c r="E628" i="52" s="1"/>
  <c r="E633" i="52" a="1"/>
  <c r="E633" i="52" s="1"/>
  <c r="E639" i="52" a="1"/>
  <c r="E639" i="52" s="1"/>
  <c r="E646" i="52" a="1"/>
  <c r="E646" i="52" s="1"/>
  <c r="E649" i="52" a="1"/>
  <c r="E649" i="52" s="1"/>
  <c r="E656" i="52" a="1"/>
  <c r="E656" i="52" s="1"/>
  <c r="E659" i="52" a="1"/>
  <c r="E659" i="52" s="1"/>
  <c r="E663" i="52" a="1"/>
  <c r="E663" i="52" s="1"/>
  <c r="E669" i="52" a="1"/>
  <c r="E669" i="52" s="1"/>
  <c r="E674" i="52" a="1"/>
  <c r="E674" i="52" s="1"/>
  <c r="E678" i="52" a="1"/>
  <c r="E678" i="52" s="1"/>
  <c r="E682" i="52" a="1"/>
  <c r="E682" i="52" s="1"/>
  <c r="E690" i="52" a="1"/>
  <c r="E690" i="52" s="1"/>
  <c r="E696" i="52" a="1"/>
  <c r="E696" i="52" s="1"/>
  <c r="E703" i="52" a="1"/>
  <c r="E703" i="52" s="1"/>
  <c r="E708" i="52" a="1"/>
  <c r="E708" i="52" s="1"/>
  <c r="E730" i="52" a="1"/>
  <c r="E730" i="52" s="1"/>
  <c r="E736" i="52" a="1"/>
  <c r="E736" i="52" s="1"/>
  <c r="E743" i="52" a="1"/>
  <c r="E743" i="52" s="1"/>
  <c r="E749" i="52" a="1"/>
  <c r="E749" i="52" s="1"/>
  <c r="E754" i="52" a="1"/>
  <c r="E754" i="52" s="1"/>
  <c r="E767" i="52" a="1"/>
  <c r="E767" i="52" s="1"/>
  <c r="E772" i="52" a="1"/>
  <c r="E772" i="52" s="1"/>
  <c r="E779" i="52" a="1"/>
  <c r="E779" i="52" s="1"/>
  <c r="E783" i="52" a="1"/>
  <c r="E783" i="52" s="1"/>
  <c r="E787" i="52" a="1"/>
  <c r="E787" i="52" s="1"/>
  <c r="E792" i="52" a="1"/>
  <c r="E792" i="52" s="1"/>
  <c r="E797" i="52" a="1"/>
  <c r="E797" i="52" s="1"/>
  <c r="E801" i="52" a="1"/>
  <c r="E801" i="52" s="1"/>
  <c r="E807" i="52" a="1"/>
  <c r="E807" i="52" s="1"/>
  <c r="E813" i="52" a="1"/>
  <c r="E813" i="52" s="1"/>
  <c r="E817" i="52" a="1"/>
  <c r="E817" i="52" s="1"/>
  <c r="E823" i="52" a="1"/>
  <c r="E823" i="52" s="1"/>
  <c r="E828" i="52" a="1"/>
  <c r="E828" i="52" s="1"/>
  <c r="E833" i="52" a="1"/>
  <c r="E833" i="52" s="1"/>
  <c r="E837" i="52" a="1"/>
  <c r="E837" i="52" s="1"/>
  <c r="E841" i="52" a="1"/>
  <c r="E841" i="52" s="1"/>
  <c r="E846" i="52" a="1"/>
  <c r="E846" i="52" s="1"/>
  <c r="E850" i="52" a="1"/>
  <c r="E850" i="52" s="1"/>
  <c r="E853" i="52" a="1"/>
  <c r="E853" i="52" s="1"/>
  <c r="E857" i="52" a="1"/>
  <c r="E857" i="52" s="1"/>
  <c r="E864" i="52" a="1"/>
  <c r="E864" i="52" s="1"/>
  <c r="E868" i="52" a="1"/>
  <c r="E868" i="52" s="1"/>
  <c r="E871" i="52" a="1"/>
  <c r="E871" i="52" s="1"/>
  <c r="E877" i="52" a="1"/>
  <c r="E877" i="52" s="1"/>
  <c r="E882" i="52" a="1"/>
  <c r="E882" i="52" s="1"/>
  <c r="E887" i="52" a="1"/>
  <c r="E887" i="52" s="1"/>
  <c r="E890" i="52" a="1"/>
  <c r="E890" i="52" s="1"/>
  <c r="E894" i="52" a="1"/>
  <c r="E894" i="52" s="1"/>
  <c r="E898" i="52" a="1"/>
  <c r="E898" i="52" s="1"/>
  <c r="E902" i="52" a="1"/>
  <c r="E902" i="52" s="1"/>
  <c r="E907" i="52" a="1"/>
  <c r="E907" i="52" s="1"/>
  <c r="E912" i="52" a="1"/>
  <c r="E912" i="52" s="1"/>
  <c r="E918" i="52" a="1"/>
  <c r="E918" i="52" s="1"/>
  <c r="E924" i="52" a="1"/>
  <c r="E924" i="52" s="1"/>
  <c r="E935" i="52" a="1"/>
  <c r="E935" i="52" s="1"/>
  <c r="E939" i="52" a="1"/>
  <c r="E939" i="52" s="1"/>
  <c r="E943" i="52" a="1"/>
  <c r="E943" i="52" s="1"/>
  <c r="E949" i="52" a="1"/>
  <c r="E949" i="52" s="1"/>
  <c r="E952" i="52" a="1"/>
  <c r="E952" i="52" s="1"/>
  <c r="E956" i="52" a="1"/>
  <c r="E956" i="52" s="1"/>
  <c r="E960" i="52" a="1"/>
  <c r="E960" i="52" s="1"/>
  <c r="E965" i="52" a="1"/>
  <c r="E965" i="52" s="1"/>
  <c r="E972" i="52" a="1"/>
  <c r="E972" i="52" s="1"/>
  <c r="E975" i="52" a="1"/>
  <c r="E975" i="52" s="1"/>
  <c r="E981" i="52" a="1"/>
  <c r="E981" i="52" s="1"/>
  <c r="E1005" i="52" a="1"/>
  <c r="E1005" i="52" s="1"/>
  <c r="E2" i="52" a="1"/>
  <c r="E2" i="52" s="1"/>
  <c r="E9" i="52" a="1"/>
  <c r="E9" i="52" s="1"/>
  <c r="E11" i="52" a="1"/>
  <c r="E11" i="52" s="1"/>
  <c r="E16" i="52" a="1"/>
  <c r="E16" i="52" s="1"/>
  <c r="E32" i="52" a="1"/>
  <c r="E32" i="52" s="1"/>
  <c r="E39" i="52" a="1"/>
  <c r="E39" i="52" s="1"/>
  <c r="E44" i="52" a="1"/>
  <c r="E44" i="52" s="1"/>
  <c r="E49" i="52" a="1"/>
  <c r="E49" i="52" s="1"/>
  <c r="E58" i="52" a="1"/>
  <c r="E58" i="52" s="1"/>
  <c r="E65" i="52" a="1"/>
  <c r="E65" i="52" s="1"/>
  <c r="E76" i="52" a="1"/>
  <c r="E76" i="52" s="1"/>
  <c r="E79" i="52" a="1"/>
  <c r="E79" i="52" s="1"/>
  <c r="E85" i="52" a="1"/>
  <c r="E85" i="52" s="1"/>
  <c r="E91" i="52" a="1"/>
  <c r="E91" i="52" s="1"/>
  <c r="E98" i="52" a="1"/>
  <c r="E98" i="52" s="1"/>
  <c r="E112" i="52" a="1"/>
  <c r="E112" i="52" s="1"/>
  <c r="E117" i="52" a="1"/>
  <c r="E117" i="52" s="1"/>
  <c r="E125" i="52" a="1"/>
  <c r="E125" i="52" s="1"/>
  <c r="E142" i="52" a="1"/>
  <c r="E142" i="52" s="1"/>
  <c r="E148" i="52" a="1"/>
  <c r="E148" i="52" s="1"/>
  <c r="E152" i="52" a="1"/>
  <c r="E152" i="52" s="1"/>
  <c r="E158" i="52" a="1"/>
  <c r="E158" i="52" s="1"/>
  <c r="E162" i="52" a="1"/>
  <c r="E162" i="52" s="1"/>
  <c r="E171" i="52" a="1"/>
  <c r="E171" i="52" s="1"/>
  <c r="E178" i="52" a="1"/>
  <c r="E178" i="52" s="1"/>
  <c r="E187" i="52" a="1"/>
  <c r="E187" i="52" s="1"/>
  <c r="E193" i="52" a="1"/>
  <c r="E193" i="52" s="1"/>
  <c r="E199" i="52" a="1"/>
  <c r="E199" i="52" s="1"/>
  <c r="E206" i="52" a="1"/>
  <c r="E206" i="52" s="1"/>
  <c r="E217" i="52" a="1"/>
  <c r="E217" i="52" s="1"/>
  <c r="E221" i="52" a="1"/>
  <c r="E221" i="52" s="1"/>
  <c r="E234" i="52" a="1"/>
  <c r="E234" i="52" s="1"/>
  <c r="E247" i="52" a="1"/>
  <c r="E247" i="52" s="1"/>
  <c r="E254" i="52" a="1"/>
  <c r="E254" i="52" s="1"/>
  <c r="E258" i="52" a="1"/>
  <c r="E258" i="52" s="1"/>
  <c r="E263" i="52" a="1"/>
  <c r="E263" i="52" s="1"/>
  <c r="E271" i="52" a="1"/>
  <c r="E271" i="52" s="1"/>
  <c r="E274" i="52" a="1"/>
  <c r="E274" i="52" s="1"/>
  <c r="E285" i="52" a="1"/>
  <c r="E285" i="52" s="1"/>
  <c r="E293" i="52" a="1"/>
  <c r="E293" i="52" s="1"/>
  <c r="E302" i="52" a="1"/>
  <c r="E302" i="52" s="1"/>
  <c r="E305" i="52" a="1"/>
  <c r="E305" i="52" s="1"/>
  <c r="E308" i="52" a="1"/>
  <c r="E308" i="52" s="1"/>
  <c r="E319" i="52" a="1"/>
  <c r="E319" i="52" s="1"/>
  <c r="E323" i="52" a="1"/>
  <c r="E323" i="52" s="1"/>
  <c r="E332" i="52" a="1"/>
  <c r="E332" i="52" s="1"/>
  <c r="E339" i="52" a="1"/>
  <c r="E339" i="52" s="1"/>
  <c r="E349" i="52" a="1"/>
  <c r="E349" i="52" s="1"/>
  <c r="E355" i="52" a="1"/>
  <c r="E355" i="52" s="1"/>
  <c r="E362" i="52" a="1"/>
  <c r="E362" i="52" s="1"/>
  <c r="E368" i="52" a="1"/>
  <c r="E368" i="52" s="1"/>
  <c r="E372" i="52" a="1"/>
  <c r="E372" i="52" s="1"/>
  <c r="E378" i="52" a="1"/>
  <c r="E378" i="52" s="1"/>
  <c r="E382" i="52" a="1"/>
  <c r="E382" i="52" s="1"/>
  <c r="E390" i="52" a="1"/>
  <c r="E390" i="52" s="1"/>
  <c r="E395" i="52" a="1"/>
  <c r="E395" i="52" s="1"/>
  <c r="E404" i="52" a="1"/>
  <c r="E404" i="52" s="1"/>
  <c r="E413" i="52" a="1"/>
  <c r="E413" i="52" s="1"/>
  <c r="E417" i="52" a="1"/>
  <c r="E417" i="52" s="1"/>
  <c r="E421" i="52" a="1"/>
  <c r="E421" i="52" s="1"/>
  <c r="E425" i="52" a="1"/>
  <c r="E425" i="52" s="1"/>
  <c r="E430" i="52" a="1"/>
  <c r="E430" i="52" s="1"/>
  <c r="E434" i="52" a="1"/>
  <c r="E434" i="52" s="1"/>
  <c r="E438" i="52" a="1"/>
  <c r="E438" i="52" s="1"/>
  <c r="E446" i="52" a="1"/>
  <c r="E446" i="52" s="1"/>
  <c r="E451" i="52" a="1"/>
  <c r="E451" i="52" s="1"/>
  <c r="E490" i="52" a="1"/>
  <c r="E490" i="52" s="1"/>
  <c r="E495" i="52" a="1"/>
  <c r="E495" i="52" s="1"/>
  <c r="E500" i="52" a="1"/>
  <c r="E500" i="52" s="1"/>
  <c r="E504" i="52" a="1"/>
  <c r="E504" i="52" s="1"/>
  <c r="E511" i="52" a="1"/>
  <c r="E511" i="52" s="1"/>
  <c r="E515" i="52" a="1"/>
  <c r="E515" i="52" s="1"/>
  <c r="E519" i="52" a="1"/>
  <c r="E519" i="52" s="1"/>
  <c r="E525" i="52" a="1"/>
  <c r="E525" i="52" s="1"/>
  <c r="E529" i="52" a="1"/>
  <c r="E529" i="52" s="1"/>
  <c r="E540" i="52" a="1"/>
  <c r="E540" i="52" s="1"/>
  <c r="E545" i="52" a="1"/>
  <c r="E545" i="52" s="1"/>
  <c r="E549" i="52" a="1"/>
  <c r="E549" i="52" s="1"/>
  <c r="E552" i="52" a="1"/>
  <c r="E552" i="52" s="1"/>
  <c r="E557" i="52" a="1"/>
  <c r="E557" i="52" s="1"/>
  <c r="E568" i="52" a="1"/>
  <c r="E568" i="52" s="1"/>
  <c r="E574" i="52" a="1"/>
  <c r="E574" i="52" s="1"/>
  <c r="E586" i="52" a="1"/>
  <c r="E586" i="52" s="1"/>
  <c r="E592" i="52" a="1"/>
  <c r="E592" i="52" s="1"/>
  <c r="E596" i="52" a="1"/>
  <c r="E596" i="52" s="1"/>
  <c r="E599" i="52" a="1"/>
  <c r="E599" i="52" s="1"/>
  <c r="E606" i="52" a="1"/>
  <c r="E606" i="52" s="1"/>
  <c r="E609" i="52" a="1"/>
  <c r="E609" i="52" s="1"/>
  <c r="E614" i="52" a="1"/>
  <c r="E614" i="52" s="1"/>
  <c r="E623" i="52" a="1"/>
  <c r="E623" i="52" s="1"/>
  <c r="E627" i="52" a="1"/>
  <c r="E627" i="52" s="1"/>
  <c r="E635" i="52" a="1"/>
  <c r="E635" i="52" s="1"/>
  <c r="E640" i="52" a="1"/>
  <c r="E640" i="52" s="1"/>
  <c r="E647" i="52" a="1"/>
  <c r="E647" i="52" s="1"/>
  <c r="E655" i="52" a="1"/>
  <c r="E655" i="52" s="1"/>
  <c r="E665" i="52" a="1"/>
  <c r="E665" i="52" s="1"/>
  <c r="E675" i="52" a="1"/>
  <c r="E675" i="52" s="1"/>
  <c r="E679" i="52" a="1"/>
  <c r="E679" i="52" s="1"/>
  <c r="E684" i="52" a="1"/>
  <c r="E684" i="52" s="1"/>
  <c r="E694" i="52" a="1"/>
  <c r="E694" i="52" s="1"/>
  <c r="E700" i="52" a="1"/>
  <c r="E700" i="52" s="1"/>
  <c r="E713" i="52" a="1"/>
  <c r="E713" i="52" s="1"/>
  <c r="E742" i="52" a="1"/>
  <c r="E742" i="52" s="1"/>
  <c r="E757" i="52" a="1"/>
  <c r="E757" i="52" s="1"/>
  <c r="E764" i="52" a="1"/>
  <c r="E764" i="52" s="1"/>
  <c r="E778" i="52" a="1"/>
  <c r="E778" i="52" s="1"/>
  <c r="E788" i="52" a="1"/>
  <c r="E788" i="52" s="1"/>
  <c r="E793" i="52" a="1"/>
  <c r="E793" i="52" s="1"/>
  <c r="E798" i="52" a="1"/>
  <c r="E798" i="52" s="1"/>
  <c r="E803" i="52" a="1"/>
  <c r="E803" i="52" s="1"/>
  <c r="E808" i="52" a="1"/>
  <c r="E808" i="52" s="1"/>
  <c r="E811" i="52" a="1"/>
  <c r="E811" i="52" s="1"/>
  <c r="E816" i="52" a="1"/>
  <c r="E816" i="52" s="1"/>
  <c r="E822" i="52" a="1"/>
  <c r="E822" i="52" s="1"/>
  <c r="E827" i="52" a="1"/>
  <c r="E827" i="52" s="1"/>
  <c r="E832" i="52" a="1"/>
  <c r="E832" i="52" s="1"/>
  <c r="E836" i="52" a="1"/>
  <c r="E836" i="52" s="1"/>
  <c r="E840" i="52" a="1"/>
  <c r="E840" i="52" s="1"/>
  <c r="E844" i="52" a="1"/>
  <c r="E844" i="52" s="1"/>
  <c r="E848" i="52" a="1"/>
  <c r="E848" i="52" s="1"/>
  <c r="E852" i="52" a="1"/>
  <c r="E852" i="52" s="1"/>
  <c r="E856" i="52" a="1"/>
  <c r="E856" i="52" s="1"/>
  <c r="E860" i="52" a="1"/>
  <c r="E860" i="52" s="1"/>
  <c r="E863" i="52" a="1"/>
  <c r="E863" i="52" s="1"/>
  <c r="E867" i="52" a="1"/>
  <c r="E867" i="52" s="1"/>
  <c r="E872" i="52" a="1"/>
  <c r="E872" i="52" s="1"/>
  <c r="E875" i="52" a="1"/>
  <c r="E875" i="52" s="1"/>
  <c r="E879" i="52" a="1"/>
  <c r="E879" i="52" s="1"/>
  <c r="E883" i="52" a="1"/>
  <c r="E883" i="52" s="1"/>
  <c r="E885" i="52" a="1"/>
  <c r="E885" i="52" s="1"/>
  <c r="E889" i="52" a="1"/>
  <c r="E889" i="52" s="1"/>
  <c r="E893" i="52" a="1"/>
  <c r="E893" i="52" s="1"/>
  <c r="E897" i="52" a="1"/>
  <c r="E897" i="52" s="1"/>
  <c r="E901" i="52" a="1"/>
  <c r="E901" i="52" s="1"/>
  <c r="E905" i="52" a="1"/>
  <c r="E905" i="52" s="1"/>
  <c r="E909" i="52" a="1"/>
  <c r="E909" i="52" s="1"/>
  <c r="E913" i="52" a="1"/>
  <c r="E913" i="52" s="1"/>
  <c r="E917" i="52" a="1"/>
  <c r="E917" i="52" s="1"/>
  <c r="E923" i="52" a="1"/>
  <c r="E923" i="52" s="1"/>
  <c r="E928" i="52" a="1"/>
  <c r="E928" i="52" s="1"/>
  <c r="E933" i="52" a="1"/>
  <c r="E933" i="52" s="1"/>
  <c r="E937" i="52" a="1"/>
  <c r="E937" i="52" s="1"/>
  <c r="E940" i="52" a="1"/>
  <c r="E940" i="52" s="1"/>
  <c r="E945" i="52" a="1"/>
  <c r="E945" i="52" s="1"/>
  <c r="E948" i="52" a="1"/>
  <c r="E948" i="52" s="1"/>
  <c r="E953" i="52" a="1"/>
  <c r="E953" i="52" s="1"/>
  <c r="E957" i="52" a="1"/>
  <c r="E957" i="52" s="1"/>
  <c r="E962" i="52" a="1"/>
  <c r="E962" i="52" s="1"/>
  <c r="E964" i="52" a="1"/>
  <c r="E964" i="52" s="1"/>
  <c r="E969" i="52" a="1"/>
  <c r="E969" i="52" s="1"/>
  <c r="E978" i="52" a="1"/>
  <c r="E978" i="52" s="1"/>
  <c r="E1000" i="52" a="1"/>
  <c r="E1000" i="52" s="1"/>
  <c r="E3" i="52" a="1"/>
  <c r="E3" i="52" s="1"/>
  <c r="E14" i="52" a="1"/>
  <c r="E14" i="52" s="1"/>
  <c r="E18" i="52" a="1"/>
  <c r="E18" i="52" s="1"/>
  <c r="E24" i="52" a="1"/>
  <c r="E24" i="52" s="1"/>
  <c r="E35" i="52" a="1"/>
  <c r="E35" i="52" s="1"/>
  <c r="E40" i="52" a="1"/>
  <c r="E40" i="52" s="1"/>
  <c r="E45" i="52" a="1"/>
  <c r="E45" i="52" s="1"/>
  <c r="E51" i="52" a="1"/>
  <c r="E51" i="52" s="1"/>
  <c r="E55" i="52" a="1"/>
  <c r="E55" i="52" s="1"/>
  <c r="E62" i="52" a="1"/>
  <c r="E62" i="52" s="1"/>
  <c r="E68" i="52" a="1"/>
  <c r="E68" i="52" s="1"/>
  <c r="E72" i="52" a="1"/>
  <c r="E72" i="52" s="1"/>
  <c r="E78" i="52" a="1"/>
  <c r="E78" i="52" s="1"/>
  <c r="E82" i="52" a="1"/>
  <c r="E82" i="52" s="1"/>
  <c r="E90" i="52" a="1"/>
  <c r="E90" i="52" s="1"/>
  <c r="E95" i="52" a="1"/>
  <c r="E95" i="52" s="1"/>
  <c r="E100" i="52" a="1"/>
  <c r="E100" i="52" s="1"/>
  <c r="E105" i="52" a="1"/>
  <c r="E105" i="52" s="1"/>
  <c r="E110" i="52" a="1"/>
  <c r="E110" i="52" s="1"/>
  <c r="E120" i="52" a="1"/>
  <c r="E120" i="52" s="1"/>
  <c r="E130" i="52" a="1"/>
  <c r="E130" i="52" s="1"/>
  <c r="E136" i="52" a="1"/>
  <c r="E136" i="52" s="1"/>
  <c r="E144" i="52" a="1"/>
  <c r="E144" i="52" s="1"/>
  <c r="E150" i="52" a="1"/>
  <c r="E150" i="52" s="1"/>
  <c r="E159" i="52" a="1"/>
  <c r="E159" i="52" s="1"/>
  <c r="E165" i="52" a="1"/>
  <c r="E165" i="52" s="1"/>
  <c r="E175" i="52" a="1"/>
  <c r="E175" i="52" s="1"/>
  <c r="E198" i="52" a="1"/>
  <c r="E198" i="52" s="1"/>
  <c r="E205" i="52" a="1"/>
  <c r="E205" i="52" s="1"/>
  <c r="E240" i="52" a="1"/>
  <c r="E240" i="52" s="1"/>
  <c r="E243" i="52" a="1"/>
  <c r="E243" i="52" s="1"/>
  <c r="E251" i="52" a="1"/>
  <c r="E251" i="52" s="1"/>
  <c r="E262" i="52" a="1"/>
  <c r="E262" i="52" s="1"/>
  <c r="E267" i="52" a="1"/>
  <c r="E267" i="52" s="1"/>
  <c r="E272" i="52" a="1"/>
  <c r="E272" i="52" s="1"/>
  <c r="E277" i="52" a="1"/>
  <c r="E277" i="52" s="1"/>
  <c r="E281" i="52" a="1"/>
  <c r="E281" i="52" s="1"/>
  <c r="E287" i="52" a="1"/>
  <c r="E287" i="52" s="1"/>
  <c r="E291" i="52" a="1"/>
  <c r="E291" i="52" s="1"/>
  <c r="E296" i="52" a="1"/>
  <c r="E296" i="52" s="1"/>
  <c r="E304" i="52" a="1"/>
  <c r="E304" i="52" s="1"/>
  <c r="E307" i="52" a="1"/>
  <c r="E307" i="52" s="1"/>
  <c r="E310" i="52" a="1"/>
  <c r="E310" i="52" s="1"/>
  <c r="E316" i="52" a="1"/>
  <c r="E316" i="52" s="1"/>
  <c r="E325" i="52" a="1"/>
  <c r="E325" i="52" s="1"/>
  <c r="E330" i="52" a="1"/>
  <c r="E330" i="52" s="1"/>
  <c r="E344" i="52" a="1"/>
  <c r="E344" i="52" s="1"/>
  <c r="E353" i="52" a="1"/>
  <c r="E353" i="52" s="1"/>
  <c r="E359" i="52" a="1"/>
  <c r="E359" i="52" s="1"/>
  <c r="E373" i="52" a="1"/>
  <c r="E373" i="52" s="1"/>
  <c r="E383" i="52" a="1"/>
  <c r="E383" i="52" s="1"/>
  <c r="E397" i="52" a="1"/>
  <c r="E397" i="52" s="1"/>
  <c r="E458" i="52" a="1"/>
  <c r="E458" i="52" s="1"/>
  <c r="E463" i="52" a="1"/>
  <c r="E463" i="52" s="1"/>
  <c r="E468" i="52" a="1"/>
  <c r="E468" i="52" s="1"/>
  <c r="E477" i="52" a="1"/>
  <c r="E477" i="52" s="1"/>
  <c r="E481" i="52" a="1"/>
  <c r="E481" i="52" s="1"/>
  <c r="E485" i="52" a="1"/>
  <c r="E485" i="52" s="1"/>
  <c r="E489" i="52" a="1"/>
  <c r="E489" i="52" s="1"/>
  <c r="E499" i="52" a="1"/>
  <c r="E499" i="52" s="1"/>
  <c r="E510" i="52" a="1"/>
  <c r="E510" i="52" s="1"/>
  <c r="E518" i="52" a="1"/>
  <c r="E518" i="52" s="1"/>
  <c r="E523" i="52" a="1"/>
  <c r="E523" i="52" s="1"/>
  <c r="E528" i="52" a="1"/>
  <c r="E528" i="52" s="1"/>
  <c r="E534" i="52" a="1"/>
  <c r="E534" i="52" s="1"/>
  <c r="E539" i="52" a="1"/>
  <c r="E539" i="52" s="1"/>
  <c r="E548" i="52" a="1"/>
  <c r="E548" i="52" s="1"/>
  <c r="E560" i="52" a="1"/>
  <c r="E560" i="52" s="1"/>
  <c r="E569" i="52" a="1"/>
  <c r="E569" i="52" s="1"/>
  <c r="E575" i="52" a="1"/>
  <c r="E575" i="52" s="1"/>
  <c r="E579" i="52" a="1"/>
  <c r="E579" i="52" s="1"/>
  <c r="E585" i="52" a="1"/>
  <c r="E585" i="52" s="1"/>
  <c r="E589" i="52" a="1"/>
  <c r="E589" i="52" s="1"/>
  <c r="E594" i="52" a="1"/>
  <c r="E594" i="52" s="1"/>
  <c r="E607" i="52" a="1"/>
  <c r="E607" i="52" s="1"/>
  <c r="E612" i="52" a="1"/>
  <c r="E612" i="52" s="1"/>
  <c r="E617" i="52" a="1"/>
  <c r="E617" i="52" s="1"/>
  <c r="E620" i="52" a="1"/>
  <c r="E620" i="52" s="1"/>
  <c r="E625" i="52" a="1"/>
  <c r="E625" i="52" s="1"/>
  <c r="E641" i="52" a="1"/>
  <c r="E641" i="52" s="1"/>
  <c r="E644" i="52" a="1"/>
  <c r="E644" i="52" s="1"/>
  <c r="E648" i="52" a="1"/>
  <c r="E648" i="52" s="1"/>
  <c r="E654" i="52" a="1"/>
  <c r="E654" i="52" s="1"/>
  <c r="E660" i="52" a="1"/>
  <c r="E660" i="52" s="1"/>
  <c r="E668" i="52" a="1"/>
  <c r="E668" i="52" s="1"/>
  <c r="E697" i="52" a="1"/>
  <c r="E697" i="52" s="1"/>
  <c r="E702" i="52" a="1"/>
  <c r="E702" i="52" s="1"/>
  <c r="E707" i="52" a="1"/>
  <c r="E707" i="52" s="1"/>
  <c r="E716" i="52" a="1"/>
  <c r="E716" i="52" s="1"/>
  <c r="E723" i="52" a="1"/>
  <c r="E723" i="52" s="1"/>
  <c r="E726" i="52" a="1"/>
  <c r="E726" i="52" s="1"/>
  <c r="E732" i="52" a="1"/>
  <c r="E732" i="52" s="1"/>
  <c r="E746" i="52" a="1"/>
  <c r="E746" i="52" s="1"/>
  <c r="E756" i="52" a="1"/>
  <c r="E756" i="52" s="1"/>
  <c r="E763" i="52" a="1"/>
  <c r="E763" i="52" s="1"/>
  <c r="E773" i="52" a="1"/>
  <c r="E773" i="52" s="1"/>
  <c r="E780" i="52" a="1"/>
  <c r="E780" i="52" s="1"/>
  <c r="E789" i="52" a="1"/>
  <c r="E789" i="52" s="1"/>
  <c r="E796" i="52" a="1"/>
  <c r="E796" i="52" s="1"/>
  <c r="E802" i="52" a="1"/>
  <c r="E802" i="52" s="1"/>
  <c r="E804" i="52" a="1"/>
  <c r="E804" i="52" s="1"/>
  <c r="E809" i="52" a="1"/>
  <c r="E809" i="52" s="1"/>
  <c r="E819" i="52" a="1"/>
  <c r="E819" i="52" s="1"/>
  <c r="E825" i="52" a="1"/>
  <c r="E825" i="52" s="1"/>
  <c r="E829" i="52" a="1"/>
  <c r="E829" i="52" s="1"/>
  <c r="E834" i="52" a="1"/>
  <c r="E834" i="52" s="1"/>
  <c r="E838" i="52" a="1"/>
  <c r="E838" i="52" s="1"/>
  <c r="E842" i="52" a="1"/>
  <c r="E842" i="52" s="1"/>
  <c r="E845" i="52" a="1"/>
  <c r="E845" i="52" s="1"/>
  <c r="E849" i="52" a="1"/>
  <c r="E849" i="52" s="1"/>
  <c r="E851" i="52" a="1"/>
  <c r="E851" i="52" s="1"/>
  <c r="E854" i="52" a="1"/>
  <c r="E854" i="52" s="1"/>
  <c r="E858" i="52" a="1"/>
  <c r="E858" i="52" s="1"/>
  <c r="E861" i="52" a="1"/>
  <c r="E861" i="52" s="1"/>
  <c r="E865" i="52" a="1"/>
  <c r="E865" i="52" s="1"/>
  <c r="E869" i="52" a="1"/>
  <c r="E869" i="52" s="1"/>
  <c r="E873" i="52" a="1"/>
  <c r="E873" i="52" s="1"/>
  <c r="E876" i="52" a="1"/>
  <c r="E876" i="52" s="1"/>
  <c r="E880" i="52" a="1"/>
  <c r="E880" i="52" s="1"/>
  <c r="E884" i="52" a="1"/>
  <c r="E884" i="52" s="1"/>
  <c r="E888" i="52" a="1"/>
  <c r="E888" i="52" s="1"/>
  <c r="E891" i="52" a="1"/>
  <c r="E891" i="52" s="1"/>
  <c r="E895" i="52" a="1"/>
  <c r="E895" i="52" s="1"/>
  <c r="E900" i="52" a="1"/>
  <c r="E900" i="52" s="1"/>
  <c r="E904" i="52" a="1"/>
  <c r="E904" i="52" s="1"/>
  <c r="E908" i="52" a="1"/>
  <c r="E908" i="52" s="1"/>
  <c r="E915" i="52" a="1"/>
  <c r="E915" i="52" s="1"/>
  <c r="E921" i="52" a="1"/>
  <c r="E921" i="52" s="1"/>
  <c r="E925" i="52" a="1"/>
  <c r="E925" i="52" s="1"/>
  <c r="E929" i="52" a="1"/>
  <c r="E929" i="52" s="1"/>
  <c r="E932" i="52" a="1"/>
  <c r="E932" i="52" s="1"/>
  <c r="E944" i="52" a="1"/>
  <c r="E944" i="52" s="1"/>
  <c r="E947" i="52" a="1"/>
  <c r="E947" i="52" s="1"/>
  <c r="E951" i="52" a="1"/>
  <c r="E951" i="52" s="1"/>
  <c r="E955" i="52" a="1"/>
  <c r="E955" i="52" s="1"/>
  <c r="E959" i="52" a="1"/>
  <c r="E959" i="52" s="1"/>
  <c r="E968" i="52" a="1"/>
  <c r="E968" i="52" s="1"/>
  <c r="E995" i="52" a="1"/>
  <c r="E995" i="52" s="1"/>
  <c r="E5" i="52" a="1"/>
  <c r="E5" i="52" s="1"/>
  <c r="E13" i="52" a="1"/>
  <c r="E13" i="52" s="1"/>
  <c r="E26" i="52" a="1"/>
  <c r="E26" i="52" s="1"/>
  <c r="E30" i="52" a="1"/>
  <c r="E30" i="52" s="1"/>
  <c r="E42" i="52" a="1"/>
  <c r="E42" i="52" s="1"/>
  <c r="E48" i="52" a="1"/>
  <c r="E48" i="52" s="1"/>
  <c r="E52" i="52" a="1"/>
  <c r="E52" i="52" s="1"/>
  <c r="E56" i="52" a="1"/>
  <c r="E56" i="52" s="1"/>
  <c r="E61" i="52" a="1"/>
  <c r="E61" i="52" s="1"/>
  <c r="E70" i="52" a="1"/>
  <c r="E70" i="52" s="1"/>
  <c r="E87" i="52" a="1"/>
  <c r="E87" i="52" s="1"/>
  <c r="E101" i="52" a="1"/>
  <c r="E101" i="52" s="1"/>
  <c r="E106" i="52" a="1"/>
  <c r="E106" i="52" s="1"/>
  <c r="E114" i="52" a="1"/>
  <c r="E114" i="52" s="1"/>
  <c r="E118" i="52" a="1"/>
  <c r="E118" i="52" s="1"/>
  <c r="E126" i="52" a="1"/>
  <c r="E126" i="52" s="1"/>
  <c r="E137" i="52" a="1"/>
  <c r="E137" i="52" s="1"/>
  <c r="E147" i="52" a="1"/>
  <c r="E147" i="52" s="1"/>
  <c r="E151" i="52" a="1"/>
  <c r="E151" i="52" s="1"/>
  <c r="E157" i="52" a="1"/>
  <c r="E157" i="52" s="1"/>
  <c r="E164" i="52" a="1"/>
  <c r="E164" i="52" s="1"/>
  <c r="E172" i="52" a="1"/>
  <c r="E172" i="52" s="1"/>
  <c r="E181" i="52" a="1"/>
  <c r="E181" i="52" s="1"/>
  <c r="E185" i="52" a="1"/>
  <c r="E185" i="52" s="1"/>
  <c r="E190" i="52" a="1"/>
  <c r="E190" i="52" s="1"/>
  <c r="E196" i="52" a="1"/>
  <c r="E196" i="52" s="1"/>
  <c r="E202" i="52" a="1"/>
  <c r="E202" i="52" s="1"/>
  <c r="E207" i="52" a="1"/>
  <c r="E207" i="52" s="1"/>
  <c r="E212" i="52" a="1"/>
  <c r="E212" i="52" s="1"/>
  <c r="E216" i="52" a="1"/>
  <c r="E216" i="52" s="1"/>
  <c r="E224" i="52" a="1"/>
  <c r="E224" i="52" s="1"/>
  <c r="E229" i="52" a="1"/>
  <c r="E229" i="52" s="1"/>
  <c r="E237" i="52" a="1"/>
  <c r="E237" i="52" s="1"/>
  <c r="E242" i="52" a="1"/>
  <c r="E242" i="52" s="1"/>
  <c r="E249" i="52" a="1"/>
  <c r="E249" i="52" s="1"/>
  <c r="E257" i="52" a="1"/>
  <c r="E257" i="52" s="1"/>
  <c r="E264" i="52" a="1"/>
  <c r="E264" i="52" s="1"/>
  <c r="E275" i="52" a="1"/>
  <c r="E275" i="52" s="1"/>
  <c r="E280" i="52" a="1"/>
  <c r="E280" i="52" s="1"/>
  <c r="E288" i="52" a="1"/>
  <c r="E288" i="52" s="1"/>
  <c r="E309" i="52" a="1"/>
  <c r="E309" i="52" s="1"/>
  <c r="E313" i="52" a="1"/>
  <c r="E313" i="52" s="1"/>
  <c r="E320" i="52" a="1"/>
  <c r="E320" i="52" s="1"/>
  <c r="E329" i="52" a="1"/>
  <c r="E329" i="52" s="1"/>
  <c r="E333" i="52" a="1"/>
  <c r="E333" i="52" s="1"/>
  <c r="E341" i="52" a="1"/>
  <c r="E341" i="52" s="1"/>
  <c r="E348" i="52" a="1"/>
  <c r="E348" i="52" s="1"/>
  <c r="E352" i="52" a="1"/>
  <c r="E352" i="52" s="1"/>
  <c r="E356" i="52" a="1"/>
  <c r="E356" i="52" s="1"/>
  <c r="E361" i="52" a="1"/>
  <c r="E361" i="52" s="1"/>
  <c r="E365" i="52" a="1"/>
  <c r="E365" i="52" s="1"/>
  <c r="E369" i="52" a="1"/>
  <c r="E369" i="52" s="1"/>
  <c r="E376" i="52" a="1"/>
  <c r="E376" i="52" s="1"/>
  <c r="E380" i="52" a="1"/>
  <c r="E380" i="52" s="1"/>
  <c r="E384" i="52" a="1"/>
  <c r="E384" i="52" s="1"/>
  <c r="E387" i="52" a="1"/>
  <c r="E387" i="52" s="1"/>
  <c r="E393" i="52" a="1"/>
  <c r="E393" i="52" s="1"/>
  <c r="E402" i="52" a="1"/>
  <c r="E402" i="52" s="1"/>
  <c r="E407" i="52" a="1"/>
  <c r="E407" i="52" s="1"/>
  <c r="E410" i="52" a="1"/>
  <c r="E410" i="52" s="1"/>
  <c r="E414" i="52" a="1"/>
  <c r="E414" i="52" s="1"/>
  <c r="E418" i="52" a="1"/>
  <c r="E418" i="52" s="1"/>
  <c r="E423" i="52" a="1"/>
  <c r="E423" i="52" s="1"/>
  <c r="E432" i="52" a="1"/>
  <c r="E432" i="52" s="1"/>
  <c r="E439" i="52" a="1"/>
  <c r="E439" i="52" s="1"/>
  <c r="E444" i="52" a="1"/>
  <c r="E444" i="52" s="1"/>
  <c r="E452" i="52" a="1"/>
  <c r="E452" i="52" s="1"/>
  <c r="E455" i="52" a="1"/>
  <c r="E455" i="52" s="1"/>
  <c r="E459" i="52" a="1"/>
  <c r="E459" i="52" s="1"/>
  <c r="E466" i="52" a="1"/>
  <c r="E466" i="52" s="1"/>
  <c r="E470" i="52" a="1"/>
  <c r="E470" i="52" s="1"/>
  <c r="E474" i="52" a="1"/>
  <c r="E474" i="52" s="1"/>
  <c r="E479" i="52" a="1"/>
  <c r="E479" i="52" s="1"/>
  <c r="E484" i="52" a="1"/>
  <c r="E484" i="52" s="1"/>
  <c r="E491" i="52" a="1"/>
  <c r="E491" i="52" s="1"/>
  <c r="E497" i="52" a="1"/>
  <c r="E497" i="52" s="1"/>
  <c r="E503" i="52" a="1"/>
  <c r="E503" i="52" s="1"/>
  <c r="E507" i="52" a="1"/>
  <c r="E507" i="52" s="1"/>
  <c r="E513" i="52" a="1"/>
  <c r="E513" i="52" s="1"/>
  <c r="E517" i="52" a="1"/>
  <c r="E517" i="52" s="1"/>
  <c r="E524" i="52" a="1"/>
  <c r="E524" i="52" s="1"/>
  <c r="E532" i="52" a="1"/>
  <c r="E532" i="52" s="1"/>
  <c r="E536" i="52" a="1"/>
  <c r="E536" i="52" s="1"/>
  <c r="E541" i="52" a="1"/>
  <c r="E541" i="52" s="1"/>
  <c r="E547" i="52" a="1"/>
  <c r="E547" i="52" s="1"/>
  <c r="E555" i="52" a="1"/>
  <c r="E555" i="52" s="1"/>
  <c r="E559" i="52" a="1"/>
  <c r="E559" i="52" s="1"/>
  <c r="E563" i="52" a="1"/>
  <c r="E563" i="52" s="1"/>
  <c r="E572" i="52" a="1"/>
  <c r="E572" i="52" s="1"/>
  <c r="E578" i="52" a="1"/>
  <c r="E578" i="52" s="1"/>
  <c r="E581" i="52" a="1"/>
  <c r="E581" i="52" s="1"/>
  <c r="E587" i="52" a="1"/>
  <c r="E587" i="52" s="1"/>
  <c r="E595" i="52" a="1"/>
  <c r="E595" i="52" s="1"/>
  <c r="E601" i="52" a="1"/>
  <c r="E601" i="52" s="1"/>
  <c r="E605" i="52" a="1"/>
  <c r="E605" i="52" s="1"/>
  <c r="E631" i="52" a="1"/>
  <c r="E631" i="52" s="1"/>
  <c r="E651" i="52" a="1"/>
  <c r="E651" i="52" s="1"/>
  <c r="E666" i="52" a="1"/>
  <c r="E666" i="52" s="1"/>
  <c r="E672" i="52" a="1"/>
  <c r="E672" i="52" s="1"/>
  <c r="E683" i="52" a="1"/>
  <c r="E683" i="52" s="1"/>
  <c r="E688" i="52" a="1"/>
  <c r="E688" i="52" s="1"/>
  <c r="E693" i="52" a="1"/>
  <c r="E693" i="52" s="1"/>
  <c r="E699" i="52" a="1"/>
  <c r="E699" i="52" s="1"/>
  <c r="E705" i="52" a="1"/>
  <c r="E705" i="52" s="1"/>
  <c r="E711" i="52" a="1"/>
  <c r="E711" i="52" s="1"/>
  <c r="E717" i="52" a="1"/>
  <c r="E717" i="52" s="1"/>
  <c r="E721" i="52" a="1"/>
  <c r="E721" i="52" s="1"/>
  <c r="E727" i="52" a="1"/>
  <c r="E727" i="52" s="1"/>
  <c r="E734" i="52" a="1"/>
  <c r="E734" i="52" s="1"/>
  <c r="E737" i="52" a="1"/>
  <c r="E737" i="52" s="1"/>
  <c r="E741" i="52" a="1"/>
  <c r="E741" i="52" s="1"/>
  <c r="E748" i="52" a="1"/>
  <c r="E748" i="52" s="1"/>
  <c r="E752" i="52" a="1"/>
  <c r="E752" i="52" s="1"/>
  <c r="E758" i="52" a="1"/>
  <c r="E758" i="52" s="1"/>
  <c r="E762" i="52" a="1"/>
  <c r="E762" i="52" s="1"/>
  <c r="E768" i="52" a="1"/>
  <c r="E768" i="52" s="1"/>
  <c r="E774" i="52" a="1"/>
  <c r="E774" i="52" s="1"/>
  <c r="E781" i="52" a="1"/>
  <c r="E781" i="52" s="1"/>
  <c r="E1164" i="52" a="1"/>
  <c r="E1164" i="52" s="1"/>
  <c r="E1166" i="52" a="1"/>
  <c r="E1166" i="52" s="1"/>
  <c r="E1168" i="52" a="1"/>
  <c r="E1168" i="52" s="1"/>
  <c r="E1170" i="52" a="1"/>
  <c r="E1170" i="52" s="1"/>
  <c r="E1172" i="52" a="1"/>
  <c r="E1172" i="52" s="1"/>
  <c r="E1174" i="52" a="1"/>
  <c r="E1174" i="52" s="1"/>
  <c r="E1177" i="52" a="1"/>
  <c r="E1177" i="52" s="1"/>
  <c r="E1179" i="52" a="1"/>
  <c r="E1179" i="52" s="1"/>
  <c r="E1181" i="52" a="1"/>
  <c r="E1181" i="52" s="1"/>
  <c r="E1183" i="52" a="1"/>
  <c r="E1183" i="52" s="1"/>
  <c r="E1185" i="52" a="1"/>
  <c r="E1185" i="52" s="1"/>
  <c r="E1187" i="52" a="1"/>
  <c r="E1187" i="52" s="1"/>
  <c r="E1189" i="52" a="1"/>
  <c r="E1189" i="52" s="1"/>
  <c r="E1191" i="52" a="1"/>
  <c r="E1191" i="52" s="1"/>
  <c r="E1193" i="52" a="1"/>
  <c r="E1193" i="52" s="1"/>
  <c r="E1195" i="52" a="1"/>
  <c r="E1195" i="52" s="1"/>
  <c r="E1198" i="52" a="1"/>
  <c r="E1198" i="52" s="1"/>
  <c r="E1200" i="52" a="1"/>
  <c r="E1200" i="52" s="1"/>
  <c r="E1202" i="52" a="1"/>
  <c r="E1202" i="52" s="1"/>
  <c r="E1204" i="52" a="1"/>
  <c r="E1204" i="52" s="1"/>
  <c r="E1206" i="52" a="1"/>
  <c r="E1206" i="52" s="1"/>
  <c r="E1208" i="52" a="1"/>
  <c r="E1208" i="52" s="1"/>
  <c r="E1211" i="52" a="1"/>
  <c r="E1211" i="52" s="1"/>
  <c r="E1212" i="52" a="1"/>
  <c r="E1212" i="52" s="1"/>
  <c r="E1214" i="52" a="1"/>
  <c r="E1214" i="52" s="1"/>
  <c r="E1216" i="52" a="1"/>
  <c r="E1216" i="52" s="1"/>
  <c r="E1218" i="52" a="1"/>
  <c r="E1218" i="52" s="1"/>
  <c r="E1220" i="52" a="1"/>
  <c r="E1220" i="52" s="1"/>
  <c r="E1222" i="52" a="1"/>
  <c r="E1222" i="52" s="1"/>
  <c r="E1223" i="52" a="1"/>
  <c r="E1223" i="52" s="1"/>
  <c r="E1225" i="52" a="1"/>
  <c r="E1225" i="52" s="1"/>
  <c r="E1227" i="52" a="1"/>
  <c r="E1227" i="52" s="1"/>
  <c r="E1229" i="52" a="1"/>
  <c r="E1229" i="52" s="1"/>
  <c r="E1232" i="52" a="1"/>
  <c r="E1232" i="52" s="1"/>
  <c r="E1233" i="52" a="1"/>
  <c r="E1233" i="52" s="1"/>
  <c r="E1235" i="52" a="1"/>
  <c r="E1235" i="52" s="1"/>
  <c r="E1236" i="52" a="1"/>
  <c r="E1236" i="52" s="1"/>
  <c r="E1238" i="52" a="1"/>
  <c r="E1238" i="52" s="1"/>
  <c r="E1239" i="52" a="1"/>
  <c r="E1239" i="52" s="1"/>
  <c r="E1240" i="52" a="1"/>
  <c r="E1240" i="52" s="1"/>
  <c r="E1241" i="52" a="1"/>
  <c r="E1241" i="52" s="1"/>
  <c r="E1242" i="52" a="1"/>
  <c r="E1242" i="52" s="1"/>
  <c r="E1243" i="52" a="1"/>
  <c r="E1243" i="52" s="1"/>
  <c r="E1245" i="52" a="1"/>
  <c r="E1245" i="52" s="1"/>
  <c r="E1246" i="52" a="1"/>
  <c r="E1246" i="52" s="1"/>
  <c r="E1247" i="52" a="1"/>
  <c r="E1247" i="52" s="1"/>
  <c r="E1248" i="52" a="1"/>
  <c r="E1248" i="52" s="1"/>
  <c r="E1249" i="52" a="1"/>
  <c r="E1249" i="52" s="1"/>
  <c r="E1250" i="52" a="1"/>
  <c r="E1250" i="52" s="1"/>
  <c r="E1251" i="52" a="1"/>
  <c r="E1251" i="52" s="1"/>
  <c r="E1252" i="52" a="1"/>
  <c r="E1252" i="52" s="1"/>
  <c r="E1253" i="52" a="1"/>
  <c r="E1253" i="52" s="1"/>
  <c r="E1254" i="52" a="1"/>
  <c r="E1254" i="52" s="1"/>
  <c r="E1255" i="52" a="1"/>
  <c r="E1255" i="52" s="1"/>
  <c r="E1256" i="52" a="1"/>
  <c r="E1256" i="52" s="1"/>
  <c r="E1257" i="52" a="1"/>
  <c r="E1257" i="52" s="1"/>
  <c r="E1258" i="52" a="1"/>
  <c r="E1258" i="52" s="1"/>
  <c r="E1259" i="52" a="1"/>
  <c r="E1259" i="52" s="1"/>
  <c r="E1260" i="52" a="1"/>
  <c r="E1260" i="52" s="1"/>
  <c r="E1261" i="52" a="1"/>
  <c r="E1261" i="52" s="1"/>
  <c r="E1262" i="52" a="1"/>
  <c r="E1262" i="52" s="1"/>
  <c r="E1263" i="52" a="1"/>
  <c r="E1263" i="52" s="1"/>
  <c r="E1264" i="52" a="1"/>
  <c r="E1264" i="52" s="1"/>
  <c r="E7" i="52" a="1"/>
  <c r="E7" i="52" s="1"/>
  <c r="E10" i="52" a="1"/>
  <c r="E10" i="52" s="1"/>
  <c r="E23" i="52" a="1"/>
  <c r="E23" i="52" s="1"/>
  <c r="E27" i="52" a="1"/>
  <c r="E27" i="52" s="1"/>
  <c r="E31" i="52" a="1"/>
  <c r="E31" i="52" s="1"/>
  <c r="E38" i="52" a="1"/>
  <c r="E38" i="52" s="1"/>
  <c r="E43" i="52" a="1"/>
  <c r="E43" i="52" s="1"/>
  <c r="E50" i="52" a="1"/>
  <c r="E50" i="52" s="1"/>
  <c r="E54" i="52" a="1"/>
  <c r="E54" i="52" s="1"/>
  <c r="E63" i="52" a="1"/>
  <c r="E63" i="52" s="1"/>
  <c r="E69" i="52" a="1"/>
  <c r="E69" i="52" s="1"/>
  <c r="E73" i="52" a="1"/>
  <c r="E73" i="52" s="1"/>
  <c r="E83" i="52" a="1"/>
  <c r="E83" i="52" s="1"/>
  <c r="E88" i="52" a="1"/>
  <c r="E88" i="52" s="1"/>
  <c r="E94" i="52" a="1"/>
  <c r="E94" i="52" s="1"/>
  <c r="E102" i="52" a="1"/>
  <c r="E102" i="52" s="1"/>
  <c r="E111" i="52" a="1"/>
  <c r="E111" i="52" s="1"/>
  <c r="E115" i="52" a="1"/>
  <c r="E115" i="52" s="1"/>
  <c r="E124" i="52" a="1"/>
  <c r="E124" i="52" s="1"/>
  <c r="E128" i="52" a="1"/>
  <c r="E128" i="52" s="1"/>
  <c r="E133" i="52" a="1"/>
  <c r="E133" i="52" s="1"/>
  <c r="E138" i="52" a="1"/>
  <c r="E138" i="52" s="1"/>
  <c r="E143" i="52" a="1"/>
  <c r="E143" i="52" s="1"/>
  <c r="E149" i="52" a="1"/>
  <c r="E149" i="52" s="1"/>
  <c r="E155" i="52" a="1"/>
  <c r="E155" i="52" s="1"/>
  <c r="E161" i="52" a="1"/>
  <c r="E161" i="52" s="1"/>
  <c r="E166" i="52" a="1"/>
  <c r="E166" i="52" s="1"/>
  <c r="E169" i="52" a="1"/>
  <c r="E169" i="52" s="1"/>
  <c r="E174" i="52" a="1"/>
  <c r="E174" i="52" s="1"/>
  <c r="E179" i="52" a="1"/>
  <c r="E179" i="52" s="1"/>
  <c r="E183" i="52" a="1"/>
  <c r="E183" i="52" s="1"/>
  <c r="E192" i="52" a="1"/>
  <c r="E192" i="52" s="1"/>
  <c r="E203" i="52" a="1"/>
  <c r="E203" i="52" s="1"/>
  <c r="E210" i="52" a="1"/>
  <c r="E210" i="52" s="1"/>
  <c r="E215" i="52" a="1"/>
  <c r="E215" i="52" s="1"/>
  <c r="E222" i="52" a="1"/>
  <c r="E222" i="52" s="1"/>
  <c r="E225" i="52" a="1"/>
  <c r="E225" i="52" s="1"/>
  <c r="E228" i="52" a="1"/>
  <c r="E228" i="52" s="1"/>
  <c r="E231" i="52" a="1"/>
  <c r="E231" i="52" s="1"/>
  <c r="E239" i="52" a="1"/>
  <c r="E239" i="52" s="1"/>
  <c r="E246" i="52" a="1"/>
  <c r="E246" i="52" s="1"/>
  <c r="E250" i="52" a="1"/>
  <c r="E250" i="52" s="1"/>
  <c r="E255" i="52" a="1"/>
  <c r="E255" i="52" s="1"/>
  <c r="E265" i="52" a="1"/>
  <c r="E265" i="52" s="1"/>
  <c r="E276" i="52" a="1"/>
  <c r="E276" i="52" s="1"/>
  <c r="E283" i="52" a="1"/>
  <c r="E283" i="52" s="1"/>
  <c r="E294" i="52" a="1"/>
  <c r="E294" i="52" s="1"/>
  <c r="E297" i="52" a="1"/>
  <c r="E297" i="52" s="1"/>
  <c r="E300" i="52" a="1"/>
  <c r="E300" i="52" s="1"/>
  <c r="E315" i="52" a="1"/>
  <c r="E315" i="52" s="1"/>
  <c r="E321" i="52" a="1"/>
  <c r="E321" i="52" s="1"/>
  <c r="E324" i="52" a="1"/>
  <c r="E324" i="52" s="1"/>
  <c r="E331" i="52" a="1"/>
  <c r="E331" i="52" s="1"/>
  <c r="E337" i="52" a="1"/>
  <c r="E337" i="52" s="1"/>
  <c r="E342" i="52" a="1"/>
  <c r="E342" i="52" s="1"/>
  <c r="E347" i="52" a="1"/>
  <c r="E347" i="52" s="1"/>
  <c r="E351" i="52" a="1"/>
  <c r="E351" i="52" s="1"/>
  <c r="E358" i="52" a="1"/>
  <c r="E358" i="52" s="1"/>
  <c r="E364" i="52" a="1"/>
  <c r="E364" i="52" s="1"/>
  <c r="E374" i="52" a="1"/>
  <c r="E374" i="52" s="1"/>
  <c r="E381" i="52" a="1"/>
  <c r="E381" i="52" s="1"/>
  <c r="E385" i="52" a="1"/>
  <c r="E385" i="52" s="1"/>
  <c r="E392" i="52" a="1"/>
  <c r="E392" i="52" s="1"/>
  <c r="E399" i="52" a="1"/>
  <c r="E399" i="52" s="1"/>
  <c r="E412" i="52" a="1"/>
  <c r="E412" i="52" s="1"/>
  <c r="E419" i="52" a="1"/>
  <c r="E419" i="52" s="1"/>
  <c r="E428" i="52" a="1"/>
  <c r="E428" i="52" s="1"/>
  <c r="E435" i="52" a="1"/>
  <c r="E435" i="52" s="1"/>
  <c r="E441" i="52" a="1"/>
  <c r="E441" i="52" s="1"/>
  <c r="E445" i="52" a="1"/>
  <c r="E445" i="52" s="1"/>
  <c r="E450" i="52" a="1"/>
  <c r="E450" i="52" s="1"/>
  <c r="E456" i="52" a="1"/>
  <c r="E456" i="52" s="1"/>
  <c r="E461" i="52" a="1"/>
  <c r="E461" i="52" s="1"/>
  <c r="E465" i="52" a="1"/>
  <c r="E465" i="52" s="1"/>
  <c r="E469" i="52" a="1"/>
  <c r="E469" i="52" s="1"/>
  <c r="E473" i="52" a="1"/>
  <c r="E473" i="52" s="1"/>
  <c r="E478" i="52" a="1"/>
  <c r="E478" i="52" s="1"/>
  <c r="E487" i="52" a="1"/>
  <c r="E487" i="52" s="1"/>
  <c r="E492" i="52" a="1"/>
  <c r="E492" i="52" s="1"/>
  <c r="E496" i="52" a="1"/>
  <c r="E496" i="52" s="1"/>
  <c r="E508" i="52" a="1"/>
  <c r="E508" i="52" s="1"/>
  <c r="E512" i="52" a="1"/>
  <c r="E512" i="52" s="1"/>
  <c r="E516" i="52" a="1"/>
  <c r="E516" i="52" s="1"/>
  <c r="E520" i="52" a="1"/>
  <c r="E520" i="52" s="1"/>
  <c r="E551" i="52" a="1"/>
  <c r="E551" i="52" s="1"/>
  <c r="E554" i="52" a="1"/>
  <c r="E554" i="52" s="1"/>
  <c r="E562" i="52" a="1"/>
  <c r="E562" i="52" s="1"/>
  <c r="E573" i="52" a="1"/>
  <c r="E573" i="52" s="1"/>
  <c r="E580" i="52" a="1"/>
  <c r="E580" i="52" s="1"/>
  <c r="E588" i="52" a="1"/>
  <c r="E588" i="52" s="1"/>
  <c r="E591" i="52" a="1"/>
  <c r="E591" i="52" s="1"/>
  <c r="E598" i="52" a="1"/>
  <c r="E598" i="52" s="1"/>
  <c r="E600" i="52" a="1"/>
  <c r="E600" i="52" s="1"/>
  <c r="E604" i="52" a="1"/>
  <c r="E604" i="52" s="1"/>
  <c r="E610" i="52" a="1"/>
  <c r="E610" i="52" s="1"/>
  <c r="E615" i="52" a="1"/>
  <c r="E615" i="52" s="1"/>
  <c r="E621" i="52" a="1"/>
  <c r="E621" i="52" s="1"/>
  <c r="E626" i="52" a="1"/>
  <c r="E626" i="52" s="1"/>
  <c r="E632" i="52" a="1"/>
  <c r="E632" i="52" s="1"/>
  <c r="E636" i="52" a="1"/>
  <c r="E636" i="52" s="1"/>
  <c r="E643" i="52" a="1"/>
  <c r="E643" i="52" s="1"/>
  <c r="E653" i="52" a="1"/>
  <c r="E653" i="52" s="1"/>
  <c r="E657" i="52" a="1"/>
  <c r="E657" i="52" s="1"/>
  <c r="E661" i="52" a="1"/>
  <c r="E661" i="52" s="1"/>
  <c r="E667" i="52" a="1"/>
  <c r="E667" i="52" s="1"/>
  <c r="E673" i="52" a="1"/>
  <c r="E673" i="52" s="1"/>
  <c r="E677" i="52" a="1"/>
  <c r="E677" i="52" s="1"/>
  <c r="E681" i="52" a="1"/>
  <c r="E681" i="52" s="1"/>
  <c r="E685" i="52" a="1"/>
  <c r="E685" i="52" s="1"/>
  <c r="E689" i="52" a="1"/>
  <c r="E689" i="52" s="1"/>
  <c r="E692" i="52" a="1"/>
  <c r="E692" i="52" s="1"/>
  <c r="E698" i="52" a="1"/>
  <c r="E698" i="52" s="1"/>
  <c r="E704" i="52" a="1"/>
  <c r="E704" i="52" s="1"/>
  <c r="E710" i="52" a="1"/>
  <c r="E710" i="52" s="1"/>
  <c r="E714" i="52" a="1"/>
  <c r="E714" i="52" s="1"/>
  <c r="E720" i="52" a="1"/>
  <c r="E720" i="52" s="1"/>
  <c r="E724" i="52" a="1"/>
  <c r="E724" i="52" s="1"/>
  <c r="E729" i="52" a="1"/>
  <c r="E729" i="52" s="1"/>
  <c r="E739" i="52" a="1"/>
  <c r="E739" i="52" s="1"/>
  <c r="E744" i="52" a="1"/>
  <c r="E744" i="52" s="1"/>
  <c r="E747" i="52" a="1"/>
  <c r="E747" i="52" s="1"/>
  <c r="E753" i="52" a="1"/>
  <c r="E753" i="52" s="1"/>
  <c r="E761" i="52" a="1"/>
  <c r="E761" i="52" s="1"/>
  <c r="E769" i="52" a="1"/>
  <c r="E769" i="52" s="1"/>
  <c r="E777" i="52" a="1"/>
  <c r="E777" i="52" s="1"/>
  <c r="E784" i="52" a="1"/>
  <c r="E784" i="52" s="1"/>
  <c r="E1163" i="52" a="1"/>
  <c r="E1163" i="52" s="1"/>
  <c r="E1165" i="52" a="1"/>
  <c r="E1165" i="52" s="1"/>
  <c r="E1167" i="52" a="1"/>
  <c r="E1167" i="52" s="1"/>
  <c r="E1169" i="52" a="1"/>
  <c r="E1169" i="52" s="1"/>
  <c r="E1171" i="52" a="1"/>
  <c r="E1171" i="52" s="1"/>
  <c r="E1173" i="52" a="1"/>
  <c r="E1173" i="52" s="1"/>
  <c r="E1175" i="52" a="1"/>
  <c r="E1175" i="52" s="1"/>
  <c r="E1176" i="52" a="1"/>
  <c r="E1176" i="52" s="1"/>
  <c r="E1178" i="52" a="1"/>
  <c r="E1178" i="52" s="1"/>
  <c r="E1180" i="52" a="1"/>
  <c r="E1180" i="52" s="1"/>
  <c r="E1182" i="52" a="1"/>
  <c r="E1182" i="52" s="1"/>
  <c r="E1184" i="52" a="1"/>
  <c r="E1184" i="52" s="1"/>
  <c r="E1186" i="52" a="1"/>
  <c r="E1186" i="52" s="1"/>
  <c r="E1188" i="52" a="1"/>
  <c r="E1188" i="52" s="1"/>
  <c r="E1190" i="52" a="1"/>
  <c r="E1190" i="52" s="1"/>
  <c r="E1192" i="52" a="1"/>
  <c r="E1192" i="52" s="1"/>
  <c r="E1194" i="52" a="1"/>
  <c r="E1194" i="52" s="1"/>
  <c r="E1196" i="52" a="1"/>
  <c r="E1196" i="52" s="1"/>
  <c r="E1197" i="52" a="1"/>
  <c r="E1197" i="52" s="1"/>
  <c r="E1199" i="52" a="1"/>
  <c r="E1199" i="52" s="1"/>
  <c r="E1201" i="52" a="1"/>
  <c r="E1201" i="52" s="1"/>
  <c r="E1203" i="52" a="1"/>
  <c r="E1203" i="52" s="1"/>
  <c r="E1205" i="52" a="1"/>
  <c r="E1205" i="52" s="1"/>
  <c r="E1207" i="52" a="1"/>
  <c r="E1207" i="52" s="1"/>
  <c r="E1209" i="52" a="1"/>
  <c r="E1209" i="52" s="1"/>
  <c r="E1210" i="52" a="1"/>
  <c r="E1210" i="52" s="1"/>
  <c r="E1213" i="52" a="1"/>
  <c r="E1213" i="52" s="1"/>
  <c r="E1215" i="52" a="1"/>
  <c r="E1215" i="52" s="1"/>
  <c r="E1217" i="52" a="1"/>
  <c r="E1217" i="52" s="1"/>
  <c r="E1219" i="52" a="1"/>
  <c r="E1219" i="52" s="1"/>
  <c r="E1221" i="52" a="1"/>
  <c r="E1221" i="52" s="1"/>
  <c r="E1224" i="52" a="1"/>
  <c r="E1224" i="52" s="1"/>
  <c r="E1226" i="52" a="1"/>
  <c r="E1226" i="52" s="1"/>
  <c r="E1228" i="52" a="1"/>
  <c r="E1228" i="52" s="1"/>
  <c r="E1230" i="52" a="1"/>
  <c r="E1230" i="52" s="1"/>
  <c r="E1231" i="52" a="1"/>
  <c r="E1231" i="52" s="1"/>
  <c r="E1234" i="52" a="1"/>
  <c r="E1234" i="52" s="1"/>
  <c r="E1237" i="52" a="1"/>
  <c r="E1237" i="52" s="1"/>
  <c r="E1244" i="52" a="1"/>
  <c r="E1244" i="52" s="1"/>
  <c r="I18" i="52"/>
  <c r="I19" i="52"/>
  <c r="I20" i="52"/>
  <c r="I21" i="52" l="1"/>
  <c r="I22" i="52"/>
  <c r="I18" i="51"/>
  <c r="I19" i="5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INFORMA</author>
  </authors>
  <commentList>
    <comment ref="U2" authorId="0" shapeId="0" xr:uid="{D3054F5B-4C0B-4263-9636-D82434B745F2}">
      <text>
        <r>
          <rPr>
            <b/>
            <sz val="9"/>
            <color indexed="81"/>
            <rFont val="Tahoma"/>
            <family val="2"/>
          </rPr>
          <t>INFORMA:</t>
        </r>
        <r>
          <rPr>
            <sz val="9"/>
            <color indexed="81"/>
            <rFont val="Tahoma"/>
            <family val="2"/>
          </rPr>
          <t xml:space="preserve">
Coxcomb map - unclear how to organise data
Total nights and number of domestic and international nights are all shown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INFORMA</author>
  </authors>
  <commentList>
    <comment ref="J2" authorId="0" shapeId="0" xr:uid="{51E194D6-45F2-4974-95D8-73B964B200E1}">
      <text>
        <r>
          <rPr>
            <b/>
            <sz val="9"/>
            <color indexed="81"/>
            <rFont val="Tahoma"/>
            <family val="2"/>
          </rPr>
          <t>INFORMA:</t>
        </r>
        <r>
          <rPr>
            <sz val="9"/>
            <color indexed="81"/>
            <rFont val="Tahoma"/>
            <family val="2"/>
          </rPr>
          <t xml:space="preserve">
Should be a categorical map - but not aware of a template to use (so have used 'ch' instead); there are two value fields provided one with the month and one with the months recoded as values (if using choropleth template to make the map)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EF8873-0E4E-4585-812F-58BA8F3CA752}" keepAlive="1" name="Connection" type="5" refreshedVersion="0" background="1">
    <dbPr connection="Provider=Microsoft.Mashup.OleDb.1;Data Source=$Workbook$;Location=&quot;CH10M1_01_tour_occ_nin3_RYB_xlsx&quot;;Extended Properties=&quot;&quot;" commandType="0"/>
  </connection>
  <connection id="2" xr16:uid="{2A3C59D8-0D1A-4398-BF3E-B476FD3A2F24}" keepAlive="1" name="Connection1" type="5" refreshedVersion="0" background="1">
    <dbPr connection="Provider=Microsoft.Mashup.OleDb.1;Data Source=$Workbook$;Location=&quot;M10_1_01_tour_occ_nin2_RYB2022_xlsx&quot;;Extended Properties=&quot;&quot;" commandType="0"/>
  </connection>
  <connection id="3" xr16:uid="{EC5D9533-E52E-4A9D-A308-73A989F7E0A3}" keepAlive="1" name="Connection6" type="5" refreshedVersion="0" background="1">
    <dbPr connection="Provider=Microsoft.Mashup.OleDb.1;Data Source=$Workbook$;Location=&quot;M10_6_01_tour_ce_omn12_RYB2023_xlsx&quot;;Extended Properties=&quot;&quot;" commandType="0"/>
  </connection>
  <connection id="4" xr16:uid="{08F73078-76A3-4C2D-8BB5-84C36C7987FB}" keepAlive="1" name="Connection9" type="5" refreshedVersion="0" background="1">
    <dbPr connection="Provider=Microsoft.Mashup.OleDb.1;Data Source=$Workbook$;Location=&quot;M10_6_01_tour_ce_omn12_RYB2023_xlsx&quot;;Extended Properties=&quot;&quot;" commandType="0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<sst xmlns="http://schemas.openxmlformats.org/spreadsheetml/2006/main" count="10793" uniqueCount="3235">
  <si>
    <t>Bookmark:</t>
  </si>
  <si>
    <t>Value</t>
  </si>
  <si>
    <t>Galicia</t>
  </si>
  <si>
    <t>Kriti</t>
  </si>
  <si>
    <t>Thessalia</t>
  </si>
  <si>
    <t>Principado de Asturias</t>
  </si>
  <si>
    <t>Illes Balears</t>
  </si>
  <si>
    <t>Jadranska Hrvatska</t>
  </si>
  <si>
    <t>País Vasco</t>
  </si>
  <si>
    <t>Ionia Nisia</t>
  </si>
  <si>
    <t>Ipeiros</t>
  </si>
  <si>
    <t>Comunidad de Madrid</t>
  </si>
  <si>
    <t>Notio Aigaio</t>
  </si>
  <si>
    <t>Małopolskie</t>
  </si>
  <si>
    <t>Cantabria</t>
  </si>
  <si>
    <t>Champagne-Ardenne</t>
  </si>
  <si>
    <t>Kentriki Makedonia</t>
  </si>
  <si>
    <t>Eesti</t>
  </si>
  <si>
    <t>Mayotte</t>
  </si>
  <si>
    <t>Sostinės regionas</t>
  </si>
  <si>
    <t>Dytiki Makedonia</t>
  </si>
  <si>
    <t>Sud-Vest Oltenia</t>
  </si>
  <si>
    <t>Bucureşti-Ilfov</t>
  </si>
  <si>
    <t>Sud-Muntenia</t>
  </si>
  <si>
    <t>Yugoiztochen</t>
  </si>
  <si>
    <t>Canarias</t>
  </si>
  <si>
    <t>Budapest</t>
  </si>
  <si>
    <t>Severozapaden</t>
  </si>
  <si>
    <t>Chapter 10 – Tourism</t>
  </si>
  <si>
    <t>BE10</t>
  </si>
  <si>
    <t>BE21</t>
  </si>
  <si>
    <t>Prov. Antwerpen</t>
  </si>
  <si>
    <t>BE22</t>
  </si>
  <si>
    <t>Prov. Limburg (BE)</t>
  </si>
  <si>
    <t>BE23</t>
  </si>
  <si>
    <t>Prov. Oost-Vlaanderen</t>
  </si>
  <si>
    <t>BE24</t>
  </si>
  <si>
    <t>Prov. Vlaams-Brabant</t>
  </si>
  <si>
    <t>BE25</t>
  </si>
  <si>
    <t>Prov. West-Vlaanderen</t>
  </si>
  <si>
    <t>BE31</t>
  </si>
  <si>
    <t>Prov. Brabant wallon</t>
  </si>
  <si>
    <t>BE32</t>
  </si>
  <si>
    <t>Prov. Hainaut</t>
  </si>
  <si>
    <t>BE33</t>
  </si>
  <si>
    <t>Prov. Liège</t>
  </si>
  <si>
    <t>BE34</t>
  </si>
  <si>
    <t>Prov. Luxembourg (BE)</t>
  </si>
  <si>
    <t>BE35</t>
  </si>
  <si>
    <t>Prov. Namur</t>
  </si>
  <si>
    <t>BG31</t>
  </si>
  <si>
    <t>BG32</t>
  </si>
  <si>
    <t>Severen tsentralen</t>
  </si>
  <si>
    <t>BG33</t>
  </si>
  <si>
    <t>Severoiztochen</t>
  </si>
  <si>
    <t>BG34</t>
  </si>
  <si>
    <t>BG41</t>
  </si>
  <si>
    <t>Yugozapaden</t>
  </si>
  <si>
    <t>BG42</t>
  </si>
  <si>
    <t>Yuzhen tsentralen</t>
  </si>
  <si>
    <t>CZ01</t>
  </si>
  <si>
    <t>Praha</t>
  </si>
  <si>
    <t>CZ02</t>
  </si>
  <si>
    <t>CZ03</t>
  </si>
  <si>
    <t>Jihozápad</t>
  </si>
  <si>
    <t>CZ04</t>
  </si>
  <si>
    <t>Severozápad</t>
  </si>
  <si>
    <t>CZ05</t>
  </si>
  <si>
    <t>Severovýchod</t>
  </si>
  <si>
    <t>CZ06</t>
  </si>
  <si>
    <t>Jihovýchod</t>
  </si>
  <si>
    <t>CZ07</t>
  </si>
  <si>
    <t>CZ08</t>
  </si>
  <si>
    <t>Moravskoslezsko</t>
  </si>
  <si>
    <t>DK01</t>
  </si>
  <si>
    <t>Hovedstaden</t>
  </si>
  <si>
    <t>DK02</t>
  </si>
  <si>
    <t>Sjælland</t>
  </si>
  <si>
    <t>DK03</t>
  </si>
  <si>
    <t>Syddanmark</t>
  </si>
  <si>
    <t>DK04</t>
  </si>
  <si>
    <t>Midtjylland</t>
  </si>
  <si>
    <t>DK05</t>
  </si>
  <si>
    <t>Nordjylland</t>
  </si>
  <si>
    <t>DE11</t>
  </si>
  <si>
    <t>Stuttgart</t>
  </si>
  <si>
    <t>DE12</t>
  </si>
  <si>
    <t>Karlsruhe</t>
  </si>
  <si>
    <t>DE13</t>
  </si>
  <si>
    <t>Freiburg</t>
  </si>
  <si>
    <t>DE14</t>
  </si>
  <si>
    <t>Tübingen</t>
  </si>
  <si>
    <t>DE21</t>
  </si>
  <si>
    <t>Oberbayern</t>
  </si>
  <si>
    <t>DE22</t>
  </si>
  <si>
    <t>Niederbayern</t>
  </si>
  <si>
    <t>DE23</t>
  </si>
  <si>
    <t>Oberpfalz</t>
  </si>
  <si>
    <t>DE24</t>
  </si>
  <si>
    <t>Oberfranken</t>
  </si>
  <si>
    <t>DE25</t>
  </si>
  <si>
    <t>Mittelfranken</t>
  </si>
  <si>
    <t>DE26</t>
  </si>
  <si>
    <t>Unterfranken</t>
  </si>
  <si>
    <t>DE27</t>
  </si>
  <si>
    <t>Schwaben</t>
  </si>
  <si>
    <t>Berlin</t>
  </si>
  <si>
    <t>DE30</t>
  </si>
  <si>
    <t>Brandenburg</t>
  </si>
  <si>
    <t>DE40</t>
  </si>
  <si>
    <t>Bremen</t>
  </si>
  <si>
    <t>DE50</t>
  </si>
  <si>
    <t>Hamburg</t>
  </si>
  <si>
    <t>DE60</t>
  </si>
  <si>
    <t>DE71</t>
  </si>
  <si>
    <t>Darmstadt</t>
  </si>
  <si>
    <t>DE72</t>
  </si>
  <si>
    <t>Gießen</t>
  </si>
  <si>
    <t>DE73</t>
  </si>
  <si>
    <t>Kassel</t>
  </si>
  <si>
    <t>Mecklenburg-Vorpommern</t>
  </si>
  <si>
    <t>DE80</t>
  </si>
  <si>
    <t>DE91</t>
  </si>
  <si>
    <t>Braunschweig</t>
  </si>
  <si>
    <t>DE92</t>
  </si>
  <si>
    <t>Hannover</t>
  </si>
  <si>
    <t>DE93</t>
  </si>
  <si>
    <t>Lüneburg</t>
  </si>
  <si>
    <t>DE94</t>
  </si>
  <si>
    <t>Weser-Ems</t>
  </si>
  <si>
    <t>DEA1</t>
  </si>
  <si>
    <t>Düsseldorf</t>
  </si>
  <si>
    <t>DEA2</t>
  </si>
  <si>
    <t>Köln</t>
  </si>
  <si>
    <t>DEA3</t>
  </si>
  <si>
    <t>Münster</t>
  </si>
  <si>
    <t>DEA4</t>
  </si>
  <si>
    <t>Detmold</t>
  </si>
  <si>
    <t>DEA5</t>
  </si>
  <si>
    <t>Arnsberg</t>
  </si>
  <si>
    <t>DEB1</t>
  </si>
  <si>
    <t>Koblenz</t>
  </si>
  <si>
    <t>DEB2</t>
  </si>
  <si>
    <t>Trier</t>
  </si>
  <si>
    <t>DEB3</t>
  </si>
  <si>
    <t>Rheinhessen-Pfalz</t>
  </si>
  <si>
    <t>Saarland</t>
  </si>
  <si>
    <t>DEC0</t>
  </si>
  <si>
    <t>DED2</t>
  </si>
  <si>
    <t>Dresden</t>
  </si>
  <si>
    <t>DED4</t>
  </si>
  <si>
    <t>Chemnitz</t>
  </si>
  <si>
    <t>DED5</t>
  </si>
  <si>
    <t>Leipzig</t>
  </si>
  <si>
    <t>Sachsen-Anhalt</t>
  </si>
  <si>
    <t>DEE0</t>
  </si>
  <si>
    <t>Schleswig-Holstein</t>
  </si>
  <si>
    <t>DEF0</t>
  </si>
  <si>
    <t>Thüringen</t>
  </si>
  <si>
    <t>DEG0</t>
  </si>
  <si>
    <t>EE00</t>
  </si>
  <si>
    <t>IE04</t>
  </si>
  <si>
    <t>Northern and Western</t>
  </si>
  <si>
    <t>IE05</t>
  </si>
  <si>
    <t>Southern</t>
  </si>
  <si>
    <t>IE06</t>
  </si>
  <si>
    <t>Eastern and Midland</t>
  </si>
  <si>
    <t>Attiki</t>
  </si>
  <si>
    <t>EL30</t>
  </si>
  <si>
    <t>EL41</t>
  </si>
  <si>
    <t>Voreio Aigaio</t>
  </si>
  <si>
    <t>EL42</t>
  </si>
  <si>
    <t>EL43</t>
  </si>
  <si>
    <t>EL51</t>
  </si>
  <si>
    <t>Anatoliki Makedonia, Thraki</t>
  </si>
  <si>
    <t>EL52</t>
  </si>
  <si>
    <t>EL53</t>
  </si>
  <si>
    <t>EL54</t>
  </si>
  <si>
    <t>EL61</t>
  </si>
  <si>
    <t>EL62</t>
  </si>
  <si>
    <t>EL63</t>
  </si>
  <si>
    <t>EL64</t>
  </si>
  <si>
    <t>EL65</t>
  </si>
  <si>
    <t>Peloponnisos</t>
  </si>
  <si>
    <t>ES11</t>
  </si>
  <si>
    <t>ES12</t>
  </si>
  <si>
    <t>ES13</t>
  </si>
  <si>
    <t>ES21</t>
  </si>
  <si>
    <t>ES22</t>
  </si>
  <si>
    <t>Comunidad Foral de Navarra</t>
  </si>
  <si>
    <t>ES23</t>
  </si>
  <si>
    <t>La Rioja</t>
  </si>
  <si>
    <t>ES24</t>
  </si>
  <si>
    <t>Aragón</t>
  </si>
  <si>
    <t>ES30</t>
  </si>
  <si>
    <t>ES41</t>
  </si>
  <si>
    <t>Castilla y León</t>
  </si>
  <si>
    <t>ES42</t>
  </si>
  <si>
    <t>ES43</t>
  </si>
  <si>
    <t>Extremadura</t>
  </si>
  <si>
    <t>ES51</t>
  </si>
  <si>
    <t>Cataluña</t>
  </si>
  <si>
    <t>ES52</t>
  </si>
  <si>
    <t>Comunitat Valenciana</t>
  </si>
  <si>
    <t>ES53</t>
  </si>
  <si>
    <t>ES61</t>
  </si>
  <si>
    <t>Andalucía</t>
  </si>
  <si>
    <t>ES62</t>
  </si>
  <si>
    <t>Región de Murcia</t>
  </si>
  <si>
    <t>ES63</t>
  </si>
  <si>
    <t>Ciudad de Ceuta</t>
  </si>
  <si>
    <t>ES64</t>
  </si>
  <si>
    <t>Ciudad de Melilla</t>
  </si>
  <si>
    <t>ES70</t>
  </si>
  <si>
    <t>FR10</t>
  </si>
  <si>
    <t>FRB0</t>
  </si>
  <si>
    <t>FRC1</t>
  </si>
  <si>
    <t>Bourgogne</t>
  </si>
  <si>
    <t>FRC2</t>
  </si>
  <si>
    <t>Franche-Comté</t>
  </si>
  <si>
    <t>FRD1</t>
  </si>
  <si>
    <t>Basse-Normandie</t>
  </si>
  <si>
    <t>FRD2</t>
  </si>
  <si>
    <t>Haute-Normandie</t>
  </si>
  <si>
    <t>FRE1</t>
  </si>
  <si>
    <t>FRE2</t>
  </si>
  <si>
    <t>Picardie</t>
  </si>
  <si>
    <t>FRF1</t>
  </si>
  <si>
    <t>Alsace</t>
  </si>
  <si>
    <t>FRF2</t>
  </si>
  <si>
    <t>FRF3</t>
  </si>
  <si>
    <t>Lorraine</t>
  </si>
  <si>
    <t>FRG0</t>
  </si>
  <si>
    <t>Bretagne</t>
  </si>
  <si>
    <t>FRH0</t>
  </si>
  <si>
    <t>FRI1</t>
  </si>
  <si>
    <t>Aquitaine</t>
  </si>
  <si>
    <t>FRI2</t>
  </si>
  <si>
    <t>Limousin</t>
  </si>
  <si>
    <t>FRI3</t>
  </si>
  <si>
    <t>Poitou-Charentes</t>
  </si>
  <si>
    <t>FRJ1</t>
  </si>
  <si>
    <t>Languedoc-Roussillon</t>
  </si>
  <si>
    <t>FRJ2</t>
  </si>
  <si>
    <t>Midi-Pyrénées</t>
  </si>
  <si>
    <t>FRK1</t>
  </si>
  <si>
    <t>Auvergne</t>
  </si>
  <si>
    <t>FRK2</t>
  </si>
  <si>
    <t>Rhône-Alpes</t>
  </si>
  <si>
    <t>FRL0</t>
  </si>
  <si>
    <t>Corse</t>
  </si>
  <si>
    <t>FRM0</t>
  </si>
  <si>
    <t>FRY1</t>
  </si>
  <si>
    <t>Guadeloupe</t>
  </si>
  <si>
    <t>FRY2</t>
  </si>
  <si>
    <t>Martinique</t>
  </si>
  <si>
    <t>FRY3</t>
  </si>
  <si>
    <t>Guyane</t>
  </si>
  <si>
    <t>FRY4</t>
  </si>
  <si>
    <t>La Réunion</t>
  </si>
  <si>
    <t>FRY5</t>
  </si>
  <si>
    <t>HR03</t>
  </si>
  <si>
    <t>ITC1</t>
  </si>
  <si>
    <t>Piemonte</t>
  </si>
  <si>
    <t>ITC2</t>
  </si>
  <si>
    <t>ITC3</t>
  </si>
  <si>
    <t>Liguria</t>
  </si>
  <si>
    <t>ITC4</t>
  </si>
  <si>
    <t>Lombardia</t>
  </si>
  <si>
    <t>Nord-Est</t>
  </si>
  <si>
    <t>ITH1</t>
  </si>
  <si>
    <t>Provincia Autonoma di Bolzano/Bozen</t>
  </si>
  <si>
    <t>ITH2</t>
  </si>
  <si>
    <t>Provincia Autonoma di Trento</t>
  </si>
  <si>
    <t>ITH3</t>
  </si>
  <si>
    <t>Veneto</t>
  </si>
  <si>
    <t>ITH4</t>
  </si>
  <si>
    <t>Friuli-Venezia Giulia</t>
  </si>
  <si>
    <t>ITH5</t>
  </si>
  <si>
    <t>Emilia-Romagna</t>
  </si>
  <si>
    <t>ITI1</t>
  </si>
  <si>
    <t>Toscana</t>
  </si>
  <si>
    <t>ITI2</t>
  </si>
  <si>
    <t>Umbria</t>
  </si>
  <si>
    <t>ITI3</t>
  </si>
  <si>
    <t>Marche</t>
  </si>
  <si>
    <t>ITI4</t>
  </si>
  <si>
    <t>Lazio</t>
  </si>
  <si>
    <t>ITF1</t>
  </si>
  <si>
    <t>Abruzzo</t>
  </si>
  <si>
    <t>ITF2</t>
  </si>
  <si>
    <t>Molise</t>
  </si>
  <si>
    <t>ITF3</t>
  </si>
  <si>
    <t>Campania</t>
  </si>
  <si>
    <t>ITF4</t>
  </si>
  <si>
    <t>Puglia</t>
  </si>
  <si>
    <t>ITF5</t>
  </si>
  <si>
    <t>Basilicata</t>
  </si>
  <si>
    <t>ITF6</t>
  </si>
  <si>
    <t>Calabria</t>
  </si>
  <si>
    <t>ITG1</t>
  </si>
  <si>
    <t>Sicilia</t>
  </si>
  <si>
    <t>ITG2</t>
  </si>
  <si>
    <t>Sardegna</t>
  </si>
  <si>
    <t>CY00</t>
  </si>
  <si>
    <t>Latvija</t>
  </si>
  <si>
    <t>LV00</t>
  </si>
  <si>
    <t>LT01</t>
  </si>
  <si>
    <t>LT02</t>
  </si>
  <si>
    <t>Luxembourg</t>
  </si>
  <si>
    <t>LU00</t>
  </si>
  <si>
    <t>HU11</t>
  </si>
  <si>
    <t>HU12</t>
  </si>
  <si>
    <t>Pest</t>
  </si>
  <si>
    <t>HU21</t>
  </si>
  <si>
    <t>Közép-Dunántúl</t>
  </si>
  <si>
    <t>HU22</t>
  </si>
  <si>
    <t>Nyugat-Dunántúl</t>
  </si>
  <si>
    <t>HU23</t>
  </si>
  <si>
    <t>Dél-Dunántúl</t>
  </si>
  <si>
    <t>HU31</t>
  </si>
  <si>
    <t>Észak-Magyarország</t>
  </si>
  <si>
    <t>HU32</t>
  </si>
  <si>
    <t>Észak-Alföld</t>
  </si>
  <si>
    <t>HU33</t>
  </si>
  <si>
    <t>Dél-Alföld</t>
  </si>
  <si>
    <t>Malta</t>
  </si>
  <si>
    <t>MT00</t>
  </si>
  <si>
    <t>NL11</t>
  </si>
  <si>
    <t>Groningen</t>
  </si>
  <si>
    <t>NL12</t>
  </si>
  <si>
    <t>Friesland (NL)</t>
  </si>
  <si>
    <t>NL13</t>
  </si>
  <si>
    <t>Drenthe</t>
  </si>
  <si>
    <t>NL21</t>
  </si>
  <si>
    <t>Overijssel</t>
  </si>
  <si>
    <t>NL22</t>
  </si>
  <si>
    <t>Gelderland</t>
  </si>
  <si>
    <t>NL23</t>
  </si>
  <si>
    <t>Flevoland</t>
  </si>
  <si>
    <t>Utrecht</t>
  </si>
  <si>
    <t>NL32</t>
  </si>
  <si>
    <t>Noord-Holland</t>
  </si>
  <si>
    <t>NL34</t>
  </si>
  <si>
    <t>Zeeland</t>
  </si>
  <si>
    <t>NL41</t>
  </si>
  <si>
    <t>Noord-Brabant</t>
  </si>
  <si>
    <t>NL42</t>
  </si>
  <si>
    <t>Limburg (NL)</t>
  </si>
  <si>
    <t>AT11</t>
  </si>
  <si>
    <t>AT12</t>
  </si>
  <si>
    <t>Niederösterreich</t>
  </si>
  <si>
    <t>AT13</t>
  </si>
  <si>
    <t>Wien</t>
  </si>
  <si>
    <t>AT21</t>
  </si>
  <si>
    <t>Kärnten</t>
  </si>
  <si>
    <t>AT22</t>
  </si>
  <si>
    <t>Steiermark</t>
  </si>
  <si>
    <t>AT31</t>
  </si>
  <si>
    <t>Oberösterreich</t>
  </si>
  <si>
    <t>AT32</t>
  </si>
  <si>
    <t>Salzburg</t>
  </si>
  <si>
    <t>AT33</t>
  </si>
  <si>
    <t>Tirol</t>
  </si>
  <si>
    <t>AT34</t>
  </si>
  <si>
    <t>Vorarlberg</t>
  </si>
  <si>
    <t>PL21</t>
  </si>
  <si>
    <t>PL22</t>
  </si>
  <si>
    <t>PL41</t>
  </si>
  <si>
    <t>Wielkopolskie</t>
  </si>
  <si>
    <t>PL42</t>
  </si>
  <si>
    <t>Zachodniopomorskie</t>
  </si>
  <si>
    <t>PL43</t>
  </si>
  <si>
    <t>Lubuskie</t>
  </si>
  <si>
    <t>PL51</t>
  </si>
  <si>
    <t>PL52</t>
  </si>
  <si>
    <t>Opolskie</t>
  </si>
  <si>
    <t>PL61</t>
  </si>
  <si>
    <t>PL62</t>
  </si>
  <si>
    <t>PL63</t>
  </si>
  <si>
    <t>Pomorskie</t>
  </si>
  <si>
    <t>PL71</t>
  </si>
  <si>
    <t>PL72</t>
  </si>
  <si>
    <t>PL81</t>
  </si>
  <si>
    <t>Lubelskie</t>
  </si>
  <si>
    <t>PL82</t>
  </si>
  <si>
    <t>Podkarpackie</t>
  </si>
  <si>
    <t>PL84</t>
  </si>
  <si>
    <t>Podlaskie</t>
  </si>
  <si>
    <t>PL91</t>
  </si>
  <si>
    <t>PL92</t>
  </si>
  <si>
    <t>Mazowiecki regionalny</t>
  </si>
  <si>
    <t>PT11</t>
  </si>
  <si>
    <t>Norte</t>
  </si>
  <si>
    <t>PT15</t>
  </si>
  <si>
    <t>Algarve</t>
  </si>
  <si>
    <t>Alentejo</t>
  </si>
  <si>
    <t>PT20</t>
  </si>
  <si>
    <t>PT30</t>
  </si>
  <si>
    <t>RO11</t>
  </si>
  <si>
    <t>Nord-Vest</t>
  </si>
  <si>
    <t>RO12</t>
  </si>
  <si>
    <t>Centru</t>
  </si>
  <si>
    <t>RO21</t>
  </si>
  <si>
    <t>RO22</t>
  </si>
  <si>
    <t>Sud-Est</t>
  </si>
  <si>
    <t>RO31</t>
  </si>
  <si>
    <t>RO32</t>
  </si>
  <si>
    <t>RO41</t>
  </si>
  <si>
    <t>RO42</t>
  </si>
  <si>
    <t>Vest</t>
  </si>
  <si>
    <t>SI03</t>
  </si>
  <si>
    <t>Vzhodna Slovenija</t>
  </si>
  <si>
    <t>SI04</t>
  </si>
  <si>
    <t>Zahodna Slovenija</t>
  </si>
  <si>
    <t>SK01</t>
  </si>
  <si>
    <t>Bratislavský kraj</t>
  </si>
  <si>
    <t>SK02</t>
  </si>
  <si>
    <t>Západné Slovensko</t>
  </si>
  <si>
    <t>SK03</t>
  </si>
  <si>
    <t>Stredné Slovensko</t>
  </si>
  <si>
    <t>SK04</t>
  </si>
  <si>
    <t>Východné Slovensko</t>
  </si>
  <si>
    <t>FI19</t>
  </si>
  <si>
    <t>Länsi-Suomi</t>
  </si>
  <si>
    <t>FI1B</t>
  </si>
  <si>
    <t>Helsinki-Uusimaa</t>
  </si>
  <si>
    <t>FI1C</t>
  </si>
  <si>
    <t>Etelä-Suomi</t>
  </si>
  <si>
    <t>FI1D</t>
  </si>
  <si>
    <t>Pohjois- ja Itä-Suomi</t>
  </si>
  <si>
    <t>Åland</t>
  </si>
  <si>
    <t>FI20</t>
  </si>
  <si>
    <t>SE11</t>
  </si>
  <si>
    <t>Stockholm</t>
  </si>
  <si>
    <t>SE12</t>
  </si>
  <si>
    <t>Östra Mellansverige</t>
  </si>
  <si>
    <t>SE21</t>
  </si>
  <si>
    <t>Småland med öarna</t>
  </si>
  <si>
    <t>SE22</t>
  </si>
  <si>
    <t>Sydsverige</t>
  </si>
  <si>
    <t>SE23</t>
  </si>
  <si>
    <t>Västsverige</t>
  </si>
  <si>
    <t>SE31</t>
  </si>
  <si>
    <t>Norra Mellansverige</t>
  </si>
  <si>
    <t>SE32</t>
  </si>
  <si>
    <t>Mellersta Norrland</t>
  </si>
  <si>
    <t>SE33</t>
  </si>
  <si>
    <t>Övre Norrland</t>
  </si>
  <si>
    <t>IS</t>
  </si>
  <si>
    <t>Iceland</t>
  </si>
  <si>
    <t>Ísland</t>
  </si>
  <si>
    <t>IS00</t>
  </si>
  <si>
    <t>Liechtenstein</t>
  </si>
  <si>
    <t>LI00</t>
  </si>
  <si>
    <t>NO02</t>
  </si>
  <si>
    <t>Innlandet</t>
  </si>
  <si>
    <t>NO06</t>
  </si>
  <si>
    <t>NO07</t>
  </si>
  <si>
    <t>Nord-Norge</t>
  </si>
  <si>
    <t>CH01</t>
  </si>
  <si>
    <t>Région lémanique</t>
  </si>
  <si>
    <t>CH02</t>
  </si>
  <si>
    <t>Espace Mittelland</t>
  </si>
  <si>
    <t>CH03</t>
  </si>
  <si>
    <t>Nordwestschweiz</t>
  </si>
  <si>
    <t>CH04</t>
  </si>
  <si>
    <t>Zürich</t>
  </si>
  <si>
    <t>CH05</t>
  </si>
  <si>
    <t>Ostschweiz</t>
  </si>
  <si>
    <t>CH06</t>
  </si>
  <si>
    <t>Zentralschweiz</t>
  </si>
  <si>
    <t>CH07</t>
  </si>
  <si>
    <t>Ticino</t>
  </si>
  <si>
    <t>Severna Makedonija</t>
  </si>
  <si>
    <t>MK00</t>
  </si>
  <si>
    <t>RS</t>
  </si>
  <si>
    <t>Serbia</t>
  </si>
  <si>
    <t>TR</t>
  </si>
  <si>
    <t>TR10</t>
  </si>
  <si>
    <t>TR21</t>
  </si>
  <si>
    <t>TR22</t>
  </si>
  <si>
    <t>TR31</t>
  </si>
  <si>
    <t>TR32</t>
  </si>
  <si>
    <t>TR33</t>
  </si>
  <si>
    <t>TR41</t>
  </si>
  <si>
    <t>TR42</t>
  </si>
  <si>
    <t>Kocaeli, Sakarya, Düzce, Bolu, Yalova</t>
  </si>
  <si>
    <t>TR51</t>
  </si>
  <si>
    <t>Ankara</t>
  </si>
  <si>
    <t>TR52</t>
  </si>
  <si>
    <t>Konya, Karaman</t>
  </si>
  <si>
    <t>TR61</t>
  </si>
  <si>
    <t>Antalya, Isparta, Burdur</t>
  </si>
  <si>
    <t>TR62</t>
  </si>
  <si>
    <t>Adana, Mersin</t>
  </si>
  <si>
    <t>TR63</t>
  </si>
  <si>
    <t>TR71</t>
  </si>
  <si>
    <t>TR72</t>
  </si>
  <si>
    <t>Kayseri, Sivas, Yozgat</t>
  </si>
  <si>
    <t>TR81</t>
  </si>
  <si>
    <t>TR82</t>
  </si>
  <si>
    <t>TR83</t>
  </si>
  <si>
    <t>Samsun, Tokat, Çorum, Amasya</t>
  </si>
  <si>
    <t>TR90</t>
  </si>
  <si>
    <t>TRA1</t>
  </si>
  <si>
    <t>Erzurum, Erzincan, Bayburt</t>
  </si>
  <si>
    <t>TRA2</t>
  </si>
  <si>
    <t>TRB1</t>
  </si>
  <si>
    <t>TRB2</t>
  </si>
  <si>
    <t>TRC1</t>
  </si>
  <si>
    <t>TRC2</t>
  </si>
  <si>
    <t>TRC3</t>
  </si>
  <si>
    <t>Střední Čechy</t>
  </si>
  <si>
    <t>Střední Morava</t>
  </si>
  <si>
    <t>Dytiki Elláda</t>
  </si>
  <si>
    <t>Sterea Elláda</t>
  </si>
  <si>
    <t>Castilla-La Mancha</t>
  </si>
  <si>
    <t>Ile-de-France</t>
  </si>
  <si>
    <t>Nord-Pas de Calais</t>
  </si>
  <si>
    <t>Pays de la Loire</t>
  </si>
  <si>
    <t>Provence-Alpes-Côte d’Azur</t>
  </si>
  <si>
    <t>HR02</t>
  </si>
  <si>
    <t>Panonska Hrvatska</t>
  </si>
  <si>
    <t>HR05</t>
  </si>
  <si>
    <t>Grad Zagreb</t>
  </si>
  <si>
    <t>HR06</t>
  </si>
  <si>
    <t>Sjeverna Hrvatska</t>
  </si>
  <si>
    <t>Valle d’Aosta/Vallée d’Aoste</t>
  </si>
  <si>
    <t>Burgenland</t>
  </si>
  <si>
    <t>Śląskie</t>
  </si>
  <si>
    <t>Dolnośląskie</t>
  </si>
  <si>
    <t>Kujawsko-pomorskie</t>
  </si>
  <si>
    <t>Warmińsko-mazurskie</t>
  </si>
  <si>
    <t>Łódzkie</t>
  </si>
  <si>
    <t>Świętokrzyskie</t>
  </si>
  <si>
    <t>Warszawski stołeczny</t>
  </si>
  <si>
    <t>Região Autónoma dos Açores</t>
  </si>
  <si>
    <t>Região Autónoma da Madeira</t>
  </si>
  <si>
    <t>NUTS</t>
  </si>
  <si>
    <t>Region name</t>
  </si>
  <si>
    <t>Flag</t>
  </si>
  <si>
    <t>Class</t>
  </si>
  <si>
    <t>Year</t>
  </si>
  <si>
    <t>Classes:</t>
  </si>
  <si>
    <t>Data not available</t>
  </si>
  <si>
    <t>:</t>
  </si>
  <si>
    <t>Footnotes:</t>
  </si>
  <si>
    <t>Sources:</t>
  </si>
  <si>
    <t>NO08</t>
  </si>
  <si>
    <t>Oslo og Viken</t>
  </si>
  <si>
    <t>NO09</t>
  </si>
  <si>
    <t>Agder og Sør-Østlandet</t>
  </si>
  <si>
    <t>NO0A</t>
  </si>
  <si>
    <t>Vestlandet</t>
  </si>
  <si>
    <t>NO0B</t>
  </si>
  <si>
    <t>Svalbard og Jan Mayen</t>
  </si>
  <si>
    <t>RS11</t>
  </si>
  <si>
    <t>City of Belgrade</t>
  </si>
  <si>
    <t>RS12</t>
  </si>
  <si>
    <t>RS21</t>
  </si>
  <si>
    <t>RS22</t>
  </si>
  <si>
    <t>İstanbul</t>
  </si>
  <si>
    <t>Tekirdağ, Edirne, Kırklareli</t>
  </si>
  <si>
    <t>Balıkesir, Çanakkale</t>
  </si>
  <si>
    <t>İzmir</t>
  </si>
  <si>
    <t>Aydın, Denizli, Muğla</t>
  </si>
  <si>
    <t>Manisa, Afyonkarahisar, Kütahya, Uşak</t>
  </si>
  <si>
    <t>Bursa, Eskişehir, Bilecik</t>
  </si>
  <si>
    <t>Hatay, Kahramanmaraş, Osmaniye</t>
  </si>
  <si>
    <t>Kırıkkale, Aksaray, Niğde, Nevşehir, Kırşehir</t>
  </si>
  <si>
    <t>Zonguldak, Karabük, Bartın</t>
  </si>
  <si>
    <t>Kastamonu, Çankırı, Sinop</t>
  </si>
  <si>
    <t>Trabzon, Ordu, Giresun, Rize, Artvin, Gümüşhane</t>
  </si>
  <si>
    <t>Ağrı, Kars, Iğdır, Ardahan</t>
  </si>
  <si>
    <t>Malatya, Elazığ, Bingöl, Tunceli</t>
  </si>
  <si>
    <t>Van, Muş, Bitlis, Hakkari</t>
  </si>
  <si>
    <t>Gaziantep, Adıyaman, Kilis</t>
  </si>
  <si>
    <t>Şanlıurfa, Diyarbakır</t>
  </si>
  <si>
    <t>Mardin, Batman, Şırnak, Siirt</t>
  </si>
  <si>
    <t>BE100</t>
  </si>
  <si>
    <t>BE211</t>
  </si>
  <si>
    <t>Arr. Antwerpen</t>
  </si>
  <si>
    <t>BE212</t>
  </si>
  <si>
    <t>Arr. Mechelen</t>
  </si>
  <si>
    <t>BE213</t>
  </si>
  <si>
    <t>Arr. Turnhout</t>
  </si>
  <si>
    <t>BE223</t>
  </si>
  <si>
    <t>Arr. Tongeren</t>
  </si>
  <si>
    <t>BE224</t>
  </si>
  <si>
    <t>Arr. Hasselt</t>
  </si>
  <si>
    <t>BE225</t>
  </si>
  <si>
    <t>Arr. Maaseik</t>
  </si>
  <si>
    <t>BE231</t>
  </si>
  <si>
    <t>Arr. Aalst</t>
  </si>
  <si>
    <t>BE232</t>
  </si>
  <si>
    <t>Arr. Dendermonde</t>
  </si>
  <si>
    <t>BE233</t>
  </si>
  <si>
    <t>Arr. Eeklo</t>
  </si>
  <si>
    <t>BE234</t>
  </si>
  <si>
    <t>Arr. Gent</t>
  </si>
  <si>
    <t>BE235</t>
  </si>
  <si>
    <t>Arr. Oudenaarde</t>
  </si>
  <si>
    <t>BE236</t>
  </si>
  <si>
    <t>Arr. Sint-Niklaas</t>
  </si>
  <si>
    <t>BE241</t>
  </si>
  <si>
    <t>Arr. Halle-Vilvoorde</t>
  </si>
  <si>
    <t>BE242</t>
  </si>
  <si>
    <t>Arr. Leuven</t>
  </si>
  <si>
    <t>BE251</t>
  </si>
  <si>
    <t>Arr. Brugge</t>
  </si>
  <si>
    <t>BE252</t>
  </si>
  <si>
    <t>Arr. Diksmuide</t>
  </si>
  <si>
    <t>BE253</t>
  </si>
  <si>
    <t>Arr. Ieper</t>
  </si>
  <si>
    <t>BE254</t>
  </si>
  <si>
    <t>Arr. Kortrijk</t>
  </si>
  <si>
    <t>BE255</t>
  </si>
  <si>
    <t>Arr. Oostende</t>
  </si>
  <si>
    <t>BE256</t>
  </si>
  <si>
    <t>Arr. Roeselare</t>
  </si>
  <si>
    <t>BE257</t>
  </si>
  <si>
    <t>Arr. Tielt</t>
  </si>
  <si>
    <t>BE258</t>
  </si>
  <si>
    <t>Arr. Veurne</t>
  </si>
  <si>
    <t>BE310</t>
  </si>
  <si>
    <t>Arr. Nivelles</t>
  </si>
  <si>
    <t>BE323</t>
  </si>
  <si>
    <t>Arr. Mons</t>
  </si>
  <si>
    <t>BE328</t>
  </si>
  <si>
    <t>Arr. Tournai-Mouscron</t>
  </si>
  <si>
    <t>BE329</t>
  </si>
  <si>
    <t>Arr. La Louvière</t>
  </si>
  <si>
    <t>BE32A</t>
  </si>
  <si>
    <t>Arr. Ath</t>
  </si>
  <si>
    <t>BE32B</t>
  </si>
  <si>
    <t>Arr. Charleroi</t>
  </si>
  <si>
    <t>BE32C</t>
  </si>
  <si>
    <t>Arr. Soignies</t>
  </si>
  <si>
    <t>BE32D</t>
  </si>
  <si>
    <t>Arr. Thuin</t>
  </si>
  <si>
    <t>BE331</t>
  </si>
  <si>
    <t>Arr. Huy</t>
  </si>
  <si>
    <t>BE332</t>
  </si>
  <si>
    <t>Arr. Liège</t>
  </si>
  <si>
    <t>BE334</t>
  </si>
  <si>
    <t>Arr. Waremme</t>
  </si>
  <si>
    <t>BE335</t>
  </si>
  <si>
    <t>BE336</t>
  </si>
  <si>
    <t>BE341</t>
  </si>
  <si>
    <t>Arr. Arlon</t>
  </si>
  <si>
    <t>BE342</t>
  </si>
  <si>
    <t>Arr. Bastogne</t>
  </si>
  <si>
    <t>BE343</t>
  </si>
  <si>
    <t>Arr. Marche-en-Famenne</t>
  </si>
  <si>
    <t>BE344</t>
  </si>
  <si>
    <t>Arr. Neufchâteau</t>
  </si>
  <si>
    <t>BE345</t>
  </si>
  <si>
    <t>Arr. Virton</t>
  </si>
  <si>
    <t>BE351</t>
  </si>
  <si>
    <t>Arr. Dinant</t>
  </si>
  <si>
    <t>BE352</t>
  </si>
  <si>
    <t>Arr. Namur</t>
  </si>
  <si>
    <t>BE353</t>
  </si>
  <si>
    <t>Arr. Philippeville</t>
  </si>
  <si>
    <t>BG311</t>
  </si>
  <si>
    <t>Vidin</t>
  </si>
  <si>
    <t>BG312</t>
  </si>
  <si>
    <t>Montana</t>
  </si>
  <si>
    <t>BG313</t>
  </si>
  <si>
    <t>Vratsa</t>
  </si>
  <si>
    <t>BG314</t>
  </si>
  <si>
    <t>Pleven</t>
  </si>
  <si>
    <t>BG315</t>
  </si>
  <si>
    <t>Lovech</t>
  </si>
  <si>
    <t>BG321</t>
  </si>
  <si>
    <t>Veliko Tarnovo</t>
  </si>
  <si>
    <t>BG322</t>
  </si>
  <si>
    <t>Gabrovo</t>
  </si>
  <si>
    <t>BG323</t>
  </si>
  <si>
    <t>Ruse</t>
  </si>
  <si>
    <t>BG324</t>
  </si>
  <si>
    <t>Razgrad</t>
  </si>
  <si>
    <t>BG325</t>
  </si>
  <si>
    <t>Silistra</t>
  </si>
  <si>
    <t>BG331</t>
  </si>
  <si>
    <t>Varna</t>
  </si>
  <si>
    <t>BG332</t>
  </si>
  <si>
    <t>Dobrich</t>
  </si>
  <si>
    <t>BG333</t>
  </si>
  <si>
    <t>Shumen</t>
  </si>
  <si>
    <t>BG334</t>
  </si>
  <si>
    <t>Targovishte</t>
  </si>
  <si>
    <t>BG341</t>
  </si>
  <si>
    <t>Burgas</t>
  </si>
  <si>
    <t>BG342</t>
  </si>
  <si>
    <t>Sliven</t>
  </si>
  <si>
    <t>BG343</t>
  </si>
  <si>
    <t>Yambol</t>
  </si>
  <si>
    <t>BG344</t>
  </si>
  <si>
    <t>Stara Zagora</t>
  </si>
  <si>
    <t>BG411</t>
  </si>
  <si>
    <t>Sofia (stolitsa)</t>
  </si>
  <si>
    <t>BG412</t>
  </si>
  <si>
    <t>Sofia</t>
  </si>
  <si>
    <t>BG413</t>
  </si>
  <si>
    <t>Blagoevgrad</t>
  </si>
  <si>
    <t>BG414</t>
  </si>
  <si>
    <t>Pernik</t>
  </si>
  <si>
    <t>BG415</t>
  </si>
  <si>
    <t>Kyustendil</t>
  </si>
  <si>
    <t>BG421</t>
  </si>
  <si>
    <t>Plovdiv</t>
  </si>
  <si>
    <t>BG422</t>
  </si>
  <si>
    <t>Haskovo</t>
  </si>
  <si>
    <t>BG423</t>
  </si>
  <si>
    <t>Pazardzhik</t>
  </si>
  <si>
    <t>BG424</t>
  </si>
  <si>
    <t>Smolyan</t>
  </si>
  <si>
    <t>BG425</t>
  </si>
  <si>
    <t>Kardzhali</t>
  </si>
  <si>
    <t>CZ010</t>
  </si>
  <si>
    <t>CZ020</t>
  </si>
  <si>
    <t>CZ031</t>
  </si>
  <si>
    <t>CZ032</t>
  </si>
  <si>
    <t>CZ041</t>
  </si>
  <si>
    <t>Karlovarský kraj</t>
  </si>
  <si>
    <t>CZ042</t>
  </si>
  <si>
    <t>Ústecký kraj</t>
  </si>
  <si>
    <t>CZ051</t>
  </si>
  <si>
    <t>Liberecký kraj</t>
  </si>
  <si>
    <t>CZ052</t>
  </si>
  <si>
    <t>Královéhradecký kraj</t>
  </si>
  <si>
    <t>CZ053</t>
  </si>
  <si>
    <t>Pardubický kraj</t>
  </si>
  <si>
    <t>CZ063</t>
  </si>
  <si>
    <t>CZ064</t>
  </si>
  <si>
    <t>Jihomoravský kraj</t>
  </si>
  <si>
    <t>CZ071</t>
  </si>
  <si>
    <t>Olomoucký kraj</t>
  </si>
  <si>
    <t>CZ072</t>
  </si>
  <si>
    <t>Zlínský kraj</t>
  </si>
  <si>
    <t>CZ080</t>
  </si>
  <si>
    <t>Moravskoslezský kraj</t>
  </si>
  <si>
    <t>DK011</t>
  </si>
  <si>
    <t>Byen København</t>
  </si>
  <si>
    <t>DK012</t>
  </si>
  <si>
    <t>Københavns omegn</t>
  </si>
  <si>
    <t>DK013</t>
  </si>
  <si>
    <t>Nordsjælland</t>
  </si>
  <si>
    <t>DK014</t>
  </si>
  <si>
    <t>Bornholm</t>
  </si>
  <si>
    <t>DK021</t>
  </si>
  <si>
    <t>Østsjælland</t>
  </si>
  <si>
    <t>DK022</t>
  </si>
  <si>
    <t>Vest- og Sydsjælland</t>
  </si>
  <si>
    <t>DK031</t>
  </si>
  <si>
    <t>Fyn</t>
  </si>
  <si>
    <t>DK032</t>
  </si>
  <si>
    <t>Sydjylland</t>
  </si>
  <si>
    <t>DK041</t>
  </si>
  <si>
    <t>Vestjylland</t>
  </si>
  <si>
    <t>DK042</t>
  </si>
  <si>
    <t>Østjylland</t>
  </si>
  <si>
    <t>DK050</t>
  </si>
  <si>
    <t>DE111</t>
  </si>
  <si>
    <t>Stuttgart, Stadtkreis</t>
  </si>
  <si>
    <t>DE112</t>
  </si>
  <si>
    <t>Böblingen</t>
  </si>
  <si>
    <t>DE113</t>
  </si>
  <si>
    <t>Esslingen</t>
  </si>
  <si>
    <t>DE114</t>
  </si>
  <si>
    <t>Göppingen</t>
  </si>
  <si>
    <t>DE115</t>
  </si>
  <si>
    <t>Ludwigsburg</t>
  </si>
  <si>
    <t>DE116</t>
  </si>
  <si>
    <t>Rems-Murr-Kreis</t>
  </si>
  <si>
    <t>DE117</t>
  </si>
  <si>
    <t>Heilbronn, Stadtkreis</t>
  </si>
  <si>
    <t>DE118</t>
  </si>
  <si>
    <t>Heilbronn, Landkreis</t>
  </si>
  <si>
    <t>DE119</t>
  </si>
  <si>
    <t>Hohenlohekreis</t>
  </si>
  <si>
    <t>DE11A</t>
  </si>
  <si>
    <t>Schwäbisch Hall</t>
  </si>
  <si>
    <t>DE11B</t>
  </si>
  <si>
    <t>Main-Tauber-Kreis</t>
  </si>
  <si>
    <t>DE11C</t>
  </si>
  <si>
    <t>Heidenheim</t>
  </si>
  <si>
    <t>DE11D</t>
  </si>
  <si>
    <t>Ostalbkreis</t>
  </si>
  <si>
    <t>DE121</t>
  </si>
  <si>
    <t>Baden-Baden, Stadtkreis</t>
  </si>
  <si>
    <t>DE122</t>
  </si>
  <si>
    <t>Karlsruhe, Stadtkreis</t>
  </si>
  <si>
    <t>DE123</t>
  </si>
  <si>
    <t>Karlsruhe, Landkreis</t>
  </si>
  <si>
    <t>DE124</t>
  </si>
  <si>
    <t>Rastatt</t>
  </si>
  <si>
    <t>DE125</t>
  </si>
  <si>
    <t>Heidelberg, Stadtkreis</t>
  </si>
  <si>
    <t>DE126</t>
  </si>
  <si>
    <t>Mannheim, Stadtkreis</t>
  </si>
  <si>
    <t>DE127</t>
  </si>
  <si>
    <t>Neckar-Odenwald-Kreis</t>
  </si>
  <si>
    <t>DE128</t>
  </si>
  <si>
    <t>Rhein-Neckar-Kreis</t>
  </si>
  <si>
    <t>DE129</t>
  </si>
  <si>
    <t>Pforzheim, Stadtkreis</t>
  </si>
  <si>
    <t>DE12A</t>
  </si>
  <si>
    <t>Calw</t>
  </si>
  <si>
    <t>DE12B</t>
  </si>
  <si>
    <t>Enzkreis</t>
  </si>
  <si>
    <t>DE12C</t>
  </si>
  <si>
    <t>Freudenstadt</t>
  </si>
  <si>
    <t>DE131</t>
  </si>
  <si>
    <t>Freiburg im Breisgau, Stadtkreis</t>
  </si>
  <si>
    <t>DE132</t>
  </si>
  <si>
    <t>Breisgau-Hochschwarzwald</t>
  </si>
  <si>
    <t>DE133</t>
  </si>
  <si>
    <t>Emmendingen</t>
  </si>
  <si>
    <t>DE134</t>
  </si>
  <si>
    <t>Ortenaukreis</t>
  </si>
  <si>
    <t>DE135</t>
  </si>
  <si>
    <t>Rottweil</t>
  </si>
  <si>
    <t>DE136</t>
  </si>
  <si>
    <t>Schwarzwald-Baar-Kreis</t>
  </si>
  <si>
    <t>DE137</t>
  </si>
  <si>
    <t>Tuttlingen</t>
  </si>
  <si>
    <t>DE138</t>
  </si>
  <si>
    <t>Konstanz</t>
  </si>
  <si>
    <t>DE139</t>
  </si>
  <si>
    <t>Lörrach</t>
  </si>
  <si>
    <t>DE13A</t>
  </si>
  <si>
    <t>Waldshut</t>
  </si>
  <si>
    <t>DE141</t>
  </si>
  <si>
    <t>Reutlingen</t>
  </si>
  <si>
    <t>DE142</t>
  </si>
  <si>
    <t>Tübingen, Landkreis</t>
  </si>
  <si>
    <t>DE143</t>
  </si>
  <si>
    <t>Zollernalbkreis</t>
  </si>
  <si>
    <t>DE144</t>
  </si>
  <si>
    <t>Ulm, Stadtkreis</t>
  </si>
  <si>
    <t>DE145</t>
  </si>
  <si>
    <t>Alb-Donau-Kreis</t>
  </si>
  <si>
    <t>DE146</t>
  </si>
  <si>
    <t>Biberach</t>
  </si>
  <si>
    <t>DE147</t>
  </si>
  <si>
    <t>Bodenseekreis</t>
  </si>
  <si>
    <t>DE148</t>
  </si>
  <si>
    <t>Ravensburg</t>
  </si>
  <si>
    <t>DE149</t>
  </si>
  <si>
    <t>Sigmaringen</t>
  </si>
  <si>
    <t>DE211</t>
  </si>
  <si>
    <t>Ingolstadt, Kreisfreie Stadt</t>
  </si>
  <si>
    <t>DE212</t>
  </si>
  <si>
    <t>München, Kreisfreie Stadt</t>
  </si>
  <si>
    <t>DE213</t>
  </si>
  <si>
    <t>Rosenheim, Kreisfreie Stadt</t>
  </si>
  <si>
    <t>DE214</t>
  </si>
  <si>
    <t>Altötting</t>
  </si>
  <si>
    <t>DE215</t>
  </si>
  <si>
    <t>Berchtesgadener Land</t>
  </si>
  <si>
    <t>DE216</t>
  </si>
  <si>
    <t>Bad Tölz-Wolfratshausen</t>
  </si>
  <si>
    <t>DE217</t>
  </si>
  <si>
    <t>Dachau</t>
  </si>
  <si>
    <t>DE218</t>
  </si>
  <si>
    <t>Ebersberg</t>
  </si>
  <si>
    <t>DE219</t>
  </si>
  <si>
    <t>Eichstätt</t>
  </si>
  <si>
    <t>DE21A</t>
  </si>
  <si>
    <t>Erding</t>
  </si>
  <si>
    <t>DE21B</t>
  </si>
  <si>
    <t>Freising</t>
  </si>
  <si>
    <t>DE21C</t>
  </si>
  <si>
    <t>Fürstenfeldbruck</t>
  </si>
  <si>
    <t>DE21D</t>
  </si>
  <si>
    <t>Garmisch-Partenkirchen</t>
  </si>
  <si>
    <t>DE21E</t>
  </si>
  <si>
    <t>Landsberg am Lech</t>
  </si>
  <si>
    <t>DE21F</t>
  </si>
  <si>
    <t>Miesbach</t>
  </si>
  <si>
    <t>DE21G</t>
  </si>
  <si>
    <t>DE21H</t>
  </si>
  <si>
    <t>München, Landkreis</t>
  </si>
  <si>
    <t>DE21I</t>
  </si>
  <si>
    <t>Neuburg-Schrobenhausen</t>
  </si>
  <si>
    <t>DE21J</t>
  </si>
  <si>
    <t>DE21K</t>
  </si>
  <si>
    <t>Rosenheim, Landkreis</t>
  </si>
  <si>
    <t>DE21L</t>
  </si>
  <si>
    <t>Starnberg</t>
  </si>
  <si>
    <t>DE21M</t>
  </si>
  <si>
    <t>Traunstein</t>
  </si>
  <si>
    <t>DE21N</t>
  </si>
  <si>
    <t>Weilheim-Schongau</t>
  </si>
  <si>
    <t>DE221</t>
  </si>
  <si>
    <t>Landshut, Kreisfreie Stadt</t>
  </si>
  <si>
    <t>DE222</t>
  </si>
  <si>
    <t>Passau, Kreisfreie Stadt</t>
  </si>
  <si>
    <t>DE223</t>
  </si>
  <si>
    <t>Straubing, Kreisfreie Stadt</t>
  </si>
  <si>
    <t>DE224</t>
  </si>
  <si>
    <t>Deggendorf</t>
  </si>
  <si>
    <t>DE225</t>
  </si>
  <si>
    <t>Freyung-Grafenau</t>
  </si>
  <si>
    <t>DE226</t>
  </si>
  <si>
    <t>Kelheim</t>
  </si>
  <si>
    <t>DE227</t>
  </si>
  <si>
    <t>Landshut, Landkreis</t>
  </si>
  <si>
    <t>DE228</t>
  </si>
  <si>
    <t>Passau, Landkreis</t>
  </si>
  <si>
    <t>DE229</t>
  </si>
  <si>
    <t>Regen</t>
  </si>
  <si>
    <t>DE22A</t>
  </si>
  <si>
    <t>Rottal-Inn</t>
  </si>
  <si>
    <t>DE22B</t>
  </si>
  <si>
    <t>Straubing-Bogen</t>
  </si>
  <si>
    <t>DE22C</t>
  </si>
  <si>
    <t>Dingolfing-Landau</t>
  </si>
  <si>
    <t>DE231</t>
  </si>
  <si>
    <t>Amberg, Kreisfreie Stadt</t>
  </si>
  <si>
    <t>DE232</t>
  </si>
  <si>
    <t>Regensburg, Kreisfreie Stadt</t>
  </si>
  <si>
    <t>DE233</t>
  </si>
  <si>
    <t>DE234</t>
  </si>
  <si>
    <t>Amberg-Sulzbach</t>
  </si>
  <si>
    <t>DE235</t>
  </si>
  <si>
    <t>Cham</t>
  </si>
  <si>
    <t>DE236</t>
  </si>
  <si>
    <t>DE237</t>
  </si>
  <si>
    <t>DE238</t>
  </si>
  <si>
    <t>Regensburg, Landkreis</t>
  </si>
  <si>
    <t>DE239</t>
  </si>
  <si>
    <t>Schwandorf</t>
  </si>
  <si>
    <t>DE23A</t>
  </si>
  <si>
    <t>Tirschenreuth</t>
  </si>
  <si>
    <t>DE241</t>
  </si>
  <si>
    <t>Bamberg, Kreisfreie Stadt</t>
  </si>
  <si>
    <t>DE242</t>
  </si>
  <si>
    <t>Bayreuth, Kreisfreie Stadt</t>
  </si>
  <si>
    <t>DE243</t>
  </si>
  <si>
    <t>Coburg, Kreisfreie Stadt</t>
  </si>
  <si>
    <t>DE244</t>
  </si>
  <si>
    <t>Hof, Kreisfreie Stadt</t>
  </si>
  <si>
    <t>DE245</t>
  </si>
  <si>
    <t>Bamberg, Landkreis</t>
  </si>
  <si>
    <t>DE246</t>
  </si>
  <si>
    <t>Bayreuth, Landkreis</t>
  </si>
  <si>
    <t>DE247</t>
  </si>
  <si>
    <t>Coburg, Landkreis</t>
  </si>
  <si>
    <t>DE248</t>
  </si>
  <si>
    <t>Forchheim</t>
  </si>
  <si>
    <t>DE249</t>
  </si>
  <si>
    <t>Hof, Landkreis</t>
  </si>
  <si>
    <t>DE24A</t>
  </si>
  <si>
    <t>Kronach</t>
  </si>
  <si>
    <t>DE24B</t>
  </si>
  <si>
    <t>Kulmbach</t>
  </si>
  <si>
    <t>DE24C</t>
  </si>
  <si>
    <t>Lichtenfels</t>
  </si>
  <si>
    <t>DE24D</t>
  </si>
  <si>
    <t>DE251</t>
  </si>
  <si>
    <t>Ansbach, Kreisfreie Stadt</t>
  </si>
  <si>
    <t>DE252</t>
  </si>
  <si>
    <t>Erlangen, Kreisfreie Stadt</t>
  </si>
  <si>
    <t>DE253</t>
  </si>
  <si>
    <t>Fürth, Kreisfreie Stadt</t>
  </si>
  <si>
    <t>DE254</t>
  </si>
  <si>
    <t>Nürnberg, Kreisfreie Stadt</t>
  </si>
  <si>
    <t>DE255</t>
  </si>
  <si>
    <t>Schwabach, Kreisfreie Stadt</t>
  </si>
  <si>
    <t>DE256</t>
  </si>
  <si>
    <t>Ansbach, Landkreis</t>
  </si>
  <si>
    <t>DE257</t>
  </si>
  <si>
    <t>Erlangen-Höchstadt</t>
  </si>
  <si>
    <t>DE258</t>
  </si>
  <si>
    <t>Fürth, Landkreis</t>
  </si>
  <si>
    <t>DE259</t>
  </si>
  <si>
    <t>Nürnberger Land</t>
  </si>
  <si>
    <t>DE25A</t>
  </si>
  <si>
    <t>DE25B</t>
  </si>
  <si>
    <t>Roth</t>
  </si>
  <si>
    <t>DE25C</t>
  </si>
  <si>
    <t>Weißenburg-Gunzenhausen</t>
  </si>
  <si>
    <t>DE261</t>
  </si>
  <si>
    <t>Aschaffenburg, Kreisfreie Stadt</t>
  </si>
  <si>
    <t>DE262</t>
  </si>
  <si>
    <t>Schweinfurt, Kreisfreie Stadt</t>
  </si>
  <si>
    <t>DE263</t>
  </si>
  <si>
    <t>Würzburg, Kreisfreie Stadt</t>
  </si>
  <si>
    <t>DE264</t>
  </si>
  <si>
    <t>Aschaffenburg, Landkreis</t>
  </si>
  <si>
    <t>DE265</t>
  </si>
  <si>
    <t>Bad Kissingen</t>
  </si>
  <si>
    <t>DE266</t>
  </si>
  <si>
    <t>Rhön-Grabfeld</t>
  </si>
  <si>
    <t>DE267</t>
  </si>
  <si>
    <t>Haßberge</t>
  </si>
  <si>
    <t>DE268</t>
  </si>
  <si>
    <t>Kitzingen</t>
  </si>
  <si>
    <t>DE269</t>
  </si>
  <si>
    <t>Miltenberg</t>
  </si>
  <si>
    <t>DE26A</t>
  </si>
  <si>
    <t>Main-Spessart</t>
  </si>
  <si>
    <t>DE26B</t>
  </si>
  <si>
    <t>Schweinfurt, Landkreis</t>
  </si>
  <si>
    <t>DE26C</t>
  </si>
  <si>
    <t>Würzburg, Landkreis</t>
  </si>
  <si>
    <t>DE271</t>
  </si>
  <si>
    <t>Augsburg, Kreisfreie Stadt</t>
  </si>
  <si>
    <t>DE272</t>
  </si>
  <si>
    <t>Kaufbeuren, Kreisfreie Stadt</t>
  </si>
  <si>
    <t>DE273</t>
  </si>
  <si>
    <t>Kempten (Allgäu), Kreisfreie Stadt</t>
  </si>
  <si>
    <t>DE274</t>
  </si>
  <si>
    <t>Memmingen, Kreisfreie Stadt</t>
  </si>
  <si>
    <t>DE275</t>
  </si>
  <si>
    <t>Aichach-Friedberg</t>
  </si>
  <si>
    <t>DE276</t>
  </si>
  <si>
    <t>Augsburg, Landkreis</t>
  </si>
  <si>
    <t>DE277</t>
  </si>
  <si>
    <t>DE278</t>
  </si>
  <si>
    <t>Günzburg</t>
  </si>
  <si>
    <t>DE279</t>
  </si>
  <si>
    <t>Neu-Ulm</t>
  </si>
  <si>
    <t>DE27A</t>
  </si>
  <si>
    <t>Lindau (Bodensee)</t>
  </si>
  <si>
    <t>DE27B</t>
  </si>
  <si>
    <t>Ostallgäu</t>
  </si>
  <si>
    <t>DE27C</t>
  </si>
  <si>
    <t>Unterallgäu</t>
  </si>
  <si>
    <t>DE27D</t>
  </si>
  <si>
    <t>Donau-Ries</t>
  </si>
  <si>
    <t>DE27E</t>
  </si>
  <si>
    <t>Oberallgäu</t>
  </si>
  <si>
    <t>DE300</t>
  </si>
  <si>
    <t>DE401</t>
  </si>
  <si>
    <t>Brandenburg an der Havel, Kreisfreie Stadt</t>
  </si>
  <si>
    <t>DE402</t>
  </si>
  <si>
    <t>Cottbus, Kreisfreie Stadt</t>
  </si>
  <si>
    <t>DE403</t>
  </si>
  <si>
    <t>Frankfurt (Oder), Kreisfreie Stadt</t>
  </si>
  <si>
    <t>DE404</t>
  </si>
  <si>
    <t>Potsdam, Kreisfreie Stadt</t>
  </si>
  <si>
    <t>DE405</t>
  </si>
  <si>
    <t>Barnim</t>
  </si>
  <si>
    <t>DE406</t>
  </si>
  <si>
    <t>Dahme-Spreewald</t>
  </si>
  <si>
    <t>DE407</t>
  </si>
  <si>
    <t>Elbe-Elster</t>
  </si>
  <si>
    <t>DE408</t>
  </si>
  <si>
    <t>Havelland</t>
  </si>
  <si>
    <t>DE409</t>
  </si>
  <si>
    <t>Märkisch-Oderland</t>
  </si>
  <si>
    <t>DE40A</t>
  </si>
  <si>
    <t>Oberhavel</t>
  </si>
  <si>
    <t>DE40B</t>
  </si>
  <si>
    <t>Oberspreewald-Lausitz</t>
  </si>
  <si>
    <t>DE40C</t>
  </si>
  <si>
    <t>Oder-Spree</t>
  </si>
  <si>
    <t>DE40D</t>
  </si>
  <si>
    <t>Ostprignitz-Ruppin</t>
  </si>
  <si>
    <t>DE40E</t>
  </si>
  <si>
    <t>Potsdam-Mittelmark</t>
  </si>
  <si>
    <t>DE40F</t>
  </si>
  <si>
    <t>Prignitz</t>
  </si>
  <si>
    <t>DE40G</t>
  </si>
  <si>
    <t>Spree-Neiße</t>
  </si>
  <si>
    <t>DE40H</t>
  </si>
  <si>
    <t>Teltow-Fläming</t>
  </si>
  <si>
    <t>DE40I</t>
  </si>
  <si>
    <t>Uckermark</t>
  </si>
  <si>
    <t>DE501</t>
  </si>
  <si>
    <t>Bremen, Kreisfreie Stadt</t>
  </si>
  <si>
    <t>DE502</t>
  </si>
  <si>
    <t>Bremerhaven, Kreisfreie Stadt</t>
  </si>
  <si>
    <t>DE600</t>
  </si>
  <si>
    <t>DE711</t>
  </si>
  <si>
    <t>Darmstadt, Kreisfreie Stadt</t>
  </si>
  <si>
    <t>DE712</t>
  </si>
  <si>
    <t>Frankfurt am Main, Kreisfreie Stadt</t>
  </si>
  <si>
    <t>DE713</t>
  </si>
  <si>
    <t>Offenbach am Main, Kreisfreie Stadt</t>
  </si>
  <si>
    <t>DE714</t>
  </si>
  <si>
    <t>Wiesbaden, Kreisfreie Stadt</t>
  </si>
  <si>
    <t>DE715</t>
  </si>
  <si>
    <t>Bergstraße</t>
  </si>
  <si>
    <t>DE716</t>
  </si>
  <si>
    <t>Darmstadt-Dieburg</t>
  </si>
  <si>
    <t>DE717</t>
  </si>
  <si>
    <t>Groß-Gerau</t>
  </si>
  <si>
    <t>DE718</t>
  </si>
  <si>
    <t>Hochtaunuskreis</t>
  </si>
  <si>
    <t>DE719</t>
  </si>
  <si>
    <t>Main-Kinzig-Kreis</t>
  </si>
  <si>
    <t>DE71A</t>
  </si>
  <si>
    <t>Main-Taunus-Kreis</t>
  </si>
  <si>
    <t>DE71B</t>
  </si>
  <si>
    <t>Odenwaldkreis</t>
  </si>
  <si>
    <t>DE71C</t>
  </si>
  <si>
    <t>Offenbach, Landkreis</t>
  </si>
  <si>
    <t>DE71D</t>
  </si>
  <si>
    <t>Rheingau-Taunus-Kreis</t>
  </si>
  <si>
    <t>DE71E</t>
  </si>
  <si>
    <t>Wetteraukreis</t>
  </si>
  <si>
    <t>DE721</t>
  </si>
  <si>
    <t>Gießen, Landkreis</t>
  </si>
  <si>
    <t>DE722</t>
  </si>
  <si>
    <t>Lahn-Dill-Kreis</t>
  </si>
  <si>
    <t>DE723</t>
  </si>
  <si>
    <t>Limburg-Weilburg</t>
  </si>
  <si>
    <t>DE724</t>
  </si>
  <si>
    <t>Marburg-Biedenkopf</t>
  </si>
  <si>
    <t>DE725</t>
  </si>
  <si>
    <t>Vogelsbergkreis</t>
  </si>
  <si>
    <t>DE731</t>
  </si>
  <si>
    <t>Kassel, Kreisfreie Stadt</t>
  </si>
  <si>
    <t>DE732</t>
  </si>
  <si>
    <t>Fulda</t>
  </si>
  <si>
    <t>DE733</t>
  </si>
  <si>
    <t>Hersfeld-Rotenburg</t>
  </si>
  <si>
    <t>DE734</t>
  </si>
  <si>
    <t>Kassel, Landkreis</t>
  </si>
  <si>
    <t>DE735</t>
  </si>
  <si>
    <t>Schwalm-Eder-Kreis</t>
  </si>
  <si>
    <t>DE736</t>
  </si>
  <si>
    <t>Waldeck-Frankenberg</t>
  </si>
  <si>
    <t>DE737</t>
  </si>
  <si>
    <t>Werra-Meißner-Kreis</t>
  </si>
  <si>
    <t>DE803</t>
  </si>
  <si>
    <t>Rostock, Kreisfreie Stadt</t>
  </si>
  <si>
    <t>DE804</t>
  </si>
  <si>
    <t>Schwerin, Kreisfreie Stadt</t>
  </si>
  <si>
    <t>DE80J</t>
  </si>
  <si>
    <t>Mecklenburgische Seenplatte</t>
  </si>
  <si>
    <t>DE80K</t>
  </si>
  <si>
    <t>Landkreis Rostock</t>
  </si>
  <si>
    <t>DE80L</t>
  </si>
  <si>
    <t>Vorpommern-Rügen</t>
  </si>
  <si>
    <t>DE80M</t>
  </si>
  <si>
    <t>Nordwestmecklenburg</t>
  </si>
  <si>
    <t>DE80N</t>
  </si>
  <si>
    <t>Vorpommern-Greifswald</t>
  </si>
  <si>
    <t>DE80O</t>
  </si>
  <si>
    <t>Ludwigslust-Parchim</t>
  </si>
  <si>
    <t>DE911</t>
  </si>
  <si>
    <t>Braunschweig, Kreisfreie Stadt</t>
  </si>
  <si>
    <t>DE912</t>
  </si>
  <si>
    <t>Salzgitter, Kreisfreie Stadt</t>
  </si>
  <si>
    <t>DE913</t>
  </si>
  <si>
    <t>Wolfsburg, Kreisfreie Stadt</t>
  </si>
  <si>
    <t>DE914</t>
  </si>
  <si>
    <t>Gifhorn</t>
  </si>
  <si>
    <t>DE916</t>
  </si>
  <si>
    <t>Goslar</t>
  </si>
  <si>
    <t>DE917</t>
  </si>
  <si>
    <t>Helmstedt</t>
  </si>
  <si>
    <t>DE918</t>
  </si>
  <si>
    <t>Northeim</t>
  </si>
  <si>
    <t>DE91A</t>
  </si>
  <si>
    <t>Peine</t>
  </si>
  <si>
    <t>DE91B</t>
  </si>
  <si>
    <t>Wolfenbüttel</t>
  </si>
  <si>
    <t>DE91C</t>
  </si>
  <si>
    <t>Göttingen</t>
  </si>
  <si>
    <t>DE922</t>
  </si>
  <si>
    <t>Diepholz</t>
  </si>
  <si>
    <t>DE923</t>
  </si>
  <si>
    <t>Hameln-Pyrmont</t>
  </si>
  <si>
    <t>DE925</t>
  </si>
  <si>
    <t>Hildesheim</t>
  </si>
  <si>
    <t>DE926</t>
  </si>
  <si>
    <t>Holzminden</t>
  </si>
  <si>
    <t>DE927</t>
  </si>
  <si>
    <t>Nienburg (Weser)</t>
  </si>
  <si>
    <t>DE928</t>
  </si>
  <si>
    <t>Schaumburg</t>
  </si>
  <si>
    <t>DE929</t>
  </si>
  <si>
    <t>Region Hannover</t>
  </si>
  <si>
    <t>DE931</t>
  </si>
  <si>
    <t>Celle</t>
  </si>
  <si>
    <t>DE932</t>
  </si>
  <si>
    <t>Cuxhaven</t>
  </si>
  <si>
    <t>DE933</t>
  </si>
  <si>
    <t>Harburg</t>
  </si>
  <si>
    <t>DE934</t>
  </si>
  <si>
    <t>Lüchow-Dannenberg</t>
  </si>
  <si>
    <t>DE935</t>
  </si>
  <si>
    <t>Lüneburg, Landkreis</t>
  </si>
  <si>
    <t>DE936</t>
  </si>
  <si>
    <t>Osterholz</t>
  </si>
  <si>
    <t>DE937</t>
  </si>
  <si>
    <t>Rotenburg (Wümme)</t>
  </si>
  <si>
    <t>DE938</t>
  </si>
  <si>
    <t>Heidekreis</t>
  </si>
  <si>
    <t>DE939</t>
  </si>
  <si>
    <t>Stade</t>
  </si>
  <si>
    <t>DE93A</t>
  </si>
  <si>
    <t>Uelzen</t>
  </si>
  <si>
    <t>DE93B</t>
  </si>
  <si>
    <t>Verden</t>
  </si>
  <si>
    <t>DE941</t>
  </si>
  <si>
    <t>Delmenhorst, Kreisfreie Stadt</t>
  </si>
  <si>
    <t>DE942</t>
  </si>
  <si>
    <t>Emden, Kreisfreie Stadt</t>
  </si>
  <si>
    <t>DE943</t>
  </si>
  <si>
    <t>Oldenburg (Oldenburg), Kreisfreie Stadt</t>
  </si>
  <si>
    <t>DE944</t>
  </si>
  <si>
    <t>Osnabrück, Kreisfreie Stadt</t>
  </si>
  <si>
    <t>DE945</t>
  </si>
  <si>
    <t>Wilhelmshaven, Kreisfreie Stadt</t>
  </si>
  <si>
    <t>DE946</t>
  </si>
  <si>
    <t>Ammerland</t>
  </si>
  <si>
    <t>DE947</t>
  </si>
  <si>
    <t>Aurich</t>
  </si>
  <si>
    <t>DE948</t>
  </si>
  <si>
    <t>Cloppenburg</t>
  </si>
  <si>
    <t>DE949</t>
  </si>
  <si>
    <t>Emsland</t>
  </si>
  <si>
    <t>DE94A</t>
  </si>
  <si>
    <t>DE94B</t>
  </si>
  <si>
    <t>Grafschaft Bentheim</t>
  </si>
  <si>
    <t>DE94C</t>
  </si>
  <si>
    <t>Leer</t>
  </si>
  <si>
    <t>DE94D</t>
  </si>
  <si>
    <t>Oldenburg, Landkreis</t>
  </si>
  <si>
    <t>DE94E</t>
  </si>
  <si>
    <t>Osnabrück, Landkreis</t>
  </si>
  <si>
    <t>DE94F</t>
  </si>
  <si>
    <t>Vechta</t>
  </si>
  <si>
    <t>DE94G</t>
  </si>
  <si>
    <t>Wesermarsch</t>
  </si>
  <si>
    <t>DE94H</t>
  </si>
  <si>
    <t>Wittmund</t>
  </si>
  <si>
    <t>DEA11</t>
  </si>
  <si>
    <t>Düsseldorf, Kreisfreie Stadt</t>
  </si>
  <si>
    <t>DEA12</t>
  </si>
  <si>
    <t>Duisburg, Kreisfreie Stadt</t>
  </si>
  <si>
    <t>DEA13</t>
  </si>
  <si>
    <t>Essen, Kreisfreie Stadt</t>
  </si>
  <si>
    <t>DEA14</t>
  </si>
  <si>
    <t>Krefeld, Kreisfreie Stadt</t>
  </si>
  <si>
    <t>DEA15</t>
  </si>
  <si>
    <t>Mönchengladbach, Kreisfreie Stadt</t>
  </si>
  <si>
    <t>DEA16</t>
  </si>
  <si>
    <t>Mülheim an der Ruhr, Kreisfreie Stadt</t>
  </si>
  <si>
    <t>DEA17</t>
  </si>
  <si>
    <t>Oberhausen, Kreisfreie Stadt</t>
  </si>
  <si>
    <t>DEA18</t>
  </si>
  <si>
    <t>Remscheid, Kreisfreie Stadt</t>
  </si>
  <si>
    <t>DEA19</t>
  </si>
  <si>
    <t>Solingen, Kreisfreie Stadt</t>
  </si>
  <si>
    <t>DEA1A</t>
  </si>
  <si>
    <t>Wuppertal, Kreisfreie Stadt</t>
  </si>
  <si>
    <t>DEA1B</t>
  </si>
  <si>
    <t>Kleve</t>
  </si>
  <si>
    <t>DEA1C</t>
  </si>
  <si>
    <t>Mettmann</t>
  </si>
  <si>
    <t>DEA1D</t>
  </si>
  <si>
    <t>Rhein-Kreis Neuss</t>
  </si>
  <si>
    <t>DEA1E</t>
  </si>
  <si>
    <t>Viersen</t>
  </si>
  <si>
    <t>DEA1F</t>
  </si>
  <si>
    <t>Wesel</t>
  </si>
  <si>
    <t>DEA22</t>
  </si>
  <si>
    <t>Bonn, Kreisfreie Stadt</t>
  </si>
  <si>
    <t>DEA23</t>
  </si>
  <si>
    <t>Köln, Kreisfreie Stadt</t>
  </si>
  <si>
    <t>DEA24</t>
  </si>
  <si>
    <t>Leverkusen, Kreisfreie Stadt</t>
  </si>
  <si>
    <t>DEA26</t>
  </si>
  <si>
    <t>Düren</t>
  </si>
  <si>
    <t>DEA27</t>
  </si>
  <si>
    <t>Rhein-Erft-Kreis</t>
  </si>
  <si>
    <t>DEA28</t>
  </si>
  <si>
    <t>Euskirchen</t>
  </si>
  <si>
    <t>DEA29</t>
  </si>
  <si>
    <t>Heinsberg</t>
  </si>
  <si>
    <t>DEA2A</t>
  </si>
  <si>
    <t>Oberbergischer Kreis</t>
  </si>
  <si>
    <t>DEA2B</t>
  </si>
  <si>
    <t>Rheinisch-Bergischer Kreis</t>
  </si>
  <si>
    <t>DEA2C</t>
  </si>
  <si>
    <t>Rhein-Sieg-Kreis</t>
  </si>
  <si>
    <t>DEA2D</t>
  </si>
  <si>
    <t>Städteregion Aachen</t>
  </si>
  <si>
    <t>DEA31</t>
  </si>
  <si>
    <t>Bottrop, Kreisfreie Stadt</t>
  </si>
  <si>
    <t>DEA32</t>
  </si>
  <si>
    <t>Gelsenkirchen, Kreisfreie Stadt</t>
  </si>
  <si>
    <t>DEA33</t>
  </si>
  <si>
    <t>Münster, Kreisfreie Stadt</t>
  </si>
  <si>
    <t>DEA34</t>
  </si>
  <si>
    <t>Borken</t>
  </si>
  <si>
    <t>DEA35</t>
  </si>
  <si>
    <t>Coesfeld</t>
  </si>
  <si>
    <t>DEA36</t>
  </si>
  <si>
    <t>Recklinghausen</t>
  </si>
  <si>
    <t>DEA37</t>
  </si>
  <si>
    <t>Steinfurt</t>
  </si>
  <si>
    <t>DEA38</t>
  </si>
  <si>
    <t>Warendorf</t>
  </si>
  <si>
    <t>DEA41</t>
  </si>
  <si>
    <t>Bielefeld, Kreisfreie Stadt</t>
  </si>
  <si>
    <t>DEA42</t>
  </si>
  <si>
    <t>Gütersloh</t>
  </si>
  <si>
    <t>DEA43</t>
  </si>
  <si>
    <t>Herford</t>
  </si>
  <si>
    <t>DEA44</t>
  </si>
  <si>
    <t>Höxter</t>
  </si>
  <si>
    <t>DEA45</t>
  </si>
  <si>
    <t>Lippe</t>
  </si>
  <si>
    <t>DEA46</t>
  </si>
  <si>
    <t>Minden-Lübbecke</t>
  </si>
  <si>
    <t>DEA47</t>
  </si>
  <si>
    <t>Paderborn</t>
  </si>
  <si>
    <t>DEA51</t>
  </si>
  <si>
    <t>Bochum, Kreisfreie Stadt</t>
  </si>
  <si>
    <t>DEA52</t>
  </si>
  <si>
    <t>Dortmund, Kreisfreie Stadt</t>
  </si>
  <si>
    <t>DEA53</t>
  </si>
  <si>
    <t>Hagen, Kreisfreie Stadt</t>
  </si>
  <si>
    <t>DEA54</t>
  </si>
  <si>
    <t>Hamm, Kreisfreie Stadt</t>
  </si>
  <si>
    <t>DEA55</t>
  </si>
  <si>
    <t>Herne, Kreisfreie Stadt</t>
  </si>
  <si>
    <t>DEA56</t>
  </si>
  <si>
    <t>Ennepe-Ruhr-Kreis</t>
  </si>
  <si>
    <t>DEA57</t>
  </si>
  <si>
    <t>Hochsauerlandkreis</t>
  </si>
  <si>
    <t>DEA58</t>
  </si>
  <si>
    <t>Märkischer Kreis</t>
  </si>
  <si>
    <t>DEA59</t>
  </si>
  <si>
    <t>Olpe</t>
  </si>
  <si>
    <t>DEA5A</t>
  </si>
  <si>
    <t>Siegen-Wittgenstein</t>
  </si>
  <si>
    <t>DEA5B</t>
  </si>
  <si>
    <t>Soest</t>
  </si>
  <si>
    <t>DEA5C</t>
  </si>
  <si>
    <t>Unna</t>
  </si>
  <si>
    <t>DEB11</t>
  </si>
  <si>
    <t>Koblenz, Kreisfreie Stadt</t>
  </si>
  <si>
    <t>DEB12</t>
  </si>
  <si>
    <t>Ahrweiler</t>
  </si>
  <si>
    <t>DEB13</t>
  </si>
  <si>
    <t>Altenkirchen (Westerwald)</t>
  </si>
  <si>
    <t>DEB14</t>
  </si>
  <si>
    <t>Bad Kreuznach</t>
  </si>
  <si>
    <t>DEB15</t>
  </si>
  <si>
    <t>Birkenfeld</t>
  </si>
  <si>
    <t>DEB17</t>
  </si>
  <si>
    <t>Mayen-Koblenz</t>
  </si>
  <si>
    <t>DEB18</t>
  </si>
  <si>
    <t>Neuwied</t>
  </si>
  <si>
    <t>DEB1A</t>
  </si>
  <si>
    <t>Rhein-Lahn-Kreis</t>
  </si>
  <si>
    <t>DEB1B</t>
  </si>
  <si>
    <t>Westerwaldkreis</t>
  </si>
  <si>
    <t>DEB1C</t>
  </si>
  <si>
    <t>Cochem-Zell</t>
  </si>
  <si>
    <t>DEB1D</t>
  </si>
  <si>
    <t>Rhein-Hunsrück-Kreis</t>
  </si>
  <si>
    <t>DEB21</t>
  </si>
  <si>
    <t>Trier, Kreisfreie Stadt</t>
  </si>
  <si>
    <t>DEB22</t>
  </si>
  <si>
    <t>Bernkastel-Wittlich</t>
  </si>
  <si>
    <t>DEB23</t>
  </si>
  <si>
    <t>Eifelkreis Bitburg-Prüm</t>
  </si>
  <si>
    <t>DEB24</t>
  </si>
  <si>
    <t>Vulkaneifel</t>
  </si>
  <si>
    <t>DEB25</t>
  </si>
  <si>
    <t>Trier-Saarburg</t>
  </si>
  <si>
    <t>DEB31</t>
  </si>
  <si>
    <t>Frankenthal (Pfalz), Kreisfreie Stadt</t>
  </si>
  <si>
    <t>DEB32</t>
  </si>
  <si>
    <t>Kaiserslautern, Kreisfreie Stadt</t>
  </si>
  <si>
    <t>DEB33</t>
  </si>
  <si>
    <t>Landau in der Pfalz, Kreisfreie Stadt</t>
  </si>
  <si>
    <t>DEB34</t>
  </si>
  <si>
    <t>Ludwigshafen am Rhein, Kreisfreie Stadt</t>
  </si>
  <si>
    <t>DEB35</t>
  </si>
  <si>
    <t>Mainz, Kreisfreie Stadt</t>
  </si>
  <si>
    <t>DEB36</t>
  </si>
  <si>
    <t>Neustadt an der Weinstraße, Kreisfreie Stadt</t>
  </si>
  <si>
    <t>DEB37</t>
  </si>
  <si>
    <t>Pirmasens, Kreisfreie Stadt</t>
  </si>
  <si>
    <t>DEB38</t>
  </si>
  <si>
    <t>Speyer, Kreisfreie Stadt</t>
  </si>
  <si>
    <t>DEB39</t>
  </si>
  <si>
    <t>Worms, Kreisfreie Stadt</t>
  </si>
  <si>
    <t>DEB3A</t>
  </si>
  <si>
    <t>Zweibrücken, Kreisfreie Stadt</t>
  </si>
  <si>
    <t>DEB3B</t>
  </si>
  <si>
    <t>Alzey-Worms</t>
  </si>
  <si>
    <t>DEB3C</t>
  </si>
  <si>
    <t>Bad Dürkheim</t>
  </si>
  <si>
    <t>DEB3D</t>
  </si>
  <si>
    <t>Donnersbergkreis</t>
  </si>
  <si>
    <t>DEB3E</t>
  </si>
  <si>
    <t>Germersheim</t>
  </si>
  <si>
    <t>DEB3F</t>
  </si>
  <si>
    <t>Kaiserslautern, Landkreis</t>
  </si>
  <si>
    <t>DEB3G</t>
  </si>
  <si>
    <t>Kusel</t>
  </si>
  <si>
    <t>DEB3H</t>
  </si>
  <si>
    <t>Südliche Weinstraße</t>
  </si>
  <si>
    <t>DEB3I</t>
  </si>
  <si>
    <t>Rhein-Pfalz-Kreis</t>
  </si>
  <si>
    <t>DEB3J</t>
  </si>
  <si>
    <t>Mainz-Bingen</t>
  </si>
  <si>
    <t>DEB3K</t>
  </si>
  <si>
    <t>Südwestpfalz</t>
  </si>
  <si>
    <t>DEC01</t>
  </si>
  <si>
    <t>Regionalverband Saarbrücken</t>
  </si>
  <si>
    <t>DEC02</t>
  </si>
  <si>
    <t>Merzig-Wadern</t>
  </si>
  <si>
    <t>DEC03</t>
  </si>
  <si>
    <t>Neunkirchen</t>
  </si>
  <si>
    <t>DEC04</t>
  </si>
  <si>
    <t>Saarlouis</t>
  </si>
  <si>
    <t>DEC05</t>
  </si>
  <si>
    <t>Saarpfalz-Kreis</t>
  </si>
  <si>
    <t>DEC06</t>
  </si>
  <si>
    <t>St. Wendel</t>
  </si>
  <si>
    <t>DED21</t>
  </si>
  <si>
    <t>Dresden, Kreisfreie Stadt</t>
  </si>
  <si>
    <t>DED2C</t>
  </si>
  <si>
    <t>Bautzen</t>
  </si>
  <si>
    <t>DED2D</t>
  </si>
  <si>
    <t>Görlitz</t>
  </si>
  <si>
    <t>DED2E</t>
  </si>
  <si>
    <t>Meißen</t>
  </si>
  <si>
    <t>DED2F</t>
  </si>
  <si>
    <t>Sächsische Schweiz-Osterzgebirge</t>
  </si>
  <si>
    <t>DED41</t>
  </si>
  <si>
    <t>Chemnitz, Kreisfreie Stadt</t>
  </si>
  <si>
    <t>DED42</t>
  </si>
  <si>
    <t>Erzgebirgskreis</t>
  </si>
  <si>
    <t>DED43</t>
  </si>
  <si>
    <t>Mittelsachsen</t>
  </si>
  <si>
    <t>DED44</t>
  </si>
  <si>
    <t>Vogtlandkreis</t>
  </si>
  <si>
    <t>DED45</t>
  </si>
  <si>
    <t>Zwickau</t>
  </si>
  <si>
    <t>DED51</t>
  </si>
  <si>
    <t>Leipzig, Kreisfreie Stadt</t>
  </si>
  <si>
    <t>DED52</t>
  </si>
  <si>
    <t>DED53</t>
  </si>
  <si>
    <t>Nordsachsen</t>
  </si>
  <si>
    <t>DEE01</t>
  </si>
  <si>
    <t>Dessau-Roßlau, Kreisfreie Stadt</t>
  </si>
  <si>
    <t>DEE02</t>
  </si>
  <si>
    <t>Halle (Saale), Kreisfreie Stadt</t>
  </si>
  <si>
    <t>DEE03</t>
  </si>
  <si>
    <t>Magdeburg, Kreisfreie Stadt</t>
  </si>
  <si>
    <t>DEE04</t>
  </si>
  <si>
    <t>Altmarkkreis Salzwedel</t>
  </si>
  <si>
    <t>DEE05</t>
  </si>
  <si>
    <t>Anhalt-Bitterfeld</t>
  </si>
  <si>
    <t>DEE06</t>
  </si>
  <si>
    <t>Jerichower Land</t>
  </si>
  <si>
    <t>DEE07</t>
  </si>
  <si>
    <t>Börde</t>
  </si>
  <si>
    <t>DEE08</t>
  </si>
  <si>
    <t>DEE09</t>
  </si>
  <si>
    <t>Harz</t>
  </si>
  <si>
    <t>DEE0A</t>
  </si>
  <si>
    <t>Mansfeld-Südharz</t>
  </si>
  <si>
    <t>DEE0B</t>
  </si>
  <si>
    <t>Saalekreis</t>
  </si>
  <si>
    <t>DEE0C</t>
  </si>
  <si>
    <t>Salzlandkreis</t>
  </si>
  <si>
    <t>DEE0D</t>
  </si>
  <si>
    <t>Stendal</t>
  </si>
  <si>
    <t>DEE0E</t>
  </si>
  <si>
    <t>Wittenberg</t>
  </si>
  <si>
    <t>DEF01</t>
  </si>
  <si>
    <t>Flensburg, Kreisfreie Stadt</t>
  </si>
  <si>
    <t>DEF02</t>
  </si>
  <si>
    <t>Kiel, Kreisfreie Stadt</t>
  </si>
  <si>
    <t>DEF03</t>
  </si>
  <si>
    <t>Lübeck, Kreisfreie Stadt</t>
  </si>
  <si>
    <t>DEF04</t>
  </si>
  <si>
    <t>Neumünster, Kreisfreie Stadt</t>
  </si>
  <si>
    <t>DEF05</t>
  </si>
  <si>
    <t>Dithmarschen</t>
  </si>
  <si>
    <t>DEF06</t>
  </si>
  <si>
    <t>Herzogtum Lauenburg</t>
  </si>
  <si>
    <t>DEF07</t>
  </si>
  <si>
    <t>Nordfriesland</t>
  </si>
  <si>
    <t>DEF08</t>
  </si>
  <si>
    <t>Ostholstein</t>
  </si>
  <si>
    <t>DEF09</t>
  </si>
  <si>
    <t>Pinneberg</t>
  </si>
  <si>
    <t>DEF0A</t>
  </si>
  <si>
    <t>Plön</t>
  </si>
  <si>
    <t>DEF0B</t>
  </si>
  <si>
    <t>Rendsburg-Eckernförde</t>
  </si>
  <si>
    <t>DEF0C</t>
  </si>
  <si>
    <t>Schleswig-Flensburg</t>
  </si>
  <si>
    <t>DEF0D</t>
  </si>
  <si>
    <t>Segeberg</t>
  </si>
  <si>
    <t>DEF0E</t>
  </si>
  <si>
    <t>Steinburg</t>
  </si>
  <si>
    <t>DEF0F</t>
  </si>
  <si>
    <t>Stormarn</t>
  </si>
  <si>
    <t>DEG01</t>
  </si>
  <si>
    <t>Erfurt, Kreisfreie Stadt</t>
  </si>
  <si>
    <t>DEG02</t>
  </si>
  <si>
    <t>Gera, Kreisfreie Stadt</t>
  </si>
  <si>
    <t>DEG03</t>
  </si>
  <si>
    <t>Jena, Kreisfreie Stadt</t>
  </si>
  <si>
    <t>Suhl, Kreisfreie Stadt</t>
  </si>
  <si>
    <t>DEG05</t>
  </si>
  <si>
    <t>Weimar, Kreisfreie Stadt</t>
  </si>
  <si>
    <t>DEG06</t>
  </si>
  <si>
    <t>Eichsfeld</t>
  </si>
  <si>
    <t>DEG07</t>
  </si>
  <si>
    <t>Nordhausen</t>
  </si>
  <si>
    <t>DEG09</t>
  </si>
  <si>
    <t>Unstrut-Hainich-Kreis</t>
  </si>
  <si>
    <t>DEG0A</t>
  </si>
  <si>
    <t>Kyffhäuserkreis</t>
  </si>
  <si>
    <t>Schmalkalden-Meiningen</t>
  </si>
  <si>
    <t>DEG0C</t>
  </si>
  <si>
    <t>Gotha</t>
  </si>
  <si>
    <t>DEG0D</t>
  </si>
  <si>
    <t>Sömmerda</t>
  </si>
  <si>
    <t>DEG0E</t>
  </si>
  <si>
    <t>Hildburghausen</t>
  </si>
  <si>
    <t>Ilm-Kreis</t>
  </si>
  <si>
    <t>DEG0G</t>
  </si>
  <si>
    <t>Weimarer Land</t>
  </si>
  <si>
    <t>Sonneberg</t>
  </si>
  <si>
    <t>Saalfeld-Rudolstadt</t>
  </si>
  <si>
    <t>DEG0J</t>
  </si>
  <si>
    <t>Saale-Holzland-Kreis</t>
  </si>
  <si>
    <t>DEG0K</t>
  </si>
  <si>
    <t>Saale-Orla-Kreis</t>
  </si>
  <si>
    <t>DEG0L</t>
  </si>
  <si>
    <t>Greiz</t>
  </si>
  <si>
    <t>DEG0M</t>
  </si>
  <si>
    <t>Altenburger Land</t>
  </si>
  <si>
    <t>Wartburgkreis</t>
  </si>
  <si>
    <t>EE001</t>
  </si>
  <si>
    <t>Põhja-Eesti</t>
  </si>
  <si>
    <t>EE004</t>
  </si>
  <si>
    <t>Lääne-Eesti</t>
  </si>
  <si>
    <t>EE008</t>
  </si>
  <si>
    <t>Lõuna-Eesti</t>
  </si>
  <si>
    <t>EE009</t>
  </si>
  <si>
    <t>Kesk-Eesti</t>
  </si>
  <si>
    <t>EE00A</t>
  </si>
  <si>
    <t>Kirde-Eesti</t>
  </si>
  <si>
    <t>IE041</t>
  </si>
  <si>
    <t>Border</t>
  </si>
  <si>
    <t>IE042</t>
  </si>
  <si>
    <t>West</t>
  </si>
  <si>
    <t>IE051</t>
  </si>
  <si>
    <t>IE052</t>
  </si>
  <si>
    <t>IE053</t>
  </si>
  <si>
    <t>IE061</t>
  </si>
  <si>
    <t>Dublin</t>
  </si>
  <si>
    <t>IE062</t>
  </si>
  <si>
    <t>Mid-East</t>
  </si>
  <si>
    <t>IE063</t>
  </si>
  <si>
    <t>Midland</t>
  </si>
  <si>
    <t>EL301</t>
  </si>
  <si>
    <t>Voreios Tomeas Athinon</t>
  </si>
  <si>
    <t>EL302</t>
  </si>
  <si>
    <t>Dytikos Tomeas Athinon</t>
  </si>
  <si>
    <t>EL303</t>
  </si>
  <si>
    <t>Kentrikos Tomeas Athinon</t>
  </si>
  <si>
    <t>EL304</t>
  </si>
  <si>
    <t>Notios Tomeas Athinon</t>
  </si>
  <si>
    <t>EL305</t>
  </si>
  <si>
    <t>Anatoliki Attiki</t>
  </si>
  <si>
    <t>EL306</t>
  </si>
  <si>
    <t>Dytiki Attiki</t>
  </si>
  <si>
    <t>EL307</t>
  </si>
  <si>
    <t>Peiraias, Nisoi</t>
  </si>
  <si>
    <t>EL411</t>
  </si>
  <si>
    <t>Lesvos, Limnos</t>
  </si>
  <si>
    <t>EL412</t>
  </si>
  <si>
    <t>Ikaria, Samos</t>
  </si>
  <si>
    <t>EL413</t>
  </si>
  <si>
    <t>Chios</t>
  </si>
  <si>
    <t>EL421</t>
  </si>
  <si>
    <t>EL422</t>
  </si>
  <si>
    <t>EL431</t>
  </si>
  <si>
    <t>Irakleio</t>
  </si>
  <si>
    <t>EL432</t>
  </si>
  <si>
    <t>Lasithi</t>
  </si>
  <si>
    <t>EL433</t>
  </si>
  <si>
    <t>Rethymni</t>
  </si>
  <si>
    <t>EL434</t>
  </si>
  <si>
    <t>Chania</t>
  </si>
  <si>
    <t>EL511</t>
  </si>
  <si>
    <t>Evros</t>
  </si>
  <si>
    <t>EL512</t>
  </si>
  <si>
    <t>Xanthi</t>
  </si>
  <si>
    <t>EL513</t>
  </si>
  <si>
    <t>Rodopi</t>
  </si>
  <si>
    <t>EL514</t>
  </si>
  <si>
    <t>Drama</t>
  </si>
  <si>
    <t>EL515</t>
  </si>
  <si>
    <t>Thasos, Kavala</t>
  </si>
  <si>
    <t>EL521</t>
  </si>
  <si>
    <t>Imathia</t>
  </si>
  <si>
    <t>EL522</t>
  </si>
  <si>
    <t>Thessaloniki</t>
  </si>
  <si>
    <t>EL523</t>
  </si>
  <si>
    <t>Kilkis</t>
  </si>
  <si>
    <t>EL524</t>
  </si>
  <si>
    <t>Pella</t>
  </si>
  <si>
    <t>EL525</t>
  </si>
  <si>
    <t>Pieria</t>
  </si>
  <si>
    <t>EL526</t>
  </si>
  <si>
    <t>Serres</t>
  </si>
  <si>
    <t>EL527</t>
  </si>
  <si>
    <t>Chalkidiki</t>
  </si>
  <si>
    <t>EL531</t>
  </si>
  <si>
    <t>Grevena, Kozani</t>
  </si>
  <si>
    <t>EL532</t>
  </si>
  <si>
    <t>Kastoria</t>
  </si>
  <si>
    <t>EL533</t>
  </si>
  <si>
    <t>Florina</t>
  </si>
  <si>
    <t>EL541</t>
  </si>
  <si>
    <t>Arta, Preveza</t>
  </si>
  <si>
    <t>EL542</t>
  </si>
  <si>
    <t>Thesprotia</t>
  </si>
  <si>
    <t>EL543</t>
  </si>
  <si>
    <t>Ioannina</t>
  </si>
  <si>
    <t>EL611</t>
  </si>
  <si>
    <t>Karditsa, Trikala</t>
  </si>
  <si>
    <t>EL612</t>
  </si>
  <si>
    <t>Larisa</t>
  </si>
  <si>
    <t>EL613</t>
  </si>
  <si>
    <t>EL621</t>
  </si>
  <si>
    <t>Zakynthos</t>
  </si>
  <si>
    <t>EL622</t>
  </si>
  <si>
    <t>Kerkyra</t>
  </si>
  <si>
    <t>EL623</t>
  </si>
  <si>
    <t>Ithaki, Kefallinia</t>
  </si>
  <si>
    <t>EL624</t>
  </si>
  <si>
    <t>Lefkada</t>
  </si>
  <si>
    <t>EL631</t>
  </si>
  <si>
    <t>Aitoloakarnania</t>
  </si>
  <si>
    <t>EL632</t>
  </si>
  <si>
    <t>Achaia</t>
  </si>
  <si>
    <t>EL633</t>
  </si>
  <si>
    <t>Ileia</t>
  </si>
  <si>
    <t>EL641</t>
  </si>
  <si>
    <t>Voiotia</t>
  </si>
  <si>
    <t>EL642</t>
  </si>
  <si>
    <t>Evvoia</t>
  </si>
  <si>
    <t>EL643</t>
  </si>
  <si>
    <t>Evrytania</t>
  </si>
  <si>
    <t>EL644</t>
  </si>
  <si>
    <t>Fthiotida</t>
  </si>
  <si>
    <t>EL645</t>
  </si>
  <si>
    <t>Fokida</t>
  </si>
  <si>
    <t>EL651</t>
  </si>
  <si>
    <t>Argolida, Arkadia</t>
  </si>
  <si>
    <t>EL652</t>
  </si>
  <si>
    <t>Korinthia</t>
  </si>
  <si>
    <t>EL653</t>
  </si>
  <si>
    <t>Lakonia, Messinia</t>
  </si>
  <si>
    <t>ES111</t>
  </si>
  <si>
    <t>A Coruña</t>
  </si>
  <si>
    <t>ES112</t>
  </si>
  <si>
    <t>Lugo</t>
  </si>
  <si>
    <t>ES113</t>
  </si>
  <si>
    <t>Ourense</t>
  </si>
  <si>
    <t>ES114</t>
  </si>
  <si>
    <t>Pontevedra</t>
  </si>
  <si>
    <t>ES120</t>
  </si>
  <si>
    <t>Asturias</t>
  </si>
  <si>
    <t>ES130</t>
  </si>
  <si>
    <t>ES211</t>
  </si>
  <si>
    <t>Araba/Álava</t>
  </si>
  <si>
    <t>ES212</t>
  </si>
  <si>
    <t>Gipuzkoa</t>
  </si>
  <si>
    <t>ES213</t>
  </si>
  <si>
    <t>Bizkaia</t>
  </si>
  <si>
    <t>ES220</t>
  </si>
  <si>
    <t>Navarra</t>
  </si>
  <si>
    <t>ES230</t>
  </si>
  <si>
    <t>ES241</t>
  </si>
  <si>
    <t>Huesca</t>
  </si>
  <si>
    <t>ES242</t>
  </si>
  <si>
    <t>Teruel</t>
  </si>
  <si>
    <t>ES243</t>
  </si>
  <si>
    <t>Zaragoza</t>
  </si>
  <si>
    <t>ES300</t>
  </si>
  <si>
    <t>Madrid</t>
  </si>
  <si>
    <t>ES411</t>
  </si>
  <si>
    <t>Ávila</t>
  </si>
  <si>
    <t>ES412</t>
  </si>
  <si>
    <t>Burgos</t>
  </si>
  <si>
    <t>ES413</t>
  </si>
  <si>
    <t>León</t>
  </si>
  <si>
    <t>ES414</t>
  </si>
  <si>
    <t>Palencia</t>
  </si>
  <si>
    <t>ES415</t>
  </si>
  <si>
    <t>Salamanca</t>
  </si>
  <si>
    <t>ES416</t>
  </si>
  <si>
    <t>Segovia</t>
  </si>
  <si>
    <t>ES417</t>
  </si>
  <si>
    <t>Soria</t>
  </si>
  <si>
    <t>ES418</t>
  </si>
  <si>
    <t>Valladolid</t>
  </si>
  <si>
    <t>ES419</t>
  </si>
  <si>
    <t>Zamora</t>
  </si>
  <si>
    <t>ES421</t>
  </si>
  <si>
    <t>Albacete</t>
  </si>
  <si>
    <t>ES422</t>
  </si>
  <si>
    <t>Ciudad Real</t>
  </si>
  <si>
    <t>ES423</t>
  </si>
  <si>
    <t>Cuenca</t>
  </si>
  <si>
    <t>ES424</t>
  </si>
  <si>
    <t>Guadalajara</t>
  </si>
  <si>
    <t>ES425</t>
  </si>
  <si>
    <t>Toledo</t>
  </si>
  <si>
    <t>ES431</t>
  </si>
  <si>
    <t>Badajoz</t>
  </si>
  <si>
    <t>ES432</t>
  </si>
  <si>
    <t>Cáceres</t>
  </si>
  <si>
    <t>ES511</t>
  </si>
  <si>
    <t>Barcelona</t>
  </si>
  <si>
    <t>ES512</t>
  </si>
  <si>
    <t>Girona</t>
  </si>
  <si>
    <t>ES513</t>
  </si>
  <si>
    <t>Lleida</t>
  </si>
  <si>
    <t>ES514</t>
  </si>
  <si>
    <t>Tarragona</t>
  </si>
  <si>
    <t>ES521</t>
  </si>
  <si>
    <t>Alicante/Alacant</t>
  </si>
  <si>
    <t>ES522</t>
  </si>
  <si>
    <t>Castellón/Castelló</t>
  </si>
  <si>
    <t>ES523</t>
  </si>
  <si>
    <t>Valencia/València</t>
  </si>
  <si>
    <t>ES531</t>
  </si>
  <si>
    <t>ES532</t>
  </si>
  <si>
    <t>Mallorca</t>
  </si>
  <si>
    <t>ES533</t>
  </si>
  <si>
    <t>Menorca</t>
  </si>
  <si>
    <t>ES611</t>
  </si>
  <si>
    <t>Almería</t>
  </si>
  <si>
    <t>ES612</t>
  </si>
  <si>
    <t>Cádiz</t>
  </si>
  <si>
    <t>ES613</t>
  </si>
  <si>
    <t>Córdoba</t>
  </si>
  <si>
    <t>ES614</t>
  </si>
  <si>
    <t>Granada</t>
  </si>
  <si>
    <t>ES615</t>
  </si>
  <si>
    <t>Huelva</t>
  </si>
  <si>
    <t>ES616</t>
  </si>
  <si>
    <t>Jaén</t>
  </si>
  <si>
    <t>ES617</t>
  </si>
  <si>
    <t>Málaga</t>
  </si>
  <si>
    <t>ES618</t>
  </si>
  <si>
    <t>Sevilla</t>
  </si>
  <si>
    <t>ES620</t>
  </si>
  <si>
    <t>Murcia</t>
  </si>
  <si>
    <t>ES630</t>
  </si>
  <si>
    <t>Ceuta</t>
  </si>
  <si>
    <t>ES640</t>
  </si>
  <si>
    <t>Melilla</t>
  </si>
  <si>
    <t>ES703</t>
  </si>
  <si>
    <t>El Hierro</t>
  </si>
  <si>
    <t>ES704</t>
  </si>
  <si>
    <t>Fuerteventura</t>
  </si>
  <si>
    <t>ES705</t>
  </si>
  <si>
    <t>Gran Canaria</t>
  </si>
  <si>
    <t>ES706</t>
  </si>
  <si>
    <t>La Gomera</t>
  </si>
  <si>
    <t>ES707</t>
  </si>
  <si>
    <t>La Palma</t>
  </si>
  <si>
    <t>ES708</t>
  </si>
  <si>
    <t>Lanzarote</t>
  </si>
  <si>
    <t>ES709</t>
  </si>
  <si>
    <t>Tenerife</t>
  </si>
  <si>
    <t>FR101</t>
  </si>
  <si>
    <t>Paris</t>
  </si>
  <si>
    <t>FR102</t>
  </si>
  <si>
    <t>FR103</t>
  </si>
  <si>
    <t>FR104</t>
  </si>
  <si>
    <t>Essonne</t>
  </si>
  <si>
    <t>FR105</t>
  </si>
  <si>
    <t>FR106</t>
  </si>
  <si>
    <t>FR107</t>
  </si>
  <si>
    <t>Val-de-Marne</t>
  </si>
  <si>
    <t>FR108</t>
  </si>
  <si>
    <t>FRB01</t>
  </si>
  <si>
    <t>Cher</t>
  </si>
  <si>
    <t>FRB02</t>
  </si>
  <si>
    <t>Eure-et-Loir</t>
  </si>
  <si>
    <t>FRB03</t>
  </si>
  <si>
    <t>Indre</t>
  </si>
  <si>
    <t>FRB04</t>
  </si>
  <si>
    <t>Indre-et-Loire</t>
  </si>
  <si>
    <t>FRB05</t>
  </si>
  <si>
    <t>Loir-et-Cher</t>
  </si>
  <si>
    <t>FRB06</t>
  </si>
  <si>
    <t>Loiret</t>
  </si>
  <si>
    <t>FRC11</t>
  </si>
  <si>
    <t>FRC12</t>
  </si>
  <si>
    <t>Nièvre</t>
  </si>
  <si>
    <t>FRC13</t>
  </si>
  <si>
    <t>Saône-et-Loire</t>
  </si>
  <si>
    <t>FRC14</t>
  </si>
  <si>
    <t>Yonne</t>
  </si>
  <si>
    <t>FRC21</t>
  </si>
  <si>
    <t>Doubs</t>
  </si>
  <si>
    <t>FRC22</t>
  </si>
  <si>
    <t>Jura</t>
  </si>
  <si>
    <t>FRC23</t>
  </si>
  <si>
    <t>Haute-Saône</t>
  </si>
  <si>
    <t>FRC24</t>
  </si>
  <si>
    <t>Territoire de Belfort</t>
  </si>
  <si>
    <t>FRD11</t>
  </si>
  <si>
    <t>FRD12</t>
  </si>
  <si>
    <t>FRD13</t>
  </si>
  <si>
    <t>Orne</t>
  </si>
  <si>
    <t>FRD21</t>
  </si>
  <si>
    <t>Eure</t>
  </si>
  <si>
    <t>FRD22</t>
  </si>
  <si>
    <t>Seine-Maritime</t>
  </si>
  <si>
    <t>FRE11</t>
  </si>
  <si>
    <t>Nord</t>
  </si>
  <si>
    <t>FRE12</t>
  </si>
  <si>
    <t>Pas-de-Calais</t>
  </si>
  <si>
    <t>FRE21</t>
  </si>
  <si>
    <t>Aisne</t>
  </si>
  <si>
    <t>FRE22</t>
  </si>
  <si>
    <t>Oise</t>
  </si>
  <si>
    <t>FRE23</t>
  </si>
  <si>
    <t>Somme</t>
  </si>
  <si>
    <t>FRF11</t>
  </si>
  <si>
    <t>Bas-Rhin</t>
  </si>
  <si>
    <t>FRF12</t>
  </si>
  <si>
    <t>Haut-Rhin</t>
  </si>
  <si>
    <t>FRF21</t>
  </si>
  <si>
    <t>Ardennes</t>
  </si>
  <si>
    <t>FRF22</t>
  </si>
  <si>
    <t>Aube</t>
  </si>
  <si>
    <t>FRF23</t>
  </si>
  <si>
    <t>Marne</t>
  </si>
  <si>
    <t>FRF24</t>
  </si>
  <si>
    <t>Haute-Marne</t>
  </si>
  <si>
    <t>FRF31</t>
  </si>
  <si>
    <t>FRF32</t>
  </si>
  <si>
    <t>FRF33</t>
  </si>
  <si>
    <t>Moselle</t>
  </si>
  <si>
    <t>FRF34</t>
  </si>
  <si>
    <t>Vosges</t>
  </si>
  <si>
    <t>FRG01</t>
  </si>
  <si>
    <t>Loire-Atlantique</t>
  </si>
  <si>
    <t>FRG02</t>
  </si>
  <si>
    <t>Maine-et-Loire</t>
  </si>
  <si>
    <t>FRG03</t>
  </si>
  <si>
    <t>Mayenne</t>
  </si>
  <si>
    <t>FRG04</t>
  </si>
  <si>
    <t>Sarthe</t>
  </si>
  <si>
    <t>FRG05</t>
  </si>
  <si>
    <t>Vendée</t>
  </si>
  <si>
    <t>FRH01</t>
  </si>
  <si>
    <t>FRH02</t>
  </si>
  <si>
    <t>Finistère</t>
  </si>
  <si>
    <t>FRH03</t>
  </si>
  <si>
    <t>Ille-et-Vilaine</t>
  </si>
  <si>
    <t>FRH04</t>
  </si>
  <si>
    <t>Morbihan</t>
  </si>
  <si>
    <t>FRI11</t>
  </si>
  <si>
    <t>Dordogne</t>
  </si>
  <si>
    <t>FRI12</t>
  </si>
  <si>
    <t>Gironde</t>
  </si>
  <si>
    <t>FRI13</t>
  </si>
  <si>
    <t>Landes</t>
  </si>
  <si>
    <t>FRI14</t>
  </si>
  <si>
    <t>Lot-et-Garonne</t>
  </si>
  <si>
    <t>FRI15</t>
  </si>
  <si>
    <t>Pyrénées-Atlantiques</t>
  </si>
  <si>
    <t>FRI21</t>
  </si>
  <si>
    <t>Corrèze</t>
  </si>
  <si>
    <t>FRI22</t>
  </si>
  <si>
    <t>Creuse</t>
  </si>
  <si>
    <t>FRI23</t>
  </si>
  <si>
    <t>Haute-Vienne</t>
  </si>
  <si>
    <t>FRI31</t>
  </si>
  <si>
    <t>Charente</t>
  </si>
  <si>
    <t>FRI32</t>
  </si>
  <si>
    <t>Charente-Maritime</t>
  </si>
  <si>
    <t>FRI33</t>
  </si>
  <si>
    <t>Deux-Sèvres</t>
  </si>
  <si>
    <t>FRI34</t>
  </si>
  <si>
    <t>Vienne</t>
  </si>
  <si>
    <t>FRJ11</t>
  </si>
  <si>
    <t>Aude</t>
  </si>
  <si>
    <t>FRJ12</t>
  </si>
  <si>
    <t>Gard</t>
  </si>
  <si>
    <t>FRJ13</t>
  </si>
  <si>
    <t>Hérault</t>
  </si>
  <si>
    <t>FRJ14</t>
  </si>
  <si>
    <t>Lozère</t>
  </si>
  <si>
    <t>FRJ15</t>
  </si>
  <si>
    <t>Pyrénées-Orientales</t>
  </si>
  <si>
    <t>FRJ21</t>
  </si>
  <si>
    <t>Ariège</t>
  </si>
  <si>
    <t>FRJ22</t>
  </si>
  <si>
    <t>Aveyron</t>
  </si>
  <si>
    <t>FRJ23</t>
  </si>
  <si>
    <t>Haute-Garonne</t>
  </si>
  <si>
    <t>FRJ24</t>
  </si>
  <si>
    <t>Gers</t>
  </si>
  <si>
    <t>FRJ25</t>
  </si>
  <si>
    <t>Lot</t>
  </si>
  <si>
    <t>FRJ26</t>
  </si>
  <si>
    <t>FRJ27</t>
  </si>
  <si>
    <t>Tarn</t>
  </si>
  <si>
    <t>FRJ28</t>
  </si>
  <si>
    <t>Tarn-et-Garonne</t>
  </si>
  <si>
    <t>FRK11</t>
  </si>
  <si>
    <t>Allier</t>
  </si>
  <si>
    <t>FRK12</t>
  </si>
  <si>
    <t>Cantal</t>
  </si>
  <si>
    <t>FRK13</t>
  </si>
  <si>
    <t>Haute-Loire</t>
  </si>
  <si>
    <t>FRK14</t>
  </si>
  <si>
    <t>Puy-de-Dôme</t>
  </si>
  <si>
    <t>FRK21</t>
  </si>
  <si>
    <t>Ain</t>
  </si>
  <si>
    <t>FRK22</t>
  </si>
  <si>
    <t>Ardèche</t>
  </si>
  <si>
    <t>FRK23</t>
  </si>
  <si>
    <t>Drôme</t>
  </si>
  <si>
    <t>FRK24</t>
  </si>
  <si>
    <t>Isère</t>
  </si>
  <si>
    <t>FRK25</t>
  </si>
  <si>
    <t>Loire</t>
  </si>
  <si>
    <t>FRK26</t>
  </si>
  <si>
    <t>Rhône</t>
  </si>
  <si>
    <t>FRK27</t>
  </si>
  <si>
    <t>Savoie</t>
  </si>
  <si>
    <t>FRK28</t>
  </si>
  <si>
    <t>Haute-Savoie</t>
  </si>
  <si>
    <t>FRL01</t>
  </si>
  <si>
    <t>Alpes-de-Haute-Provence</t>
  </si>
  <si>
    <t>FRL02</t>
  </si>
  <si>
    <t>FRL03</t>
  </si>
  <si>
    <t>Alpes-Maritimes</t>
  </si>
  <si>
    <t>FRL04</t>
  </si>
  <si>
    <t>Bouches-du-Rhône</t>
  </si>
  <si>
    <t>FRL05</t>
  </si>
  <si>
    <t>Var</t>
  </si>
  <si>
    <t>FRL06</t>
  </si>
  <si>
    <t>Vaucluse</t>
  </si>
  <si>
    <t>FRM01</t>
  </si>
  <si>
    <t>Corse-du-Sud</t>
  </si>
  <si>
    <t>FRM02</t>
  </si>
  <si>
    <t>Haute-Corse</t>
  </si>
  <si>
    <t>FRY10</t>
  </si>
  <si>
    <t>FRY20</t>
  </si>
  <si>
    <t>FRY30</t>
  </si>
  <si>
    <t>FRY40</t>
  </si>
  <si>
    <t>FRY50</t>
  </si>
  <si>
    <t>HR021</t>
  </si>
  <si>
    <t>HR022</t>
  </si>
  <si>
    <t>HR023</t>
  </si>
  <si>
    <t>HR024</t>
  </si>
  <si>
    <t>HR025</t>
  </si>
  <si>
    <t>HR026</t>
  </si>
  <si>
    <t>HR027</t>
  </si>
  <si>
    <t>HR028</t>
  </si>
  <si>
    <t>HR031</t>
  </si>
  <si>
    <t>HR032</t>
  </si>
  <si>
    <t>HR033</t>
  </si>
  <si>
    <t>HR034</t>
  </si>
  <si>
    <t>HR035</t>
  </si>
  <si>
    <t>Splitsko-dalmatinska županija</t>
  </si>
  <si>
    <t>HR036</t>
  </si>
  <si>
    <t>Istarska županija</t>
  </si>
  <si>
    <t>HR037</t>
  </si>
  <si>
    <t>HR050</t>
  </si>
  <si>
    <t>HR061</t>
  </si>
  <si>
    <t>HR062</t>
  </si>
  <si>
    <t>HR063</t>
  </si>
  <si>
    <t>HR064</t>
  </si>
  <si>
    <t>HR065</t>
  </si>
  <si>
    <t>ITC11</t>
  </si>
  <si>
    <t>Torino</t>
  </si>
  <si>
    <t>ITC12</t>
  </si>
  <si>
    <t>Vercelli</t>
  </si>
  <si>
    <t>ITC13</t>
  </si>
  <si>
    <t>Biella</t>
  </si>
  <si>
    <t>ITC14</t>
  </si>
  <si>
    <t>Verbano-Cusio-Ossola</t>
  </si>
  <si>
    <t>ITC15</t>
  </si>
  <si>
    <t>Novara</t>
  </si>
  <si>
    <t>ITC16</t>
  </si>
  <si>
    <t>Cuneo</t>
  </si>
  <si>
    <t>ITC17</t>
  </si>
  <si>
    <t>Asti</t>
  </si>
  <si>
    <t>ITC18</t>
  </si>
  <si>
    <t>Alessandria</t>
  </si>
  <si>
    <t>ITC20</t>
  </si>
  <si>
    <t>ITC31</t>
  </si>
  <si>
    <t>Imperia</t>
  </si>
  <si>
    <t>ITC32</t>
  </si>
  <si>
    <t>Savona</t>
  </si>
  <si>
    <t>ITC33</t>
  </si>
  <si>
    <t>Genova</t>
  </si>
  <si>
    <t>ITC34</t>
  </si>
  <si>
    <t>La Spezia</t>
  </si>
  <si>
    <t>ITC41</t>
  </si>
  <si>
    <t>Varese</t>
  </si>
  <si>
    <t>ITC42</t>
  </si>
  <si>
    <t>Como</t>
  </si>
  <si>
    <t>ITC43</t>
  </si>
  <si>
    <t>Lecco</t>
  </si>
  <si>
    <t>ITC44</t>
  </si>
  <si>
    <t>Sondrio</t>
  </si>
  <si>
    <t>ITC46</t>
  </si>
  <si>
    <t>Bergamo</t>
  </si>
  <si>
    <t>ITC47</t>
  </si>
  <si>
    <t>Brescia</t>
  </si>
  <si>
    <t>ITC48</t>
  </si>
  <si>
    <t>Pavia</t>
  </si>
  <si>
    <t>ITC49</t>
  </si>
  <si>
    <t>Lodi</t>
  </si>
  <si>
    <t>ITC4A</t>
  </si>
  <si>
    <t>Cremona</t>
  </si>
  <si>
    <t>ITC4B</t>
  </si>
  <si>
    <t>Mantova</t>
  </si>
  <si>
    <t>ITC4C</t>
  </si>
  <si>
    <t>Milano</t>
  </si>
  <si>
    <t>ITC4D</t>
  </si>
  <si>
    <t>Monza e della Brianza</t>
  </si>
  <si>
    <t>ITF11</t>
  </si>
  <si>
    <t>ITF12</t>
  </si>
  <si>
    <t>Teramo</t>
  </si>
  <si>
    <t>ITF13</t>
  </si>
  <si>
    <t>Pescara</t>
  </si>
  <si>
    <t>ITF14</t>
  </si>
  <si>
    <t>Chieti</t>
  </si>
  <si>
    <t>ITF21</t>
  </si>
  <si>
    <t>Isernia</t>
  </si>
  <si>
    <t>ITF22</t>
  </si>
  <si>
    <t>Campobasso</t>
  </si>
  <si>
    <t>ITF31</t>
  </si>
  <si>
    <t>Caserta</t>
  </si>
  <si>
    <t>ITF32</t>
  </si>
  <si>
    <t>Benevento</t>
  </si>
  <si>
    <t>ITF33</t>
  </si>
  <si>
    <t>Napoli</t>
  </si>
  <si>
    <t>ITF34</t>
  </si>
  <si>
    <t>Avellino</t>
  </si>
  <si>
    <t>ITF35</t>
  </si>
  <si>
    <t>Salerno</t>
  </si>
  <si>
    <t>ITF43</t>
  </si>
  <si>
    <t>Taranto</t>
  </si>
  <si>
    <t>ITF44</t>
  </si>
  <si>
    <t>Brindisi</t>
  </si>
  <si>
    <t>ITF45</t>
  </si>
  <si>
    <t>Lecce</t>
  </si>
  <si>
    <t>ITF46</t>
  </si>
  <si>
    <t>Foggia</t>
  </si>
  <si>
    <t>ITF47</t>
  </si>
  <si>
    <t>Bari</t>
  </si>
  <si>
    <t>ITF48</t>
  </si>
  <si>
    <t>Barletta-Andria-Trani</t>
  </si>
  <si>
    <t>ITF51</t>
  </si>
  <si>
    <t>Potenza</t>
  </si>
  <si>
    <t>ITF52</t>
  </si>
  <si>
    <t>Matera</t>
  </si>
  <si>
    <t>ITF61</t>
  </si>
  <si>
    <t>Cosenza</t>
  </si>
  <si>
    <t>ITF62</t>
  </si>
  <si>
    <t>Crotone</t>
  </si>
  <si>
    <t>ITF63</t>
  </si>
  <si>
    <t>Catanzaro</t>
  </si>
  <si>
    <t>ITF64</t>
  </si>
  <si>
    <t>Vibo Valentia</t>
  </si>
  <si>
    <t>ITF65</t>
  </si>
  <si>
    <t>ITG11</t>
  </si>
  <si>
    <t>Trapani</t>
  </si>
  <si>
    <t>ITG12</t>
  </si>
  <si>
    <t>Palermo</t>
  </si>
  <si>
    <t>ITG13</t>
  </si>
  <si>
    <t>Messina</t>
  </si>
  <si>
    <t>ITG14</t>
  </si>
  <si>
    <t>Agrigento</t>
  </si>
  <si>
    <t>ITG15</t>
  </si>
  <si>
    <t>Caltanissetta</t>
  </si>
  <si>
    <t>ITG16</t>
  </si>
  <si>
    <t>Enna</t>
  </si>
  <si>
    <t>ITG17</t>
  </si>
  <si>
    <t>Catania</t>
  </si>
  <si>
    <t>ITG18</t>
  </si>
  <si>
    <t>Ragusa</t>
  </si>
  <si>
    <t>ITG19</t>
  </si>
  <si>
    <t>Siracusa</t>
  </si>
  <si>
    <t>ITG2D</t>
  </si>
  <si>
    <t>Sassari</t>
  </si>
  <si>
    <t>ITG2E</t>
  </si>
  <si>
    <t>Nuoro</t>
  </si>
  <si>
    <t>ITG2F</t>
  </si>
  <si>
    <t>Cagliari</t>
  </si>
  <si>
    <t>ITG2G</t>
  </si>
  <si>
    <t>Oristano</t>
  </si>
  <si>
    <t>ITG2H</t>
  </si>
  <si>
    <t>Sud Sardegna</t>
  </si>
  <si>
    <t>ITH10</t>
  </si>
  <si>
    <t>Bolzano-Bozen</t>
  </si>
  <si>
    <t>ITH20</t>
  </si>
  <si>
    <t>Trento</t>
  </si>
  <si>
    <t>ITH31</t>
  </si>
  <si>
    <t>Verona</t>
  </si>
  <si>
    <t>ITH32</t>
  </si>
  <si>
    <t>Vicenza</t>
  </si>
  <si>
    <t>ITH33</t>
  </si>
  <si>
    <t>Belluno</t>
  </si>
  <si>
    <t>ITH34</t>
  </si>
  <si>
    <t>Treviso</t>
  </si>
  <si>
    <t>ITH35</t>
  </si>
  <si>
    <t>Venezia</t>
  </si>
  <si>
    <t>ITH36</t>
  </si>
  <si>
    <t>Padova</t>
  </si>
  <si>
    <t>ITH37</t>
  </si>
  <si>
    <t>Rovigo</t>
  </si>
  <si>
    <t>ITH41</t>
  </si>
  <si>
    <t>Pordenone</t>
  </si>
  <si>
    <t>ITH42</t>
  </si>
  <si>
    <t>Udine</t>
  </si>
  <si>
    <t>ITH43</t>
  </si>
  <si>
    <t>Gorizia</t>
  </si>
  <si>
    <t>ITH44</t>
  </si>
  <si>
    <t>Trieste</t>
  </si>
  <si>
    <t>ITH51</t>
  </si>
  <si>
    <t>Piacenza</t>
  </si>
  <si>
    <t>ITH52</t>
  </si>
  <si>
    <t>Parma</t>
  </si>
  <si>
    <t>ITH53</t>
  </si>
  <si>
    <t>ITH54</t>
  </si>
  <si>
    <t>Modena</t>
  </si>
  <si>
    <t>ITH55</t>
  </si>
  <si>
    <t>Bologna</t>
  </si>
  <si>
    <t>ITH56</t>
  </si>
  <si>
    <t>Ferrara</t>
  </si>
  <si>
    <t>ITH57</t>
  </si>
  <si>
    <t>Ravenna</t>
  </si>
  <si>
    <t>ITH58</t>
  </si>
  <si>
    <t>Forlì-Cesena</t>
  </si>
  <si>
    <t>ITH59</t>
  </si>
  <si>
    <t>Rimini</t>
  </si>
  <si>
    <t>ITI11</t>
  </si>
  <si>
    <t>Massa-Carrara</t>
  </si>
  <si>
    <t>ITI12</t>
  </si>
  <si>
    <t>Lucca</t>
  </si>
  <si>
    <t>ITI13</t>
  </si>
  <si>
    <t>Pistoia</t>
  </si>
  <si>
    <t>ITI14</t>
  </si>
  <si>
    <t>Firenze</t>
  </si>
  <si>
    <t>ITI15</t>
  </si>
  <si>
    <t>Prato</t>
  </si>
  <si>
    <t>ITI16</t>
  </si>
  <si>
    <t>Livorno</t>
  </si>
  <si>
    <t>ITI17</t>
  </si>
  <si>
    <t>Pisa</t>
  </si>
  <si>
    <t>ITI18</t>
  </si>
  <si>
    <t>Arezzo</t>
  </si>
  <si>
    <t>ITI19</t>
  </si>
  <si>
    <t>Siena</t>
  </si>
  <si>
    <t>ITI1A</t>
  </si>
  <si>
    <t>Grosseto</t>
  </si>
  <si>
    <t>ITI21</t>
  </si>
  <si>
    <t>Perugia</t>
  </si>
  <si>
    <t>ITI22</t>
  </si>
  <si>
    <t>Terni</t>
  </si>
  <si>
    <t>ITI31</t>
  </si>
  <si>
    <t>Pesaro e Urbino</t>
  </si>
  <si>
    <t>ITI32</t>
  </si>
  <si>
    <t>Ancona</t>
  </si>
  <si>
    <t>ITI33</t>
  </si>
  <si>
    <t>Macerata</t>
  </si>
  <si>
    <t>ITI34</t>
  </si>
  <si>
    <t>Ascoli Piceno</t>
  </si>
  <si>
    <t>ITI35</t>
  </si>
  <si>
    <t>Fermo</t>
  </si>
  <si>
    <t>ITI41</t>
  </si>
  <si>
    <t>Viterbo</t>
  </si>
  <si>
    <t>ITI42</t>
  </si>
  <si>
    <t>Rieti</t>
  </si>
  <si>
    <t>ITI43</t>
  </si>
  <si>
    <t>Roma</t>
  </si>
  <si>
    <t>ITI44</t>
  </si>
  <si>
    <t>Latina</t>
  </si>
  <si>
    <t>ITI45</t>
  </si>
  <si>
    <t>Frosinone</t>
  </si>
  <si>
    <t>CY000</t>
  </si>
  <si>
    <t>Kurzeme</t>
  </si>
  <si>
    <t>LV005</t>
  </si>
  <si>
    <t>Latgale</t>
  </si>
  <si>
    <t>Vidzeme</t>
  </si>
  <si>
    <t>LV009</t>
  </si>
  <si>
    <t>Zemgale</t>
  </si>
  <si>
    <t>LT011</t>
  </si>
  <si>
    <t>Vilniaus apskritis</t>
  </si>
  <si>
    <t>LT021</t>
  </si>
  <si>
    <t>Alytaus apskritis</t>
  </si>
  <si>
    <t>LT022</t>
  </si>
  <si>
    <t>Kauno apskritis</t>
  </si>
  <si>
    <t>LT023</t>
  </si>
  <si>
    <t>LT024</t>
  </si>
  <si>
    <t>LT025</t>
  </si>
  <si>
    <t>LT026</t>
  </si>
  <si>
    <t>LT027</t>
  </si>
  <si>
    <t>LT028</t>
  </si>
  <si>
    <t>LT029</t>
  </si>
  <si>
    <t>Utenos apskritis</t>
  </si>
  <si>
    <t>LU000</t>
  </si>
  <si>
    <t>HU110</t>
  </si>
  <si>
    <t>HU120</t>
  </si>
  <si>
    <t>HU211</t>
  </si>
  <si>
    <t>Fejér</t>
  </si>
  <si>
    <t>HU212</t>
  </si>
  <si>
    <t>Komárom-Esztergom</t>
  </si>
  <si>
    <t>HU213</t>
  </si>
  <si>
    <t>Veszprém</t>
  </si>
  <si>
    <t>HU221</t>
  </si>
  <si>
    <t>HU222</t>
  </si>
  <si>
    <t>Vas</t>
  </si>
  <si>
    <t>HU223</t>
  </si>
  <si>
    <t>Zala</t>
  </si>
  <si>
    <t>HU231</t>
  </si>
  <si>
    <t>Baranya</t>
  </si>
  <si>
    <t>HU232</t>
  </si>
  <si>
    <t>Somogy</t>
  </si>
  <si>
    <t>HU233</t>
  </si>
  <si>
    <t>Tolna</t>
  </si>
  <si>
    <t>HU311</t>
  </si>
  <si>
    <t>Borsod-Abaúj-Zemplén</t>
  </si>
  <si>
    <t>HU312</t>
  </si>
  <si>
    <t>Heves</t>
  </si>
  <si>
    <t>HU313</t>
  </si>
  <si>
    <t>Nógrád</t>
  </si>
  <si>
    <t>HU321</t>
  </si>
  <si>
    <t>Hajdú-Bihar</t>
  </si>
  <si>
    <t>HU322</t>
  </si>
  <si>
    <t>Jász-Nagykun-Szolnok</t>
  </si>
  <si>
    <t>HU323</t>
  </si>
  <si>
    <t>Szabolcs-Szatmár-Bereg</t>
  </si>
  <si>
    <t>HU331</t>
  </si>
  <si>
    <t>Bács-Kiskun</t>
  </si>
  <si>
    <t>HU332</t>
  </si>
  <si>
    <t>Békés</t>
  </si>
  <si>
    <t>HU333</t>
  </si>
  <si>
    <t>MT001</t>
  </si>
  <si>
    <t>MT002</t>
  </si>
  <si>
    <t>Oost-Groningen</t>
  </si>
  <si>
    <t>NL112</t>
  </si>
  <si>
    <t>Delfzijl en omgeving</t>
  </si>
  <si>
    <t>Overig Groningen</t>
  </si>
  <si>
    <t>Noord-Friesland</t>
  </si>
  <si>
    <t>Zuidwest-Friesland</t>
  </si>
  <si>
    <t>NL126</t>
  </si>
  <si>
    <t>Zuidoost-Friesland</t>
  </si>
  <si>
    <t>NL131</t>
  </si>
  <si>
    <t>Noord-Drenthe</t>
  </si>
  <si>
    <t>NL132</t>
  </si>
  <si>
    <t>Zuidoost-Drenthe</t>
  </si>
  <si>
    <t>NL133</t>
  </si>
  <si>
    <t>Zuidwest-Drenthe</t>
  </si>
  <si>
    <t>NL211</t>
  </si>
  <si>
    <t>Noord-Overijssel</t>
  </si>
  <si>
    <t>NL212</t>
  </si>
  <si>
    <t>Zuidwest-Overijssel</t>
  </si>
  <si>
    <t>NL213</t>
  </si>
  <si>
    <t>Twente</t>
  </si>
  <si>
    <t>NL221</t>
  </si>
  <si>
    <t>Veluwe</t>
  </si>
  <si>
    <t>NL224</t>
  </si>
  <si>
    <t>Zuidwest-Gelderland</t>
  </si>
  <si>
    <t>NL225</t>
  </si>
  <si>
    <t>Achterhoek</t>
  </si>
  <si>
    <t>NL226</t>
  </si>
  <si>
    <t>Arnhem/Nijmegen</t>
  </si>
  <si>
    <t>NL230</t>
  </si>
  <si>
    <t>NL321</t>
  </si>
  <si>
    <t>Kop van Noord-Holland</t>
  </si>
  <si>
    <t>NL323</t>
  </si>
  <si>
    <t>IJmond</t>
  </si>
  <si>
    <t>Agglomeratie Haarlem</t>
  </si>
  <si>
    <t>NL325</t>
  </si>
  <si>
    <t>Zaanstreek</t>
  </si>
  <si>
    <t>NL327</t>
  </si>
  <si>
    <t>Het Gooi en Vechtstreek</t>
  </si>
  <si>
    <t>NL328</t>
  </si>
  <si>
    <t>Alkmaar en omgeving</t>
  </si>
  <si>
    <t>Groot-Amsterdam</t>
  </si>
  <si>
    <t>Delft en Westland</t>
  </si>
  <si>
    <t>Agglomeratie Leiden en Bollenstreek</t>
  </si>
  <si>
    <t>Zuidoost-Zuid-Holland</t>
  </si>
  <si>
    <t>Oost-Zuid-Holland</t>
  </si>
  <si>
    <t>Groot-Rijnmond</t>
  </si>
  <si>
    <t>NL341</t>
  </si>
  <si>
    <t>Zeeuwsch-Vlaanderen</t>
  </si>
  <si>
    <t>NL342</t>
  </si>
  <si>
    <t>Overig Zeeland</t>
  </si>
  <si>
    <t>NL411</t>
  </si>
  <si>
    <t>West-Noord-Brabant</t>
  </si>
  <si>
    <t>Midden-Noord-Brabant</t>
  </si>
  <si>
    <t>Noordoost-Noord-Brabant</t>
  </si>
  <si>
    <t>NL414</t>
  </si>
  <si>
    <t>Zuidoost-Noord-Brabant</t>
  </si>
  <si>
    <t>NL421</t>
  </si>
  <si>
    <t>Noord-Limburg</t>
  </si>
  <si>
    <t>NL422</t>
  </si>
  <si>
    <t>Midden-Limburg</t>
  </si>
  <si>
    <t>NL423</t>
  </si>
  <si>
    <t>Zuid-Limburg</t>
  </si>
  <si>
    <t>AT111</t>
  </si>
  <si>
    <t>Mittelburgenland</t>
  </si>
  <si>
    <t>AT112</t>
  </si>
  <si>
    <t>Nordburgenland</t>
  </si>
  <si>
    <t>AT113</t>
  </si>
  <si>
    <t>Südburgenland</t>
  </si>
  <si>
    <t>AT121</t>
  </si>
  <si>
    <t>Mostviertel-Eisenwurzen</t>
  </si>
  <si>
    <t>AT122</t>
  </si>
  <si>
    <t>Niederösterreich-Süd</t>
  </si>
  <si>
    <t>AT123</t>
  </si>
  <si>
    <t>Sankt Pölten</t>
  </si>
  <si>
    <t>AT124</t>
  </si>
  <si>
    <t>Waldviertel</t>
  </si>
  <si>
    <t>AT125</t>
  </si>
  <si>
    <t>Weinviertel</t>
  </si>
  <si>
    <t>AT126</t>
  </si>
  <si>
    <t>Wiener Umland/Nordteil</t>
  </si>
  <si>
    <t>AT127</t>
  </si>
  <si>
    <t>Wiener Umland/Südteil</t>
  </si>
  <si>
    <t>AT130</t>
  </si>
  <si>
    <t>AT211</t>
  </si>
  <si>
    <t>Klagenfurt-Villach</t>
  </si>
  <si>
    <t>AT212</t>
  </si>
  <si>
    <t>Oberkärnten</t>
  </si>
  <si>
    <t>AT213</t>
  </si>
  <si>
    <t>Unterkärnten</t>
  </si>
  <si>
    <t>AT221</t>
  </si>
  <si>
    <t>Graz</t>
  </si>
  <si>
    <t>AT222</t>
  </si>
  <si>
    <t>Liezen</t>
  </si>
  <si>
    <t>AT223</t>
  </si>
  <si>
    <t>Östliche Obersteiermark</t>
  </si>
  <si>
    <t>AT224</t>
  </si>
  <si>
    <t>Oststeiermark</t>
  </si>
  <si>
    <t>AT225</t>
  </si>
  <si>
    <t>West- und Südsteiermark</t>
  </si>
  <si>
    <t>AT226</t>
  </si>
  <si>
    <t>Westliche Obersteiermark</t>
  </si>
  <si>
    <t>AT311</t>
  </si>
  <si>
    <t>Innviertel</t>
  </si>
  <si>
    <t>AT312</t>
  </si>
  <si>
    <t>Linz-Wels</t>
  </si>
  <si>
    <t>AT313</t>
  </si>
  <si>
    <t>Mühlviertel</t>
  </si>
  <si>
    <t>AT314</t>
  </si>
  <si>
    <t>Steyr-Kirchdorf</t>
  </si>
  <si>
    <t>AT315</t>
  </si>
  <si>
    <t>Traunviertel</t>
  </si>
  <si>
    <t>AT321</t>
  </si>
  <si>
    <t>Lungau</t>
  </si>
  <si>
    <t>AT322</t>
  </si>
  <si>
    <t>Pinzgau-Pongau</t>
  </si>
  <si>
    <t>AT323</t>
  </si>
  <si>
    <t>Salzburg und Umgebung</t>
  </si>
  <si>
    <t>AT331</t>
  </si>
  <si>
    <t>Außerfern</t>
  </si>
  <si>
    <t>AT332</t>
  </si>
  <si>
    <t>Innsbruck</t>
  </si>
  <si>
    <t>AT333</t>
  </si>
  <si>
    <t>Osttirol</t>
  </si>
  <si>
    <t>AT334</t>
  </si>
  <si>
    <t>Tiroler Oberland</t>
  </si>
  <si>
    <t>AT335</t>
  </si>
  <si>
    <t>Tiroler Unterland</t>
  </si>
  <si>
    <t>AT341</t>
  </si>
  <si>
    <t>Bludenz-Bregenzer Wald</t>
  </si>
  <si>
    <t>AT342</t>
  </si>
  <si>
    <t>Rheintal-Bodenseegebiet</t>
  </si>
  <si>
    <t>PL213</t>
  </si>
  <si>
    <t>Miasto Kraków</t>
  </si>
  <si>
    <t>PL214</t>
  </si>
  <si>
    <t>Krakowski</t>
  </si>
  <si>
    <t>PL217</t>
  </si>
  <si>
    <t>Tarnowski</t>
  </si>
  <si>
    <t>PL218</t>
  </si>
  <si>
    <t>PL219</t>
  </si>
  <si>
    <t>Nowotarski</t>
  </si>
  <si>
    <t>PL21A</t>
  </si>
  <si>
    <t>PL224</t>
  </si>
  <si>
    <t>PL225</t>
  </si>
  <si>
    <t>Bielski</t>
  </si>
  <si>
    <t>PL227</t>
  </si>
  <si>
    <t>Rybnicki</t>
  </si>
  <si>
    <t>PL228</t>
  </si>
  <si>
    <t>Bytomski</t>
  </si>
  <si>
    <t>PL229</t>
  </si>
  <si>
    <t>Gliwicki</t>
  </si>
  <si>
    <t>PL22A</t>
  </si>
  <si>
    <t>Katowicki</t>
  </si>
  <si>
    <t>PL22B</t>
  </si>
  <si>
    <t>Sosnowiecki</t>
  </si>
  <si>
    <t>PL22C</t>
  </si>
  <si>
    <t>Tyski</t>
  </si>
  <si>
    <t>PL411</t>
  </si>
  <si>
    <t>Pilski</t>
  </si>
  <si>
    <t>PL414</t>
  </si>
  <si>
    <t>PL415</t>
  </si>
  <si>
    <t>PL416</t>
  </si>
  <si>
    <t>Kaliski</t>
  </si>
  <si>
    <t>PL417</t>
  </si>
  <si>
    <t>PL418</t>
  </si>
  <si>
    <t>PL424</t>
  </si>
  <si>
    <t>Miasto Szczecin</t>
  </si>
  <si>
    <t>PL426</t>
  </si>
  <si>
    <t>PL427</t>
  </si>
  <si>
    <t>Szczecinecko-pyrzycki</t>
  </si>
  <si>
    <t>PL428</t>
  </si>
  <si>
    <t>PL431</t>
  </si>
  <si>
    <t>Gorzowski</t>
  </si>
  <si>
    <t>PL432</t>
  </si>
  <si>
    <t>Zielonogórski</t>
  </si>
  <si>
    <t>PL514</t>
  </si>
  <si>
    <t>PL515</t>
  </si>
  <si>
    <t>Jeleniogórski</t>
  </si>
  <si>
    <t>PL516</t>
  </si>
  <si>
    <t>PL517</t>
  </si>
  <si>
    <t>PL518</t>
  </si>
  <si>
    <t>PL523</t>
  </si>
  <si>
    <t>Nyski</t>
  </si>
  <si>
    <t>PL524</t>
  </si>
  <si>
    <t>Opolski</t>
  </si>
  <si>
    <t>PL613</t>
  </si>
  <si>
    <t>PL616</t>
  </si>
  <si>
    <t>PL617</t>
  </si>
  <si>
    <t>PL618</t>
  </si>
  <si>
    <t>PL619</t>
  </si>
  <si>
    <t>PL621</t>
  </si>
  <si>
    <t>PL622</t>
  </si>
  <si>
    <t>PL623</t>
  </si>
  <si>
    <t>PL633</t>
  </si>
  <si>
    <t>PL634</t>
  </si>
  <si>
    <t>PL636</t>
  </si>
  <si>
    <t>PL637</t>
  </si>
  <si>
    <t>Chojnicki</t>
  </si>
  <si>
    <t>PL638</t>
  </si>
  <si>
    <t>Starogardzki</t>
  </si>
  <si>
    <t>PL711</t>
  </si>
  <si>
    <t>PL712</t>
  </si>
  <si>
    <t>PL713</t>
  </si>
  <si>
    <t>Piotrkowski</t>
  </si>
  <si>
    <t>PL714</t>
  </si>
  <si>
    <t>Sieradzki</t>
  </si>
  <si>
    <t>PL715</t>
  </si>
  <si>
    <t>Skierniewicki</t>
  </si>
  <si>
    <t>PL721</t>
  </si>
  <si>
    <t>Kielecki</t>
  </si>
  <si>
    <t>PL722</t>
  </si>
  <si>
    <t>PL811</t>
  </si>
  <si>
    <t>Bialski</t>
  </si>
  <si>
    <t>PL812</t>
  </si>
  <si>
    <t>PL814</t>
  </si>
  <si>
    <t>Lubelski</t>
  </si>
  <si>
    <t>PL815</t>
  </si>
  <si>
    <t>PL821</t>
  </si>
  <si>
    <t>PL822</t>
  </si>
  <si>
    <t>Przemyski</t>
  </si>
  <si>
    <t>PL823</t>
  </si>
  <si>
    <t>Rzeszowski</t>
  </si>
  <si>
    <t>PL824</t>
  </si>
  <si>
    <t>Tarnobrzeski</t>
  </si>
  <si>
    <t>PL841</t>
  </si>
  <si>
    <t>PL842</t>
  </si>
  <si>
    <t>PL843</t>
  </si>
  <si>
    <t>Suwalski</t>
  </si>
  <si>
    <t>PL911</t>
  </si>
  <si>
    <t>Miasto Warszawa</t>
  </si>
  <si>
    <t>PL912</t>
  </si>
  <si>
    <t>Warszawski wschodni</t>
  </si>
  <si>
    <t>PL913</t>
  </si>
  <si>
    <t>Warszawski zachodni</t>
  </si>
  <si>
    <t>PL921</t>
  </si>
  <si>
    <t>Radomski</t>
  </si>
  <si>
    <t>PL922</t>
  </si>
  <si>
    <t>Ciechanowski</t>
  </si>
  <si>
    <t>PL923</t>
  </si>
  <si>
    <t>PL924</t>
  </si>
  <si>
    <t>PL925</t>
  </si>
  <si>
    <t>Siedlecki</t>
  </si>
  <si>
    <t>PL926</t>
  </si>
  <si>
    <t>PT111</t>
  </si>
  <si>
    <t>Alto Minho</t>
  </si>
  <si>
    <t>PT112</t>
  </si>
  <si>
    <t>Cávado</t>
  </si>
  <si>
    <t>PT119</t>
  </si>
  <si>
    <t>Ave</t>
  </si>
  <si>
    <t>PT11A</t>
  </si>
  <si>
    <t>Área Metropolitana do Porto</t>
  </si>
  <si>
    <t>PT11B</t>
  </si>
  <si>
    <t>PT11C</t>
  </si>
  <si>
    <t>Tâmega e Sousa</t>
  </si>
  <si>
    <t>PT11D</t>
  </si>
  <si>
    <t>Douro</t>
  </si>
  <si>
    <t>PT11E</t>
  </si>
  <si>
    <t>Terras de Trás-os-Montes</t>
  </si>
  <si>
    <t>PT150</t>
  </si>
  <si>
    <t>Oeste</t>
  </si>
  <si>
    <t>Região de Aveiro</t>
  </si>
  <si>
    <t>Região de Coimbra</t>
  </si>
  <si>
    <t>Região de Leiria</t>
  </si>
  <si>
    <t>Viseu Dão Lafões</t>
  </si>
  <si>
    <t>Beira Baixa</t>
  </si>
  <si>
    <t>Médio Tejo</t>
  </si>
  <si>
    <t>Beiras e Serra da Estrela</t>
  </si>
  <si>
    <t>Alentejo Litoral</t>
  </si>
  <si>
    <t>Baixo Alentejo</t>
  </si>
  <si>
    <t>Lezíria do Tejo</t>
  </si>
  <si>
    <t>Alto Alentejo</t>
  </si>
  <si>
    <t>Alentejo Central</t>
  </si>
  <si>
    <t>PT200</t>
  </si>
  <si>
    <t>PT300</t>
  </si>
  <si>
    <t>RO111</t>
  </si>
  <si>
    <t>Bihor</t>
  </si>
  <si>
    <t>RO112</t>
  </si>
  <si>
    <t>RO113</t>
  </si>
  <si>
    <t>Cluj</t>
  </si>
  <si>
    <t>RO114</t>
  </si>
  <si>
    <t>RO115</t>
  </si>
  <si>
    <t>Satu Mare</t>
  </si>
  <si>
    <t>RO116</t>
  </si>
  <si>
    <t>RO121</t>
  </si>
  <si>
    <t>Alba</t>
  </si>
  <si>
    <t>RO122</t>
  </si>
  <si>
    <t>RO123</t>
  </si>
  <si>
    <t>Covasna</t>
  </si>
  <si>
    <t>RO124</t>
  </si>
  <si>
    <t>Harghita</t>
  </si>
  <si>
    <t>RO125</t>
  </si>
  <si>
    <t>RO126</t>
  </si>
  <si>
    <t>Sibiu</t>
  </si>
  <si>
    <t>RO211</t>
  </si>
  <si>
    <t>RO212</t>
  </si>
  <si>
    <t>RO213</t>
  </si>
  <si>
    <t>RO214</t>
  </si>
  <si>
    <t>RO215</t>
  </si>
  <si>
    <t>Suceava</t>
  </si>
  <si>
    <t>RO216</t>
  </si>
  <si>
    <t>Vaslui</t>
  </si>
  <si>
    <t>RO221</t>
  </si>
  <si>
    <t>RO222</t>
  </si>
  <si>
    <t>RO223</t>
  </si>
  <si>
    <t>RO224</t>
  </si>
  <si>
    <t>RO225</t>
  </si>
  <si>
    <t>Tulcea</t>
  </si>
  <si>
    <t>RO226</t>
  </si>
  <si>
    <t>Vrancea</t>
  </si>
  <si>
    <t>RO311</t>
  </si>
  <si>
    <t>RO312</t>
  </si>
  <si>
    <t>RO313</t>
  </si>
  <si>
    <t>RO314</t>
  </si>
  <si>
    <t>Giurgiu</t>
  </si>
  <si>
    <t>RO315</t>
  </si>
  <si>
    <t>RO316</t>
  </si>
  <si>
    <t>Prahova</t>
  </si>
  <si>
    <t>RO317</t>
  </si>
  <si>
    <t>Teleorman</t>
  </si>
  <si>
    <t>RO321</t>
  </si>
  <si>
    <t>RO322</t>
  </si>
  <si>
    <t>Ilfov</t>
  </si>
  <si>
    <t>RO411</t>
  </si>
  <si>
    <t>Dolj</t>
  </si>
  <si>
    <t>RO412</t>
  </si>
  <si>
    <t>Gorj</t>
  </si>
  <si>
    <t>RO413</t>
  </si>
  <si>
    <t>RO414</t>
  </si>
  <si>
    <t>Olt</t>
  </si>
  <si>
    <t>RO415</t>
  </si>
  <si>
    <t>Vâlcea</t>
  </si>
  <si>
    <t>RO421</t>
  </si>
  <si>
    <t>Arad</t>
  </si>
  <si>
    <t>RO422</t>
  </si>
  <si>
    <t>RO423</t>
  </si>
  <si>
    <t>Hunedoara</t>
  </si>
  <si>
    <t>RO424</t>
  </si>
  <si>
    <t>SI031</t>
  </si>
  <si>
    <t>Pomurska</t>
  </si>
  <si>
    <t>SI032</t>
  </si>
  <si>
    <t>Podravska</t>
  </si>
  <si>
    <t>SI033</t>
  </si>
  <si>
    <t>SI034</t>
  </si>
  <si>
    <t>Savinjska</t>
  </si>
  <si>
    <t>SI035</t>
  </si>
  <si>
    <t>Zasavska</t>
  </si>
  <si>
    <t>SI036</t>
  </si>
  <si>
    <t>Posavska</t>
  </si>
  <si>
    <t>SI037</t>
  </si>
  <si>
    <t>Jugovzhodna Slovenija</t>
  </si>
  <si>
    <t>SI038</t>
  </si>
  <si>
    <t>Primorsko-notranjska</t>
  </si>
  <si>
    <t>SI041</t>
  </si>
  <si>
    <t>Osrednjeslovenska</t>
  </si>
  <si>
    <t>SI042</t>
  </si>
  <si>
    <t>Gorenjska</t>
  </si>
  <si>
    <t>SI043</t>
  </si>
  <si>
    <t>SI044</t>
  </si>
  <si>
    <t>SK010</t>
  </si>
  <si>
    <t>SK021</t>
  </si>
  <si>
    <t>Trnavský kraj</t>
  </si>
  <si>
    <t>SK022</t>
  </si>
  <si>
    <t>SK023</t>
  </si>
  <si>
    <t>Nitriansky kraj</t>
  </si>
  <si>
    <t>SK031</t>
  </si>
  <si>
    <t>SK032</t>
  </si>
  <si>
    <t>Banskobystrický kraj</t>
  </si>
  <si>
    <t>SK041</t>
  </si>
  <si>
    <t>SK042</t>
  </si>
  <si>
    <t>Keski-Suomi</t>
  </si>
  <si>
    <t>Etelä-Pohjanmaa</t>
  </si>
  <si>
    <t>Pohjanmaa</t>
  </si>
  <si>
    <t>FI196</t>
  </si>
  <si>
    <t>Satakunta</t>
  </si>
  <si>
    <t>Pirkanmaa</t>
  </si>
  <si>
    <t>FI1B1</t>
  </si>
  <si>
    <t>FI1C1</t>
  </si>
  <si>
    <t>Varsinais-Suomi</t>
  </si>
  <si>
    <t>FI1C2</t>
  </si>
  <si>
    <t>Kanta-Häme</t>
  </si>
  <si>
    <t>Päijät-Häme</t>
  </si>
  <si>
    <t>Kymenlaakso</t>
  </si>
  <si>
    <t>FI1C5</t>
  </si>
  <si>
    <t>Etelä-Karjala</t>
  </si>
  <si>
    <t>Etelä-Savo</t>
  </si>
  <si>
    <t>Pohjois-Savo</t>
  </si>
  <si>
    <t>Pohjois-Karjala</t>
  </si>
  <si>
    <t>FI1D5</t>
  </si>
  <si>
    <t>Keski-Pohjanmaa</t>
  </si>
  <si>
    <t>FI1D7</t>
  </si>
  <si>
    <t>Lappi</t>
  </si>
  <si>
    <t>FI1D8</t>
  </si>
  <si>
    <t>Kainuu</t>
  </si>
  <si>
    <t>FI1D9</t>
  </si>
  <si>
    <t>Pohjois-Pohjanmaa</t>
  </si>
  <si>
    <t>FI200</t>
  </si>
  <si>
    <t>SE110</t>
  </si>
  <si>
    <t>Stockholms län</t>
  </si>
  <si>
    <t>SE121</t>
  </si>
  <si>
    <t>Uppsala län</t>
  </si>
  <si>
    <t>SE122</t>
  </si>
  <si>
    <t>Södermanlands län</t>
  </si>
  <si>
    <t>SE123</t>
  </si>
  <si>
    <t>Östergötlands län</t>
  </si>
  <si>
    <t>SE124</t>
  </si>
  <si>
    <t>Örebro län</t>
  </si>
  <si>
    <t>SE125</t>
  </si>
  <si>
    <t>Västmanlands län</t>
  </si>
  <si>
    <t>SE211</t>
  </si>
  <si>
    <t>Jönköpings län</t>
  </si>
  <si>
    <t>SE212</t>
  </si>
  <si>
    <t>Kronobergs län</t>
  </si>
  <si>
    <t>SE213</t>
  </si>
  <si>
    <t>Kalmar län</t>
  </si>
  <si>
    <t>SE214</t>
  </si>
  <si>
    <t>Gotlands län</t>
  </si>
  <si>
    <t>SE221</t>
  </si>
  <si>
    <t>Blekinge län</t>
  </si>
  <si>
    <t>SE224</t>
  </si>
  <si>
    <t>Skåne län</t>
  </si>
  <si>
    <t>SE231</t>
  </si>
  <si>
    <t>Hallands län</t>
  </si>
  <si>
    <t>SE232</t>
  </si>
  <si>
    <t>Västra Götalands län</t>
  </si>
  <si>
    <t>SE311</t>
  </si>
  <si>
    <t>Värmlands län</t>
  </si>
  <si>
    <t>SE312</t>
  </si>
  <si>
    <t>Dalarnas län</t>
  </si>
  <si>
    <t>SE313</t>
  </si>
  <si>
    <t>Gävleborgs län</t>
  </si>
  <si>
    <t>SE321</t>
  </si>
  <si>
    <t>Västernorrlands län</t>
  </si>
  <si>
    <t>SE322</t>
  </si>
  <si>
    <t>Jämtlands län</t>
  </si>
  <si>
    <t>SE331</t>
  </si>
  <si>
    <t>Västerbottens län</t>
  </si>
  <si>
    <t>SE332</t>
  </si>
  <si>
    <t>Norrbottens län</t>
  </si>
  <si>
    <t>IS001</t>
  </si>
  <si>
    <t>IS002</t>
  </si>
  <si>
    <t>LI000</t>
  </si>
  <si>
    <t>NO020</t>
  </si>
  <si>
    <t>NO060</t>
  </si>
  <si>
    <t>NO071</t>
  </si>
  <si>
    <t>NO081</t>
  </si>
  <si>
    <t>Oslo</t>
  </si>
  <si>
    <t>NO092</t>
  </si>
  <si>
    <t>Agder</t>
  </si>
  <si>
    <t>NO0A1</t>
  </si>
  <si>
    <t>Rogaland</t>
  </si>
  <si>
    <t>NO0A2</t>
  </si>
  <si>
    <t>Vestland</t>
  </si>
  <si>
    <t>NO0A3</t>
  </si>
  <si>
    <t>Møre og Romsdal</t>
  </si>
  <si>
    <t>NO0B2</t>
  </si>
  <si>
    <t>Svalbard</t>
  </si>
  <si>
    <t>CH011</t>
  </si>
  <si>
    <t>Vaud</t>
  </si>
  <si>
    <t>CH012</t>
  </si>
  <si>
    <t>CH013</t>
  </si>
  <si>
    <t>Genève</t>
  </si>
  <si>
    <t>CH021</t>
  </si>
  <si>
    <t>CH022</t>
  </si>
  <si>
    <t>CH023</t>
  </si>
  <si>
    <t>Solothurn</t>
  </si>
  <si>
    <t>CH024</t>
  </si>
  <si>
    <t>Neuchâtel</t>
  </si>
  <si>
    <t>CH025</t>
  </si>
  <si>
    <t>CH031</t>
  </si>
  <si>
    <t>Basel-Stadt</t>
  </si>
  <si>
    <t>CH032</t>
  </si>
  <si>
    <t>Basel-Landschaft</t>
  </si>
  <si>
    <t>CH033</t>
  </si>
  <si>
    <t>Aargau</t>
  </si>
  <si>
    <t>CH040</t>
  </si>
  <si>
    <t>CH051</t>
  </si>
  <si>
    <t>Glarus</t>
  </si>
  <si>
    <t>CH052</t>
  </si>
  <si>
    <t>Schaffhausen</t>
  </si>
  <si>
    <t>CH053</t>
  </si>
  <si>
    <t>Appenzell Ausserrhoden</t>
  </si>
  <si>
    <t>CH054</t>
  </si>
  <si>
    <t>Appenzell Innerrhoden</t>
  </si>
  <si>
    <t>CH055</t>
  </si>
  <si>
    <t>St. Gallen</t>
  </si>
  <si>
    <t>CH056</t>
  </si>
  <si>
    <t>CH057</t>
  </si>
  <si>
    <t>Thurgau</t>
  </si>
  <si>
    <t>CH061</t>
  </si>
  <si>
    <t>Luzern</t>
  </si>
  <si>
    <t>CH062</t>
  </si>
  <si>
    <t>Uri</t>
  </si>
  <si>
    <t>CH063</t>
  </si>
  <si>
    <t>Schwyz</t>
  </si>
  <si>
    <t>CH064</t>
  </si>
  <si>
    <t>Obwalden</t>
  </si>
  <si>
    <t>CH065</t>
  </si>
  <si>
    <t>Nidwalden</t>
  </si>
  <si>
    <t>CH066</t>
  </si>
  <si>
    <t>Zug</t>
  </si>
  <si>
    <t>CH070</t>
  </si>
  <si>
    <t>MK001</t>
  </si>
  <si>
    <t>Vardarski</t>
  </si>
  <si>
    <t>MK002</t>
  </si>
  <si>
    <t>MK003</t>
  </si>
  <si>
    <t>Jugozapaden</t>
  </si>
  <si>
    <t>MK004</t>
  </si>
  <si>
    <t>MK005</t>
  </si>
  <si>
    <t>Pelagoniski</t>
  </si>
  <si>
    <t>MK006</t>
  </si>
  <si>
    <t>MK007</t>
  </si>
  <si>
    <t>MK008</t>
  </si>
  <si>
    <t>Skopski</t>
  </si>
  <si>
    <t>RS110</t>
  </si>
  <si>
    <t>RS121</t>
  </si>
  <si>
    <t>RS122</t>
  </si>
  <si>
    <t>RS123</t>
  </si>
  <si>
    <t>RS124</t>
  </si>
  <si>
    <t>Severnobanatska oblast</t>
  </si>
  <si>
    <t>RS125</t>
  </si>
  <si>
    <t>RS126</t>
  </si>
  <si>
    <t>Srednjobanatska oblast</t>
  </si>
  <si>
    <t>RS127</t>
  </si>
  <si>
    <t>Sremska oblast</t>
  </si>
  <si>
    <t>RS211</t>
  </si>
  <si>
    <t>Zlatiborska oblast</t>
  </si>
  <si>
    <t>RS212</t>
  </si>
  <si>
    <t>Kolubarska oblast</t>
  </si>
  <si>
    <t>RS213</t>
  </si>
  <si>
    <t>RS214</t>
  </si>
  <si>
    <t>RS215</t>
  </si>
  <si>
    <t>Pomoravska oblast</t>
  </si>
  <si>
    <t>RS216</t>
  </si>
  <si>
    <t>Rasinska oblast</t>
  </si>
  <si>
    <t>RS217</t>
  </si>
  <si>
    <t>RS218</t>
  </si>
  <si>
    <t>RS221</t>
  </si>
  <si>
    <t>Borska oblast</t>
  </si>
  <si>
    <t>RS222</t>
  </si>
  <si>
    <t>RS223</t>
  </si>
  <si>
    <t>RS224</t>
  </si>
  <si>
    <t>RS225</t>
  </si>
  <si>
    <t>RS226</t>
  </si>
  <si>
    <t>Pirotska oblast</t>
  </si>
  <si>
    <t>RS227</t>
  </si>
  <si>
    <t>Podunavska oblast</t>
  </si>
  <si>
    <t>RS228</t>
  </si>
  <si>
    <t>RS229</t>
  </si>
  <si>
    <t>Maximum</t>
  </si>
  <si>
    <t>P90</t>
  </si>
  <si>
    <t>P75</t>
  </si>
  <si>
    <t>P50</t>
  </si>
  <si>
    <t>P25</t>
  </si>
  <si>
    <t>P10</t>
  </si>
  <si>
    <t>Minimum</t>
  </si>
  <si>
    <t>Total</t>
  </si>
  <si>
    <t>tour_occ_nin2m</t>
  </si>
  <si>
    <t>tour_occ_nin3</t>
  </si>
  <si>
    <t>Friesland (DE)</t>
  </si>
  <si>
    <t>Mid-West</t>
  </si>
  <si>
    <t>Andros, Thira, Kea, Milos, Mykonos, Naxos, Paros, Syros, Tinos</t>
  </si>
  <si>
    <t>Seine-et-Marne</t>
  </si>
  <si>
    <t>Yvelines</t>
  </si>
  <si>
    <t>Hauts-de-Seine</t>
  </si>
  <si>
    <t>Seine-Saint-Denis</t>
  </si>
  <si>
    <t>Calvados</t>
  </si>
  <si>
    <t>Manche</t>
  </si>
  <si>
    <t>Meurthe-et-Moselle</t>
  </si>
  <si>
    <t>Meuse</t>
  </si>
  <si>
    <t>Hautes-Pyrénées</t>
  </si>
  <si>
    <t>Hautes-Alpes</t>
  </si>
  <si>
    <t>July</t>
  </si>
  <si>
    <t>August</t>
  </si>
  <si>
    <t>September</t>
  </si>
  <si>
    <t>January</t>
  </si>
  <si>
    <t>February</t>
  </si>
  <si>
    <t>March</t>
  </si>
  <si>
    <t>April</t>
  </si>
  <si>
    <t>May</t>
  </si>
  <si>
    <t>June</t>
  </si>
  <si>
    <t>October</t>
  </si>
  <si>
    <t>November</t>
  </si>
  <si>
    <t>December</t>
  </si>
  <si>
    <t>ALTtext</t>
  </si>
  <si>
    <t>Nights spent in tourist accommodation, in million nights. Nights spent in tourist accommodation by domestic and international tourists, in percent.</t>
  </si>
  <si>
    <t>Source: Eurostat (online data code: tour_occ_nin3)</t>
  </si>
  <si>
    <t>NO0B1</t>
  </si>
  <si>
    <t>Jan Mayen</t>
  </si>
  <si>
    <t>AL01</t>
  </si>
  <si>
    <t>Veri</t>
  </si>
  <si>
    <t>AL02</t>
  </si>
  <si>
    <t>Qender</t>
  </si>
  <si>
    <t>AL03</t>
  </si>
  <si>
    <t>Jug</t>
  </si>
  <si>
    <t>Türkiye</t>
  </si>
  <si>
    <t>Hlavní město Praha</t>
  </si>
  <si>
    <t>Středočeský kraj</t>
  </si>
  <si>
    <t>Jihočeský kraj</t>
  </si>
  <si>
    <t>Plzeňský kraj</t>
  </si>
  <si>
    <t>Kraj Vysočina</t>
  </si>
  <si>
    <t>Mühldorf a. Inn</t>
  </si>
  <si>
    <t>Pfaffenhofen a. d. Ilm</t>
  </si>
  <si>
    <t>Weiden i. d. Opf, Kreisfreie Stadt</t>
  </si>
  <si>
    <t>Neumarkt i. d. OPf.</t>
  </si>
  <si>
    <t>Neustadt a. d. Waldnaab</t>
  </si>
  <si>
    <t>Wunsiedel i. Fichtelgebirge</t>
  </si>
  <si>
    <t>Neustadt a. d. Aisch-Bad Windsheim</t>
  </si>
  <si>
    <t>Dillingen a.d. Donau</t>
  </si>
  <si>
    <t>Burgenlandkreis</t>
  </si>
  <si>
    <t>South-East</t>
  </si>
  <si>
    <t>South-West</t>
  </si>
  <si>
    <t>Magnisia, Sporades</t>
  </si>
  <si>
    <t>Eivissa y Formentera</t>
  </si>
  <si>
    <t>Val-d’Oise</t>
  </si>
  <si>
    <t>Côte-d’Or</t>
  </si>
  <si>
    <t>Côtes-d’Armor</t>
  </si>
  <si>
    <t>Bjelovarsko-bilogorska županija</t>
  </si>
  <si>
    <t>Virovitičko-podravska županija</t>
  </si>
  <si>
    <t>Požeško-slavonska županija</t>
  </si>
  <si>
    <t>Brodsko-posavska županija</t>
  </si>
  <si>
    <t>Osječko-baranjska županija</t>
  </si>
  <si>
    <t>Vukovarsko-srijemska županija</t>
  </si>
  <si>
    <t>Karlovačka županija</t>
  </si>
  <si>
    <t>Sisačko-moslavačka županija</t>
  </si>
  <si>
    <t>Primorsko-goranska županija</t>
  </si>
  <si>
    <t>Ličko-senjska županija</t>
  </si>
  <si>
    <t>Zadarska županija</t>
  </si>
  <si>
    <t>Šibensko-kninska županija</t>
  </si>
  <si>
    <t>Dubrovačko-neretvanska županija</t>
  </si>
  <si>
    <t>Međimurska županija</t>
  </si>
  <si>
    <t>Varaždinska županija</t>
  </si>
  <si>
    <t>Koprivničko-križevačka županija</t>
  </si>
  <si>
    <t>Krapinsko-zagorska županija</t>
  </si>
  <si>
    <t>Zagrebačka županija</t>
  </si>
  <si>
    <t>L’Aquila</t>
  </si>
  <si>
    <t>Reggio nell’Emilia</t>
  </si>
  <si>
    <t>Rīga</t>
  </si>
  <si>
    <t>Klaipėdos apskritis</t>
  </si>
  <si>
    <t>Marijampolės apskritis</t>
  </si>
  <si>
    <t>Panevėžio apskritis</t>
  </si>
  <si>
    <t>Šiaulių apskritis</t>
  </si>
  <si>
    <t>Tauragės apskritis</t>
  </si>
  <si>
    <t>Telšių apskritis</t>
  </si>
  <si>
    <t>Győr-Moson-Sopron</t>
  </si>
  <si>
    <t>Gozo and Comino/Għawdex u Kemmuna</t>
  </si>
  <si>
    <t>Agglomeratie ’s-Gravenhage</t>
  </si>
  <si>
    <t>Nowosądecki</t>
  </si>
  <si>
    <t>Oświęcimski</t>
  </si>
  <si>
    <t>Częstochowski</t>
  </si>
  <si>
    <t>Koniński</t>
  </si>
  <si>
    <t>Miasto Poznań</t>
  </si>
  <si>
    <t>Leszczyński</t>
  </si>
  <si>
    <t>Poznański</t>
  </si>
  <si>
    <t>Koszaliński</t>
  </si>
  <si>
    <t>Szczeciński</t>
  </si>
  <si>
    <t>Miasto Wrocław</t>
  </si>
  <si>
    <t>Legnicko-głogowski</t>
  </si>
  <si>
    <t>Wałbrzyski</t>
  </si>
  <si>
    <t>Wrocławski</t>
  </si>
  <si>
    <t>Bydgosko-toruński</t>
  </si>
  <si>
    <t>Grudziądzki</t>
  </si>
  <si>
    <t>Inowrocławski</t>
  </si>
  <si>
    <t>Świecki</t>
  </si>
  <si>
    <t>Włocławski</t>
  </si>
  <si>
    <t>Elbląski</t>
  </si>
  <si>
    <t>Olsztyński</t>
  </si>
  <si>
    <t>Ełcki</t>
  </si>
  <si>
    <t>Trójmiejski</t>
  </si>
  <si>
    <t>Gdański</t>
  </si>
  <si>
    <t>Słupski</t>
  </si>
  <si>
    <t>Miasto Łódź</t>
  </si>
  <si>
    <t>Łódzki</t>
  </si>
  <si>
    <t>Sandomiersko-jędrzejowski</t>
  </si>
  <si>
    <t>Chełmsko-zamojski</t>
  </si>
  <si>
    <t>Puławski</t>
  </si>
  <si>
    <t>Krośnieński</t>
  </si>
  <si>
    <t>Białostocki</t>
  </si>
  <si>
    <t>Łomżyński</t>
  </si>
  <si>
    <t>Płocki</t>
  </si>
  <si>
    <t>Ostrołęcki</t>
  </si>
  <si>
    <t>Żyrardowski</t>
  </si>
  <si>
    <t>Bistriţa-Năsăud</t>
  </si>
  <si>
    <t>Maramureş</t>
  </si>
  <si>
    <t>Sălaj</t>
  </si>
  <si>
    <t>Braşov</t>
  </si>
  <si>
    <t>Mureş</t>
  </si>
  <si>
    <t>Bacău</t>
  </si>
  <si>
    <t>Botoşani</t>
  </si>
  <si>
    <t>Iaşi</t>
  </si>
  <si>
    <t>Neamţ</t>
  </si>
  <si>
    <t>Brăila</t>
  </si>
  <si>
    <t>Buzău</t>
  </si>
  <si>
    <t>Constanţa</t>
  </si>
  <si>
    <t>Galaţi</t>
  </si>
  <si>
    <t>Argeş</t>
  </si>
  <si>
    <t>Călăraşi</t>
  </si>
  <si>
    <t>Dâmboviţa</t>
  </si>
  <si>
    <t>Ialomiţa</t>
  </si>
  <si>
    <t>Bucureşti</t>
  </si>
  <si>
    <t>Mehedinţi</t>
  </si>
  <si>
    <t>Caraş-Severin</t>
  </si>
  <si>
    <t>Timiş</t>
  </si>
  <si>
    <t>Koroška</t>
  </si>
  <si>
    <t>Goriška</t>
  </si>
  <si>
    <t>Obalno-kraška</t>
  </si>
  <si>
    <t>Trenčiansky kraj</t>
  </si>
  <si>
    <t>Žilinský kraj</t>
  </si>
  <si>
    <t>Prešovský kraj</t>
  </si>
  <si>
    <t>Košický kraj</t>
  </si>
  <si>
    <t>Höfuðborgarsvæði</t>
  </si>
  <si>
    <t>Landsbyggð</t>
  </si>
  <si>
    <t>ME000</t>
  </si>
  <si>
    <t>Istočen</t>
  </si>
  <si>
    <t>Jugoistočen</t>
  </si>
  <si>
    <t>Pološki</t>
  </si>
  <si>
    <t>Severoistočen</t>
  </si>
  <si>
    <t>Južnobanatska oblast</t>
  </si>
  <si>
    <t>Južnobačka oblast</t>
  </si>
  <si>
    <t>Severnobačka oblast</t>
  </si>
  <si>
    <t>Mačvanska oblast</t>
  </si>
  <si>
    <t>Moravička oblast</t>
  </si>
  <si>
    <t>Raška oblast</t>
  </si>
  <si>
    <t>Šumadijska oblast</t>
  </si>
  <si>
    <t>Braničevska oblast</t>
  </si>
  <si>
    <t>Zaječarska oblast</t>
  </si>
  <si>
    <t>Jablanička oblast</t>
  </si>
  <si>
    <t>Nišavska oblast</t>
  </si>
  <si>
    <t>Pčinjska oblast</t>
  </si>
  <si>
    <t>Toplička oblast</t>
  </si>
  <si>
    <t>MD</t>
  </si>
  <si>
    <t>Moldova</t>
  </si>
  <si>
    <t>UA</t>
  </si>
  <si>
    <t>Ukraine</t>
  </si>
  <si>
    <t>Vidurio ir vakarų Lietuvos regionas</t>
  </si>
  <si>
    <t>Nights spent in tourist accommodation relative to resident population, per thousand inhabitants.</t>
  </si>
  <si>
    <t>BA</t>
  </si>
  <si>
    <t>Bosnia and Herzegovina</t>
  </si>
  <si>
    <t>P66</t>
  </si>
  <si>
    <t>P33</t>
  </si>
  <si>
    <t>Bookmarks:</t>
  </si>
  <si>
    <t>Pasted from M10.1</t>
  </si>
  <si>
    <t>Nights spent (million)</t>
  </si>
  <si>
    <t>Class1 (shade)</t>
  </si>
  <si>
    <t>R51/G160/B51</t>
  </si>
  <si>
    <t>R56/G138/B226</t>
  </si>
  <si>
    <t>Value1</t>
  </si>
  <si>
    <t>Value2</t>
  </si>
  <si>
    <t>Proportional circle map.</t>
  </si>
  <si>
    <t>Regional data for EU, EFTA and non-EU countries at level 3.</t>
  </si>
  <si>
    <t>R176/G145/B32</t>
  </si>
  <si>
    <t>Arr. Verviers — communes francophones</t>
  </si>
  <si>
    <t>Bezirk Verviers — Deutschsprachige Gemeinschaft</t>
  </si>
  <si>
    <t>Valais / Wallis</t>
  </si>
  <si>
    <t>Bern / Berne</t>
  </si>
  <si>
    <t>Fribourg / Freiburg</t>
  </si>
  <si>
    <t>Graubünden / Grigioni / Grischun</t>
  </si>
  <si>
    <t>GE</t>
  </si>
  <si>
    <t>Georgia</t>
  </si>
  <si>
    <t>Centre — Val de Loire</t>
  </si>
  <si>
    <t>Nights spent in tourist accommodation relative to area, per square kilometre.</t>
  </si>
  <si>
    <t>Kalymnos, Karpathos – Iroiki Nisos Kasos, Kos, Rodos</t>
  </si>
  <si>
    <t>Reggio Calabria</t>
  </si>
  <si>
    <t>Kýpros</t>
  </si>
  <si>
    <t>Csongrád-Csanád</t>
  </si>
  <si>
    <t>Alto Tâmega e Barroso</t>
  </si>
  <si>
    <t>Trøndelag/Trööndelage</t>
  </si>
  <si>
    <t>Nordland/Nordlánnda</t>
  </si>
  <si>
    <t>MAPTYPE</t>
  </si>
  <si>
    <t>ch</t>
  </si>
  <si>
    <t>ps</t>
  </si>
  <si>
    <r>
      <t>Source:</t>
    </r>
    <r>
      <rPr>
        <sz val="10"/>
        <color indexed="8"/>
        <rFont val="Arial"/>
        <family val="2"/>
      </rPr>
      <t xml:space="preserve"> Eurostat (online data code: tour_occ_nin3)</t>
    </r>
  </si>
  <si>
    <t>NUTS 2</t>
  </si>
  <si>
    <t>tour_occ_ninat</t>
  </si>
  <si>
    <t>colour breaks</t>
  </si>
  <si>
    <t>Mainly domestic</t>
  </si>
  <si>
    <t>Mixed</t>
  </si>
  <si>
    <t>Mainly international</t>
  </si>
  <si>
    <t>Size legend</t>
  </si>
  <si>
    <t>Percentiles (size)</t>
  </si>
  <si>
    <t>Start</t>
  </si>
  <si>
    <t>End</t>
  </si>
  <si>
    <t>Origin of tourists</t>
  </si>
  <si>
    <t>Sequential scale choropleth map.</t>
  </si>
  <si>
    <t>DEG0Q</t>
  </si>
  <si>
    <t>DEG0R</t>
  </si>
  <si>
    <t>DEG0S</t>
  </si>
  <si>
    <t>DEG0T</t>
  </si>
  <si>
    <t>DEG0U</t>
  </si>
  <si>
    <t>DEG0V</t>
  </si>
  <si>
    <t>PT191</t>
  </si>
  <si>
    <t>PT192</t>
  </si>
  <si>
    <t>PT193</t>
  </si>
  <si>
    <t>PT194</t>
  </si>
  <si>
    <t>PT195</t>
  </si>
  <si>
    <t>PT196</t>
  </si>
  <si>
    <t>PT1A0</t>
  </si>
  <si>
    <t>Grande Lisboa</t>
  </si>
  <si>
    <t>PT1B0</t>
  </si>
  <si>
    <t>Península de Setúbal</t>
  </si>
  <si>
    <t>PT1C1</t>
  </si>
  <si>
    <t>PT1C2</t>
  </si>
  <si>
    <t>PT1C3</t>
  </si>
  <si>
    <t>PT1C4</t>
  </si>
  <si>
    <t>PT1D1</t>
  </si>
  <si>
    <t>PT1D2</t>
  </si>
  <si>
    <t>PT1D3</t>
  </si>
  <si>
    <t>FI198</t>
  </si>
  <si>
    <t>FI199</t>
  </si>
  <si>
    <t>FI19A</t>
  </si>
  <si>
    <t>FI19B</t>
  </si>
  <si>
    <t>FI1C6</t>
  </si>
  <si>
    <t>FI1C7</t>
  </si>
  <si>
    <t>FI1DA</t>
  </si>
  <si>
    <t>FI1DB</t>
  </si>
  <si>
    <t>FI1DC</t>
  </si>
  <si>
    <t>EU value</t>
  </si>
  <si>
    <t>Arr. de Bruxelles-Capitale / Arr. Brussel-Hoofdstad</t>
  </si>
  <si>
    <t>LV00A</t>
  </si>
  <si>
    <t>LV00B</t>
  </si>
  <si>
    <t>LV00C</t>
  </si>
  <si>
    <t>NL114</t>
  </si>
  <si>
    <t>NL115</t>
  </si>
  <si>
    <t>NL127</t>
  </si>
  <si>
    <t>NL128</t>
  </si>
  <si>
    <t>NL32A</t>
  </si>
  <si>
    <t>NL32B</t>
  </si>
  <si>
    <t>NL350</t>
  </si>
  <si>
    <t>NL361</t>
  </si>
  <si>
    <t>NL362</t>
  </si>
  <si>
    <t>NL363</t>
  </si>
  <si>
    <t>NL364</t>
  </si>
  <si>
    <t>NL365</t>
  </si>
  <si>
    <t>NL366</t>
  </si>
  <si>
    <t>NL415</t>
  </si>
  <si>
    <t>NL416</t>
  </si>
  <si>
    <t>NO072</t>
  </si>
  <si>
    <t>Troms/Romsa/Tromssa</t>
  </si>
  <si>
    <t>NO073</t>
  </si>
  <si>
    <t>Finnmark/Finnmárku/Finmarkku</t>
  </si>
  <si>
    <t>NO083</t>
  </si>
  <si>
    <t>Østfold</t>
  </si>
  <si>
    <t>NO084</t>
  </si>
  <si>
    <t>Akershus</t>
  </si>
  <si>
    <t>NO085</t>
  </si>
  <si>
    <t>Buskerud</t>
  </si>
  <si>
    <t>NO093</t>
  </si>
  <si>
    <t>Vestfold</t>
  </si>
  <si>
    <t>NO094</t>
  </si>
  <si>
    <t>Telemark</t>
  </si>
  <si>
    <t>Crna Gora</t>
  </si>
  <si>
    <t>PT19</t>
  </si>
  <si>
    <t>Centro (PT)</t>
  </si>
  <si>
    <t>PT1A</t>
  </si>
  <si>
    <t>PT1B</t>
  </si>
  <si>
    <t>PT1C</t>
  </si>
  <si>
    <t>PT1D</t>
  </si>
  <si>
    <t>Oeste e Vale do Tejo</t>
  </si>
  <si>
    <t>Domestic</t>
  </si>
  <si>
    <t>International</t>
  </si>
  <si>
    <t>sizeUnit</t>
  </si>
  <si>
    <t>colorUnit</t>
  </si>
  <si>
    <t>%</t>
  </si>
  <si>
    <t>million nights</t>
  </si>
  <si>
    <t>Unit</t>
  </si>
  <si>
    <t>nights spent</t>
  </si>
  <si>
    <t>NL35</t>
  </si>
  <si>
    <t>NL36</t>
  </si>
  <si>
    <t>Zuid-Holland</t>
  </si>
  <si>
    <r>
      <t>Source:</t>
    </r>
    <r>
      <rPr>
        <sz val="10"/>
        <rFont val="Arial"/>
        <family val="2"/>
      </rPr>
      <t xml:space="preserve"> Eurostat (online data codes: tour_occ_nin3 and tour_occ_ninat)</t>
    </r>
  </si>
  <si>
    <t>National</t>
  </si>
  <si>
    <t>Source: Eurostat (online data codes: tour_occ_nin3 and tour_occ_ninat)</t>
  </si>
  <si>
    <t>per 1 000 inhabitants</t>
  </si>
  <si>
    <t>per km²</t>
  </si>
  <si>
    <t>R230/G230/B230</t>
  </si>
  <si>
    <t>Eurostat Regional Yearbook 2026</t>
  </si>
  <si>
    <t>Annual data for 2024.</t>
  </si>
  <si>
    <t>(by NUTS 3 regions, 2024)</t>
  </si>
  <si>
    <t>https://ec.europa.eu/eurostat/databrowser/bookmark/783347bd-f2b9-4984-8f11-014f806e273a?lang=en&amp;createdAt=2025-12-10T16:36:45Z</t>
  </si>
  <si>
    <t>Région de Bruxelles-Capitale / Brussels Hoofdstedelijk Gewest</t>
  </si>
  <si>
    <t>Regional data for EU, EFTA and non-EU countries at level 2.</t>
  </si>
  <si>
    <r>
      <t>Source:</t>
    </r>
    <r>
      <rPr>
        <sz val="10"/>
        <rFont val="Arial"/>
        <family val="2"/>
      </rPr>
      <t xml:space="preserve"> Eurostat (online data codes: tour_occ_nin2m and tour_occ_nim)</t>
    </r>
  </si>
  <si>
    <t>Number of nights spent in tourist accommodation, in millions.</t>
  </si>
  <si>
    <t>Monthly data for 2024.</t>
  </si>
  <si>
    <t>Source: Eurostat (online data codes: tour_occ_nin2m and tour_occ_nim)</t>
  </si>
  <si>
    <t>https://ec.europa.eu/eurostat/databrowser/bookmark/a4adda51-a806-4692-9d7f-0f730aafb819?lang=en&amp;createdAt=2025-12-17T10:43:08Z</t>
  </si>
  <si>
    <t>tour_occ_nim</t>
  </si>
  <si>
    <t>https://ec.europa.eu/eurostat/databrowser/bookmark/9d52e0bf-a7c9-40fc-b91f-a85e352431a0?lang=en&amp;createdAt=2026-03-03T15:25:41Z</t>
  </si>
  <si>
    <t>(based on nights spent in tourist accommodation, by NUTS 2 regions, 2024)</t>
  </si>
  <si>
    <t>Categorical map.</t>
  </si>
  <si>
    <t>Coxcomb or polar map.</t>
  </si>
  <si>
    <t>Segments are divided into two parts, representing the shares of domestic and international tourists.</t>
  </si>
  <si>
    <t>Data arranged in coloured segments radiating from a central point, representing the months of a year.</t>
  </si>
  <si>
    <t>Regional data for NUTS level 2 regions.</t>
  </si>
  <si>
    <t>Busiest tourism month in each region, based on nights spent in tourist accommodation.</t>
  </si>
  <si>
    <t>EU¶August</t>
  </si>
  <si>
    <t>Busiest month</t>
  </si>
  <si>
    <t>See M10.3</t>
  </si>
  <si>
    <t>(per 1 000 inhabitants, relative to resident population, by NUTS 3 regions, 2024)</t>
  </si>
  <si>
    <t>https://ec.europa.eu/eurostat/databrowser/bookmark/7a2683de-16b4-415c-87d3-da50e83a4341?lang=en&amp;createdAt=2026-01-16T17:48:33Z</t>
  </si>
  <si>
    <t>https://ec.europa.eu/eurostat/databrowser/bookmark/34e92002-46ac-407d-8c6e-289fdce3a175?lang=en&amp;createdAt=2026-01-16T17:49:05Z</t>
  </si>
  <si>
    <t>EU¶6 725¶nights</t>
  </si>
  <si>
    <t>(per km², relative to area, by NUTS 3 regions, 2024)</t>
  </si>
  <si>
    <t>https://ec.europa.eu/eurostat/databrowser/bookmark/0a66f0b2-80e2-4137-b1b1-bf2cba46b9be?lang=en&amp;createdAt=2026-01-16T17:49:24Z</t>
  </si>
  <si>
    <t>https://ec.europa.eu/eurostat/databrowser/bookmark/56ed9b0f-6184-4f5b-831a-84f1e18057e5?lang=en&amp;createdAt=2026-01-16T17:49:38Z</t>
  </si>
  <si>
    <t>EU¶715¶nights</t>
  </si>
  <si>
    <t>AL011</t>
  </si>
  <si>
    <t>Dibër</t>
  </si>
  <si>
    <t>AL012</t>
  </si>
  <si>
    <t>Durrës</t>
  </si>
  <si>
    <t>AL013</t>
  </si>
  <si>
    <t>Kukës</t>
  </si>
  <si>
    <t>AL014</t>
  </si>
  <si>
    <t>Lezhë</t>
  </si>
  <si>
    <t>AL015</t>
  </si>
  <si>
    <t>Shkodër</t>
  </si>
  <si>
    <t>AL021</t>
  </si>
  <si>
    <t>Elbasan</t>
  </si>
  <si>
    <t>AL022</t>
  </si>
  <si>
    <t>Tiranë</t>
  </si>
  <si>
    <t>AL031</t>
  </si>
  <si>
    <t>Berat</t>
  </si>
  <si>
    <t>AL032</t>
  </si>
  <si>
    <t>Fier</t>
  </si>
  <si>
    <t>AL033</t>
  </si>
  <si>
    <t>Gjirokastër</t>
  </si>
  <si>
    <t>AL034</t>
  </si>
  <si>
    <t>Korçë</t>
  </si>
  <si>
    <t>AL035</t>
  </si>
  <si>
    <t>Vlorë</t>
  </si>
  <si>
    <t>ME00</t>
  </si>
  <si>
    <t>Zapadnobačka oblast</t>
  </si>
  <si>
    <t>tour_occ_nin2</t>
  </si>
  <si>
    <t>https://ec.europa.eu/eurostat/databrowser/bookmark/5fd9c4cd-cd6e-49b2-b23e-b35ef5f4e6c7?lang=en&amp;createdAt=2026-03-03T17:41:58Z</t>
  </si>
  <si>
    <t>million nights; % of total</t>
  </si>
  <si>
    <t>Total nights spent (million)</t>
  </si>
  <si>
    <t>(by NUTS 2 regions, 2024)</t>
  </si>
  <si>
    <t>Autonomous Province of Vojvodina</t>
  </si>
  <si>
    <t>Region Šumadije i Zapadne Srbije</t>
  </si>
  <si>
    <t>Region Južne i Istočne Srbije</t>
  </si>
  <si>
    <t>Jan</t>
  </si>
  <si>
    <t>Oct</t>
  </si>
  <si>
    <t>Dec</t>
  </si>
  <si>
    <t>Feb</t>
  </si>
  <si>
    <t>Jun</t>
  </si>
  <si>
    <t>Sep</t>
  </si>
  <si>
    <t>Jul</t>
  </si>
  <si>
    <t>Aug</t>
  </si>
  <si>
    <t>Month</t>
  </si>
  <si>
    <t>R128/G191/B250</t>
  </si>
  <si>
    <t>R109/G181/B109</t>
  </si>
  <si>
    <t>R170/G95/B24</t>
  </si>
  <si>
    <t>R115/G73/B33</t>
  </si>
  <si>
    <t>R193/G144/B98</t>
  </si>
  <si>
    <t>R198/G175/B93</t>
  </si>
  <si>
    <t>NUTS2</t>
  </si>
  <si>
    <t>Note: Türkiye, level 2. Iceland: 2023. Türkiye: 2021.</t>
  </si>
  <si>
    <t>R0/G35/B125</t>
  </si>
  <si>
    <t>R49/G69/B167</t>
  </si>
  <si>
    <t>R93/G104/B206</t>
  </si>
  <si>
    <t>R137/G143/B236</t>
  </si>
  <si>
    <t>R183/G185/B252</t>
  </si>
  <si>
    <t>R228/G230/B255</t>
  </si>
  <si>
    <t>All hard coded</t>
  </si>
  <si>
    <t>R173/G173/B173</t>
  </si>
  <si>
    <t>Note: the individual symbols for each region should be read like a clock, with 12 o'clock being the start and end of the year.</t>
  </si>
  <si>
    <t>Note: the busiest tourism month in the EU was August with 494.9 million nights spent.</t>
  </si>
  <si>
    <t>Note: Türkiye, level 2. Iceland: national data. Iceland: 2023. Türkiye: 2021.</t>
  </si>
  <si>
    <t>Note: the origin of tourists is defined as a share of total nights spent by mainly domestic (≥ 65.0%), mixed (&gt; 35.0% and &lt; 65.0%), mainly international (≥ 65.0%) tourists. Belgium and Türkiye: NUTS level 2. Rems-Murr-Kreis (DE116), Schwäbisch Hall (DE11A), Rhein-Neckar-Kreis (DE128), Sonneberg (DEG0V) and Iceland: 2023.</t>
  </si>
  <si>
    <t>Residence of tourist</t>
  </si>
  <si>
    <t>All tourists (million nights spent)</t>
  </si>
  <si>
    <t>Domestic tourists (million nights spent)</t>
  </si>
  <si>
    <t>International tourists (million nights spent)</t>
  </si>
  <si>
    <t>Nights spent in tourist accommodation</t>
  </si>
  <si>
    <t>Busiest tourism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</si>
</sst>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#,##0.0"/>
  </numFmts>
  <fonts count="25"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u/>
      <sz val="9"/>
      <color theme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9"/>
      <name val="Myriad Pro"/>
      <family val="2"/>
    </font>
    <font>
      <sz val="10"/>
      <name val="+mn-lt"/>
    </font>
    <font>
      <b/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i/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0"/>
      <name val="Arial"/>
      <family val="2"/>
    </font>
    <font>
      <sz val="11"/>
      <color indexed="8"/>
      <name val="Arial"/>
      <family val="2"/>
    </font>
    <font>
      <b/>
      <sz val="9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388AE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37D"/>
        <bgColor indexed="64"/>
      </patternFill>
    </fill>
    <fill>
      <patternFill patternType="solid">
        <fgColor rgb="FF3145A7"/>
        <bgColor indexed="64"/>
      </patternFill>
    </fill>
    <fill>
      <patternFill patternType="solid">
        <fgColor rgb="FF5D68CE"/>
        <bgColor indexed="64"/>
      </patternFill>
    </fill>
    <fill>
      <patternFill patternType="solid">
        <fgColor rgb="FF898FEC"/>
        <bgColor indexed="64"/>
      </patternFill>
    </fill>
    <fill>
      <patternFill patternType="solid">
        <fgColor rgb="FFB7B9FC"/>
        <bgColor indexed="64"/>
      </patternFill>
    </fill>
    <fill>
      <patternFill patternType="solid">
        <fgColor rgb="FFE4E6FF"/>
        <bgColor indexed="64"/>
      </patternFill>
    </fill>
    <fill>
      <patternFill patternType="solid">
        <fgColor rgb="FFADAD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6" fillId="0" borderId="0"/>
    <xf numFmtId="0" fontId="7" fillId="0" borderId="0" applyNumberFormat="0" applyFill="0" applyBorder="0" applyProtection="0">
      <alignment vertical="center"/>
    </xf>
    <xf numFmtId="0" fontId="9" fillId="0" borderId="0"/>
    <xf numFmtId="0" fontId="11" fillId="0" borderId="0"/>
    <xf numFmtId="0" fontId="9" fillId="0" borderId="0"/>
    <xf numFmtId="0" fontId="5" fillId="0" borderId="0" applyNumberFormat="0" applyFill="0" applyBorder="0" applyProtection="0">
      <alignment vertical="center"/>
    </xf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 applyNumberFormat="0" applyFill="0" applyBorder="0" applyProtection="0">
      <alignment vertical="center"/>
    </xf>
    <xf numFmtId="0" fontId="9" fillId="0" borderId="0"/>
    <xf numFmtId="0" fontId="11" fillId="0" borderId="0"/>
    <xf numFmtId="0" fontId="9" fillId="0" borderId="0"/>
    <xf numFmtId="0" fontId="11" fillId="0" borderId="0"/>
    <xf numFmtId="0" fontId="5" fillId="0" borderId="0" applyNumberFormat="0" applyFill="0" applyBorder="0" applyProtection="0">
      <alignment vertical="center"/>
    </xf>
    <xf numFmtId="0" fontId="9" fillId="0" borderId="0"/>
    <xf numFmtId="0" fontId="3" fillId="0" borderId="0" applyNumberFormat="0" applyFill="0" applyBorder="0" applyAlignment="0" applyProtection="0">
      <alignment vertical="center"/>
    </xf>
    <xf numFmtId="0" fontId="1" fillId="0" borderId="0"/>
  </cellStyleXfs>
  <cellXfs count="160">
    <xf numFmtId="0" fontId="0" fillId="0" borderId="0" xfId="0"/>
    <xf numFmtId="0" fontId="12" fillId="0" borderId="0" xfId="7" applyFont="1" applyAlignment="1">
      <alignment horizontal="left"/>
    </xf>
    <xf numFmtId="0" fontId="2" fillId="0" borderId="0" xfId="2" applyFont="1" applyFill="1"/>
    <xf numFmtId="0" fontId="8" fillId="0" borderId="0" xfId="7" applyFont="1" applyAlignment="1">
      <alignment horizontal="left"/>
    </xf>
    <xf numFmtId="0" fontId="18" fillId="0" borderId="0" xfId="2" applyFont="1" applyFill="1"/>
    <xf numFmtId="0" fontId="9" fillId="0" borderId="0" xfId="7"/>
    <xf numFmtId="0" fontId="19" fillId="0" borderId="0" xfId="3" applyFont="1"/>
    <xf numFmtId="0" fontId="9" fillId="0" borderId="0" xfId="4" applyFont="1" applyFill="1">
      <alignment vertical="center"/>
    </xf>
    <xf numFmtId="164" fontId="9" fillId="0" borderId="0" xfId="6" applyNumberFormat="1" applyFont="1"/>
    <xf numFmtId="0" fontId="16" fillId="0" borderId="0" xfId="7" applyFont="1"/>
    <xf numFmtId="49" fontId="19" fillId="0" borderId="0" xfId="11" applyNumberFormat="1" applyFont="1"/>
    <xf numFmtId="0" fontId="9" fillId="0" borderId="0" xfId="11"/>
    <xf numFmtId="165" fontId="9" fillId="0" borderId="0" xfId="2" applyNumberFormat="1" applyFont="1" applyFill="1"/>
    <xf numFmtId="0" fontId="16" fillId="0" borderId="0" xfId="0" applyFont="1"/>
    <xf numFmtId="0" fontId="9" fillId="0" borderId="0" xfId="4" applyFont="1" applyFill="1" applyAlignment="1">
      <alignment horizontal="left" vertical="center"/>
    </xf>
    <xf numFmtId="0" fontId="19" fillId="0" borderId="0" xfId="11" applyFont="1" applyAlignment="1">
      <alignment horizontal="left" vertical="center" wrapText="1"/>
    </xf>
    <xf numFmtId="0" fontId="19" fillId="0" borderId="0" xfId="11" applyFont="1"/>
    <xf numFmtId="0" fontId="19" fillId="0" borderId="0" xfId="0" applyFont="1"/>
    <xf numFmtId="0" fontId="16" fillId="0" borderId="0" xfId="8" applyFont="1" applyAlignment="1"/>
    <xf numFmtId="0" fontId="19" fillId="0" borderId="0" xfId="12" applyFont="1"/>
    <xf numFmtId="1" fontId="19" fillId="0" borderId="0" xfId="7" applyNumberFormat="1" applyFont="1" applyAlignment="1">
      <alignment horizontal="right" wrapText="1"/>
    </xf>
    <xf numFmtId="1" fontId="19" fillId="0" borderId="0" xfId="7" applyNumberFormat="1" applyFont="1" applyAlignment="1">
      <alignment horizontal="right"/>
    </xf>
    <xf numFmtId="2" fontId="19" fillId="0" borderId="0" xfId="7" applyNumberFormat="1" applyFont="1" applyAlignment="1">
      <alignment horizontal="right" wrapText="1"/>
    </xf>
    <xf numFmtId="0" fontId="18" fillId="0" borderId="0" xfId="13" applyFont="1" applyAlignment="1">
      <alignment vertical="top"/>
    </xf>
    <xf numFmtId="2" fontId="13" fillId="0" borderId="0" xfId="7" applyNumberFormat="1" applyFont="1" applyAlignment="1">
      <alignment horizontal="left"/>
    </xf>
    <xf numFmtId="0" fontId="13" fillId="0" borderId="0" xfId="7" applyFont="1" applyAlignment="1">
      <alignment horizontal="right"/>
    </xf>
    <xf numFmtId="1" fontId="9" fillId="0" borderId="0" xfId="7" applyNumberFormat="1"/>
    <xf numFmtId="164" fontId="9" fillId="0" borderId="0" xfId="7" applyNumberFormat="1" applyAlignment="1">
      <alignment horizontal="right"/>
    </xf>
    <xf numFmtId="2" fontId="9" fillId="0" borderId="0" xfId="7" applyNumberFormat="1" applyAlignment="1">
      <alignment horizontal="left"/>
    </xf>
    <xf numFmtId="1" fontId="9" fillId="0" borderId="0" xfId="7" applyNumberFormat="1" applyAlignment="1">
      <alignment horizontal="right"/>
    </xf>
    <xf numFmtId="0" fontId="9" fillId="0" borderId="0" xfId="7" applyAlignment="1">
      <alignment horizontal="right"/>
    </xf>
    <xf numFmtId="0" fontId="19" fillId="0" borderId="0" xfId="7" applyFont="1"/>
    <xf numFmtId="0" fontId="10" fillId="0" borderId="0" xfId="7" applyFont="1"/>
    <xf numFmtId="0" fontId="21" fillId="0" borderId="0" xfId="5" applyFont="1" applyAlignment="1">
      <alignment vertical="center"/>
    </xf>
    <xf numFmtId="0" fontId="9" fillId="0" borderId="0" xfId="7" applyAlignment="1">
      <alignment horizontal="center"/>
    </xf>
    <xf numFmtId="0" fontId="13" fillId="0" borderId="0" xfId="7" applyFont="1"/>
    <xf numFmtId="165" fontId="9" fillId="0" borderId="0" xfId="7" applyNumberFormat="1"/>
    <xf numFmtId="0" fontId="19" fillId="0" borderId="0" xfId="7" applyFont="1" applyAlignment="1">
      <alignment horizontal="right"/>
    </xf>
    <xf numFmtId="0" fontId="21" fillId="0" borderId="0" xfId="5" quotePrefix="1" applyFont="1" applyAlignment="1">
      <alignment vertical="center"/>
    </xf>
    <xf numFmtId="0" fontId="9" fillId="0" borderId="0" xfId="12" applyAlignment="1">
      <alignment horizontal="right" vertical="center"/>
    </xf>
    <xf numFmtId="164" fontId="9" fillId="0" borderId="0" xfId="7" applyNumberFormat="1"/>
    <xf numFmtId="1" fontId="19" fillId="0" borderId="0" xfId="7" applyNumberFormat="1" applyFont="1"/>
    <xf numFmtId="0" fontId="17" fillId="3" borderId="1" xfId="0" applyFont="1" applyFill="1" applyBorder="1" applyAlignment="1">
      <alignment vertical="center"/>
    </xf>
    <xf numFmtId="0" fontId="9" fillId="0" borderId="0" xfId="7" applyAlignment="1">
      <alignment horizontal="left"/>
    </xf>
    <xf numFmtId="2" fontId="9" fillId="0" borderId="0" xfId="7" applyNumberFormat="1"/>
    <xf numFmtId="0" fontId="17" fillId="4" borderId="1" xfId="0" applyFont="1" applyFill="1" applyBorder="1" applyAlignment="1">
      <alignment vertical="center"/>
    </xf>
    <xf numFmtId="0" fontId="16" fillId="0" borderId="0" xfId="7" quotePrefix="1" applyFont="1"/>
    <xf numFmtId="9" fontId="9" fillId="0" borderId="0" xfId="7" applyNumberFormat="1" applyAlignment="1">
      <alignment horizontal="right"/>
    </xf>
    <xf numFmtId="164" fontId="13" fillId="0" borderId="0" xfId="7" applyNumberFormat="1" applyFont="1"/>
    <xf numFmtId="0" fontId="18" fillId="0" borderId="0" xfId="5" quotePrefix="1" applyFont="1" applyAlignment="1">
      <alignment vertical="center"/>
    </xf>
    <xf numFmtId="0" fontId="9" fillId="0" borderId="0" xfId="15"/>
    <xf numFmtId="0" fontId="9" fillId="0" borderId="0" xfId="7" quotePrefix="1"/>
    <xf numFmtId="0" fontId="9" fillId="0" borderId="0" xfId="7" applyAlignment="1">
      <alignment wrapText="1"/>
    </xf>
    <xf numFmtId="0" fontId="20" fillId="0" borderId="0" xfId="10" applyFont="1" applyAlignment="1">
      <alignment vertical="center"/>
    </xf>
    <xf numFmtId="0" fontId="21" fillId="0" borderId="0" xfId="0" applyFont="1"/>
    <xf numFmtId="0" fontId="9" fillId="0" borderId="0" xfId="12" applyAlignment="1">
      <alignment vertical="center"/>
    </xf>
    <xf numFmtId="0" fontId="9" fillId="0" borderId="0" xfId="7" applyAlignment="1">
      <alignment vertical="center"/>
    </xf>
    <xf numFmtId="0" fontId="10" fillId="0" borderId="0" xfId="10" applyFont="1" applyAlignment="1">
      <alignment vertical="center"/>
    </xf>
    <xf numFmtId="0" fontId="9" fillId="0" borderId="0" xfId="7" applyAlignment="1">
      <alignment horizontal="center" wrapText="1"/>
    </xf>
    <xf numFmtId="1" fontId="9" fillId="0" borderId="0" xfId="7" applyNumberFormat="1" applyAlignment="1">
      <alignment horizontal="left"/>
    </xf>
    <xf numFmtId="1" fontId="9" fillId="0" borderId="0" xfId="6" applyNumberFormat="1" applyFont="1" applyAlignment="1">
      <alignment horizontal="right"/>
    </xf>
    <xf numFmtId="164" fontId="9" fillId="0" borderId="0" xfId="6" applyNumberFormat="1" applyFont="1" applyAlignment="1">
      <alignment horizontal="right"/>
    </xf>
    <xf numFmtId="2" fontId="9" fillId="0" borderId="0" xfId="7" applyNumberFormat="1" applyAlignment="1">
      <alignment horizontal="right"/>
    </xf>
    <xf numFmtId="0" fontId="9" fillId="0" borderId="0" xfId="7" applyAlignment="1">
      <alignment horizontal="justify" vertical="center"/>
    </xf>
    <xf numFmtId="164" fontId="9" fillId="0" borderId="0" xfId="16" applyNumberFormat="1" applyFont="1" applyAlignment="1">
      <alignment horizontal="right"/>
    </xf>
    <xf numFmtId="0" fontId="9" fillId="0" borderId="0" xfId="9" applyFont="1"/>
    <xf numFmtId="1" fontId="19" fillId="0" borderId="0" xfId="7" applyNumberFormat="1" applyFont="1" applyAlignment="1">
      <alignment horizontal="left"/>
    </xf>
    <xf numFmtId="0" fontId="13" fillId="0" borderId="0" xfId="12" applyFont="1" applyAlignment="1">
      <alignment horizontal="left" vertical="center"/>
    </xf>
    <xf numFmtId="164" fontId="13" fillId="0" borderId="0" xfId="7" applyNumberFormat="1" applyFont="1" applyAlignment="1">
      <alignment horizontal="left"/>
    </xf>
    <xf numFmtId="1" fontId="13" fillId="0" borderId="0" xfId="6" applyNumberFormat="1" applyFont="1" applyAlignment="1">
      <alignment horizontal="right"/>
    </xf>
    <xf numFmtId="164" fontId="9" fillId="0" borderId="0" xfId="7" applyNumberFormat="1" applyAlignment="1">
      <alignment horizontal="left"/>
    </xf>
    <xf numFmtId="0" fontId="10" fillId="0" borderId="0" xfId="5" applyFont="1" applyAlignment="1">
      <alignment vertical="center"/>
    </xf>
    <xf numFmtId="164" fontId="10" fillId="0" borderId="0" xfId="5" applyNumberFormat="1" applyFont="1" applyAlignment="1">
      <alignment vertical="center"/>
    </xf>
    <xf numFmtId="0" fontId="9" fillId="2" borderId="0" xfId="7" applyFill="1"/>
    <xf numFmtId="0" fontId="9" fillId="0" borderId="0" xfId="8" applyNumberFormat="1" applyFont="1" applyFill="1" applyBorder="1" applyAlignment="1"/>
    <xf numFmtId="3" fontId="9" fillId="0" borderId="0" xfId="7" applyNumberFormat="1"/>
    <xf numFmtId="164" fontId="13" fillId="0" borderId="0" xfId="16" applyNumberFormat="1" applyFont="1" applyAlignment="1">
      <alignment horizontal="left"/>
    </xf>
    <xf numFmtId="1" fontId="13" fillId="0" borderId="0" xfId="7" applyNumberFormat="1" applyFont="1" applyAlignment="1">
      <alignment horizontal="left"/>
    </xf>
    <xf numFmtId="3" fontId="9" fillId="0" borderId="0" xfId="6" applyNumberFormat="1" applyFont="1"/>
    <xf numFmtId="0" fontId="22" fillId="0" borderId="0" xfId="10" applyFont="1" applyAlignment="1">
      <alignment vertical="center"/>
    </xf>
    <xf numFmtId="0" fontId="9" fillId="0" borderId="0" xfId="0" applyFont="1"/>
    <xf numFmtId="3" fontId="9" fillId="0" borderId="0" xfId="6" applyNumberFormat="1" applyFont="1" applyAlignment="1">
      <alignment horizontal="right"/>
    </xf>
    <xf numFmtId="3" fontId="9" fillId="0" borderId="0" xfId="7" applyNumberFormat="1" applyAlignment="1">
      <alignment horizontal="right"/>
    </xf>
    <xf numFmtId="0" fontId="11" fillId="0" borderId="0" xfId="7" applyFont="1" applyAlignment="1">
      <alignment horizontal="left"/>
    </xf>
    <xf numFmtId="0" fontId="23" fillId="0" borderId="0" xfId="14" applyFont="1" applyFill="1" applyAlignment="1">
      <alignment horizontal="left" vertical="center"/>
    </xf>
    <xf numFmtId="3" fontId="9" fillId="0" borderId="0" xfId="2" applyNumberFormat="1" applyFont="1" applyFill="1"/>
    <xf numFmtId="165" fontId="10" fillId="0" borderId="0" xfId="5" quotePrefix="1" applyNumberFormat="1" applyFont="1" applyAlignment="1">
      <alignment vertical="center"/>
    </xf>
    <xf numFmtId="164" fontId="10" fillId="0" borderId="0" xfId="5" quotePrefix="1" applyNumberFormat="1" applyFont="1" applyAlignment="1">
      <alignment vertical="center"/>
    </xf>
    <xf numFmtId="165" fontId="9" fillId="0" borderId="0" xfId="7" applyNumberFormat="1" applyAlignment="1">
      <alignment horizontal="center"/>
    </xf>
    <xf numFmtId="0" fontId="19" fillId="0" borderId="0" xfId="7" quotePrefix="1" applyFont="1"/>
    <xf numFmtId="0" fontId="9" fillId="0" borderId="0" xfId="7" applyAlignment="1">
      <alignment horizontal="left" vertical="center"/>
    </xf>
    <xf numFmtId="0" fontId="17" fillId="5" borderId="1" xfId="0" applyFont="1" applyFill="1" applyBorder="1" applyAlignment="1">
      <alignment vertical="center"/>
    </xf>
    <xf numFmtId="9" fontId="9" fillId="0" borderId="0" xfId="7" applyNumberFormat="1" applyAlignment="1">
      <alignment horizontal="left"/>
    </xf>
    <xf numFmtId="0" fontId="19" fillId="0" borderId="0" xfId="5" quotePrefix="1" applyFont="1" applyAlignment="1">
      <alignment horizontal="right" vertical="center"/>
    </xf>
    <xf numFmtId="1" fontId="19" fillId="0" borderId="0" xfId="7" applyNumberFormat="1" applyFont="1" applyAlignment="1">
      <alignment horizontal="left" wrapText="1"/>
    </xf>
    <xf numFmtId="165" fontId="9" fillId="0" borderId="0" xfId="2" applyNumberFormat="1" applyFont="1" applyFill="1" applyAlignment="1">
      <alignment horizontal="right"/>
    </xf>
    <xf numFmtId="49" fontId="24" fillId="0" borderId="0" xfId="11" applyNumberFormat="1" applyFont="1"/>
    <xf numFmtId="0" fontId="5" fillId="0" borderId="0" xfId="11" applyFont="1" applyAlignment="1">
      <alignment wrapText="1"/>
    </xf>
    <xf numFmtId="164" fontId="5" fillId="0" borderId="0" xfId="17" applyNumberFormat="1" applyFont="1" applyAlignment="1">
      <alignment horizontal="left" vertical="center" wrapText="1"/>
    </xf>
    <xf numFmtId="0" fontId="5" fillId="0" borderId="0" xfId="11" applyFont="1"/>
    <xf numFmtId="0" fontId="24" fillId="0" borderId="0" xfId="11" applyFont="1"/>
    <xf numFmtId="164" fontId="5" fillId="0" borderId="0" xfId="17" applyNumberFormat="1" applyFont="1" applyAlignment="1">
      <alignment horizontal="left" vertical="top" wrapText="1"/>
    </xf>
    <xf numFmtId="0" fontId="24" fillId="0" borderId="0" xfId="11" applyFont="1" applyAlignment="1">
      <alignment horizontal="left" vertical="center" wrapText="1"/>
    </xf>
    <xf numFmtId="0" fontId="24" fillId="0" borderId="0" xfId="0" applyFont="1"/>
    <xf numFmtId="0" fontId="5" fillId="0" borderId="0" xfId="0" applyFont="1"/>
    <xf numFmtId="2" fontId="19" fillId="0" borderId="0" xfId="7" applyNumberFormat="1" applyFont="1"/>
    <xf numFmtId="164" fontId="5" fillId="0" borderId="0" xfId="17" applyNumberFormat="1" applyFont="1" applyAlignment="1">
      <alignment vertical="center" wrapText="1"/>
    </xf>
    <xf numFmtId="0" fontId="5" fillId="0" borderId="0" xfId="17" applyFont="1" applyAlignment="1">
      <alignment horizontal="left" vertical="center" wrapText="1"/>
    </xf>
    <xf numFmtId="164" fontId="5" fillId="0" borderId="0" xfId="17" applyNumberFormat="1" applyFont="1" applyAlignment="1">
      <alignment wrapText="1"/>
    </xf>
    <xf numFmtId="0" fontId="5" fillId="0" borderId="0" xfId="11" applyFont="1" applyAlignment="1">
      <alignment horizontal="left" vertical="center" wrapText="1"/>
    </xf>
    <xf numFmtId="164" fontId="9" fillId="2" borderId="0" xfId="7" applyNumberFormat="1" applyFill="1"/>
    <xf numFmtId="1" fontId="10" fillId="0" borderId="0" xfId="5" quotePrefix="1" applyNumberFormat="1" applyFont="1" applyAlignment="1">
      <alignment vertical="center"/>
    </xf>
    <xf numFmtId="0" fontId="9" fillId="0" borderId="0" xfId="11" applyAlignment="1">
      <alignment wrapText="1"/>
    </xf>
    <xf numFmtId="164" fontId="9" fillId="0" borderId="0" xfId="17" applyNumberFormat="1" applyAlignment="1">
      <alignment horizontal="left" vertical="center" wrapText="1"/>
    </xf>
    <xf numFmtId="164" fontId="9" fillId="0" borderId="0" xfId="17" applyNumberFormat="1" applyAlignment="1">
      <alignment horizontal="left" vertical="top" wrapText="1"/>
    </xf>
    <xf numFmtId="0" fontId="9" fillId="0" borderId="0" xfId="10" applyAlignment="1">
      <alignment vertical="center"/>
    </xf>
    <xf numFmtId="0" fontId="3" fillId="0" borderId="0" xfId="1" applyBorder="1" applyAlignment="1"/>
    <xf numFmtId="0" fontId="19" fillId="6" borderId="1" xfId="7" applyFont="1" applyFill="1" applyBorder="1" applyAlignment="1">
      <alignment horizontal="right"/>
    </xf>
    <xf numFmtId="0" fontId="3" fillId="0" borderId="0" xfId="1" applyBorder="1" applyAlignment="1">
      <alignment vertical="top"/>
    </xf>
    <xf numFmtId="0" fontId="16" fillId="0" borderId="0" xfId="19" applyFont="1" applyAlignment="1"/>
    <xf numFmtId="0" fontId="18" fillId="0" borderId="0" xfId="5" quotePrefix="1" applyFont="1" applyAlignment="1">
      <alignment horizontal="right" vertical="center"/>
    </xf>
    <xf numFmtId="9" fontId="13" fillId="0" borderId="0" xfId="7" applyNumberFormat="1" applyFont="1" applyAlignment="1">
      <alignment horizontal="right"/>
    </xf>
    <xf numFmtId="0" fontId="13" fillId="2" borderId="0" xfId="7" applyFont="1" applyFill="1"/>
    <xf numFmtId="0" fontId="3" fillId="0" borderId="0" xfId="1" applyFill="1" applyBorder="1" applyAlignment="1">
      <alignment vertical="top"/>
    </xf>
    <xf numFmtId="0" fontId="19" fillId="0" borderId="0" xfId="12" applyFont="1" applyAlignment="1">
      <alignment horizontal="right"/>
    </xf>
    <xf numFmtId="164" fontId="9" fillId="0" borderId="0" xfId="17" applyNumberFormat="1" applyAlignment="1">
      <alignment horizontal="left" vertical="center"/>
    </xf>
    <xf numFmtId="0" fontId="9" fillId="0" borderId="0" xfId="11" applyAlignment="1">
      <alignment horizontal="right"/>
    </xf>
    <xf numFmtId="164" fontId="9" fillId="0" borderId="0" xfId="17" applyNumberFormat="1" applyAlignment="1">
      <alignment horizontal="left" vertical="top"/>
    </xf>
    <xf numFmtId="164" fontId="9" fillId="0" borderId="0" xfId="17" applyNumberFormat="1" applyAlignment="1">
      <alignment horizontal="right" vertical="top"/>
    </xf>
    <xf numFmtId="0" fontId="19" fillId="0" borderId="0" xfId="11" applyFont="1" applyAlignment="1">
      <alignment horizontal="left" vertical="center"/>
    </xf>
    <xf numFmtId="0" fontId="9" fillId="0" borderId="0" xfId="0" applyFont="1" applyAlignment="1">
      <alignment horizontal="right"/>
    </xf>
    <xf numFmtId="0" fontId="19" fillId="0" borderId="0" xfId="14" applyFont="1" applyFill="1" applyAlignment="1">
      <alignment horizontal="left" vertical="center"/>
    </xf>
    <xf numFmtId="0" fontId="17" fillId="7" borderId="1" xfId="5" quotePrefix="1" applyFont="1" applyFill="1" applyBorder="1" applyAlignment="1">
      <alignment horizontal="right" vertical="center"/>
    </xf>
    <xf numFmtId="0" fontId="21" fillId="10" borderId="1" xfId="5" quotePrefix="1" applyFont="1" applyFill="1" applyBorder="1" applyAlignment="1">
      <alignment horizontal="right" vertical="center"/>
    </xf>
    <xf numFmtId="0" fontId="19" fillId="12" borderId="1" xfId="7" applyFont="1" applyFill="1" applyBorder="1" applyAlignment="1">
      <alignment horizontal="right"/>
    </xf>
    <xf numFmtId="0" fontId="17" fillId="11" borderId="1" xfId="7" applyFont="1" applyFill="1" applyBorder="1" applyAlignment="1">
      <alignment horizontal="right"/>
    </xf>
    <xf numFmtId="0" fontId="17" fillId="8" borderId="1" xfId="7" applyFont="1" applyFill="1" applyBorder="1" applyAlignment="1">
      <alignment horizontal="right"/>
    </xf>
    <xf numFmtId="0" fontId="17" fillId="3" borderId="1" xfId="7" applyFont="1" applyFill="1" applyBorder="1" applyAlignment="1">
      <alignment horizontal="right"/>
    </xf>
    <xf numFmtId="0" fontId="19" fillId="9" borderId="1" xfId="5" quotePrefix="1" applyFont="1" applyFill="1" applyBorder="1" applyAlignment="1">
      <alignment horizontal="right" vertical="center"/>
    </xf>
    <xf numFmtId="0" fontId="19" fillId="13" borderId="1" xfId="7" applyFont="1" applyFill="1" applyBorder="1" applyAlignment="1">
      <alignment horizontal="right"/>
    </xf>
    <xf numFmtId="0" fontId="17" fillId="4" borderId="1" xfId="7" applyFont="1" applyFill="1" applyBorder="1" applyAlignment="1">
      <alignment horizontal="right"/>
    </xf>
    <xf numFmtId="3" fontId="9" fillId="0" borderId="0" xfId="2" applyNumberFormat="1" applyFont="1" applyFill="1" applyAlignment="1">
      <alignment horizontal="left"/>
    </xf>
    <xf numFmtId="1" fontId="19" fillId="14" borderId="0" xfId="7" applyNumberFormat="1" applyFont="1" applyFill="1" applyAlignment="1">
      <alignment horizontal="left"/>
    </xf>
    <xf numFmtId="165" fontId="9" fillId="14" borderId="0" xfId="2" applyNumberFormat="1" applyFont="1" applyFill="1" applyAlignment="1">
      <alignment horizontal="left"/>
    </xf>
    <xf numFmtId="3" fontId="9" fillId="14" borderId="0" xfId="2" applyNumberFormat="1" applyFont="1" applyFill="1" applyAlignment="1">
      <alignment horizontal="left"/>
    </xf>
    <xf numFmtId="1" fontId="9" fillId="14" borderId="0" xfId="7" applyNumberFormat="1" applyFill="1" applyAlignment="1">
      <alignment horizontal="left"/>
    </xf>
    <xf numFmtId="0" fontId="17" fillId="15" borderId="1" xfId="5" quotePrefix="1" applyFont="1" applyFill="1" applyBorder="1" applyAlignment="1">
      <alignment vertical="center"/>
    </xf>
    <xf numFmtId="0" fontId="17" fillId="16" borderId="1" xfId="5" quotePrefix="1" applyFont="1" applyFill="1" applyBorder="1" applyAlignment="1">
      <alignment vertical="center"/>
    </xf>
    <xf numFmtId="0" fontId="21" fillId="17" borderId="1" xfId="5" quotePrefix="1" applyFont="1" applyFill="1" applyBorder="1" applyAlignment="1">
      <alignment vertical="center"/>
    </xf>
    <xf numFmtId="0" fontId="19" fillId="18" borderId="1" xfId="7" applyFont="1" applyFill="1" applyBorder="1"/>
    <xf numFmtId="0" fontId="19" fillId="19" borderId="1" xfId="7" applyFont="1" applyFill="1" applyBorder="1"/>
    <xf numFmtId="0" fontId="19" fillId="20" borderId="1" xfId="7" applyFont="1" applyFill="1" applyBorder="1"/>
    <xf numFmtId="0" fontId="24" fillId="21" borderId="1" xfId="7" applyFont="1" applyFill="1" applyBorder="1" applyAlignment="1">
      <alignment horizontal="right"/>
    </xf>
    <xf numFmtId="164" fontId="9" fillId="0" borderId="0" xfId="11" applyNumberFormat="1" applyAlignment="1">
      <alignment horizontal="right"/>
    </xf>
    <xf numFmtId="165" fontId="9" fillId="0" borderId="0" xfId="11" applyNumberFormat="1" applyAlignment="1">
      <alignment horizontal="right"/>
    </xf>
    <xf numFmtId="4" fontId="9" fillId="0" borderId="0" xfId="7" applyNumberFormat="1" applyAlignment="1">
      <alignment horizontal="right"/>
    </xf>
    <xf numFmtId="4" fontId="9" fillId="0" borderId="0" xfId="11" applyNumberFormat="1" applyAlignment="1">
      <alignment horizontal="right" wrapText="1"/>
    </xf>
    <xf numFmtId="4" fontId="9" fillId="0" borderId="0" xfId="7" applyNumberFormat="1"/>
    <xf numFmtId="4" fontId="9" fillId="0" borderId="0" xfId="17" applyNumberFormat="1" applyAlignment="1">
      <alignment horizontal="right" vertical="center"/>
    </xf>
    <xf numFmtId="4" fontId="9" fillId="0" borderId="0" xfId="11" applyNumberFormat="1" applyAlignment="1">
      <alignment horizontal="right"/>
    </xf>
  </cellXfs>
  <cellStyles count="23">
    <cellStyle name="Hyperlink" xfId="1" builtinId="8"/>
    <cellStyle name="Hyperlink 2" xfId="21" xr:uid="{4429233E-2903-4CA5-A901-7B78960CEB60}"/>
    <cellStyle name="Normal" xfId="0" builtinId="0"/>
    <cellStyle name="Normal 11" xfId="3" xr:uid="{A2C29BBB-DC33-4E7B-8D21-CBE53F430957}"/>
    <cellStyle name="Normal 12 2" xfId="18" xr:uid="{BD4E0271-08C8-40E1-8F35-1EA50A1660F6}"/>
    <cellStyle name="Normal 14 2" xfId="9" xr:uid="{FE756F64-B1CA-456C-ACA5-5D7AED3C8F06}"/>
    <cellStyle name="Normal 2" xfId="8" xr:uid="{E073B910-B278-4130-AD49-4BE6C69C5740}"/>
    <cellStyle name="Normal 2 2" xfId="2" xr:uid="{594927E4-324A-4A15-BD75-27B9452E8D7C}"/>
    <cellStyle name="Normal 2 3" xfId="14" xr:uid="{FE14791A-AC85-44F9-810A-79D4AFA49AF6}"/>
    <cellStyle name="Normal 2 3 2" xfId="19" xr:uid="{28E1FD52-F454-4A77-8313-30243BFA0115}"/>
    <cellStyle name="Normal 2 3 3" xfId="11" xr:uid="{C48C8344-A35C-48AE-B9A5-C8ECE3F2DCE7}"/>
    <cellStyle name="Normal 28 2" xfId="6" xr:uid="{93C8E449-485F-42BC-863C-395A82964AE7}"/>
    <cellStyle name="Normal 3 2" xfId="22" xr:uid="{A61DF329-103C-4B4C-8104-23062AB9AFA0}"/>
    <cellStyle name="Normal 3 3" xfId="4" xr:uid="{F0B8C40D-809F-42C5-9DD2-F0563ECA8B6E}"/>
    <cellStyle name="Normal 33" xfId="20" xr:uid="{52018172-F6D4-4550-811F-EF632293926A}"/>
    <cellStyle name="Normal 7" xfId="16" xr:uid="{BAC5F03B-5C39-4F0B-B329-A528D0711B20}"/>
    <cellStyle name="Normal_2012.3572_src_EN_Chapter_13_Coastal_regions" xfId="13" xr:uid="{17710489-97C9-4568-886B-957B52B4A7D4}"/>
    <cellStyle name="Normal_Chapter_2_Labour_market_maps-CORR" xfId="12" xr:uid="{CD1AB5E0-5005-4D2B-8F42-BBE1FE12B586}"/>
    <cellStyle name="Normal_Chapter_7_GDP_maps-CORR" xfId="10" xr:uid="{912F84C7-3A8C-4334-AC98-E23365F7B32E}"/>
    <cellStyle name="Normal_Chapter_9_SBS_maps_renumbered-CORR" xfId="5" xr:uid="{C3A51CD6-B6ED-4EFA-870D-83C658415CD9}"/>
    <cellStyle name="Normal_Maps YB2010 Chapter 4 GDP_corr" xfId="7" xr:uid="{CBCAC19B-E0F3-4695-B8BF-6A353D4C8BAA}"/>
    <cellStyle name="Normal_REGIONS 2010 - graphs &amp; tables - ch.6 EN FR DE - v.25FEB10" xfId="17" xr:uid="{F50D42D4-B167-48A4-B44B-9712A55E720F}"/>
    <cellStyle name="Normal_Yearbook 2010 Ch 11 graphs_30032010" xfId="15" xr:uid="{A146794D-6AAF-4342-B8BB-7DF8A02E6043}"/>
  </cellStyles>
  <dxfs count="1">
    <dxf>
      <fill>
        <patternFill>
          <bgColor theme="4" tint="0.79995117038483843"/>
        </patternFill>
      </fill>
    </dxf>
  </dxfs>
  <tableStyles count="2" defaultTableStyle="TableStyleMedium2" defaultPivotStyle="PivotStyleLight16">
    <tableStyle name="Invisible" pivot="0" table="0" count="0" xr9:uid="{E3B709F0-A935-49C4-AA3A-72077510D6A8}"/>
    <tableStyle name="ThemeBG" pivot="0" count="1" xr9:uid="{A6C1994F-D924-42D5-984B-C3B1CF630E77}">
      <tableStyleElement type="wholeTable" dxfId="0"/>
    </tableStyle>
  </tableStyles>
  <colors>
    <mruColors>
      <color rgb="FFCEE5B6"/>
      <color rgb="FFADDABB"/>
      <color rgb="FF88CDBA"/>
      <color rgb="FF58ABA3"/>
      <color rgb="FF1E8687"/>
      <color rgb="FF987B2E"/>
      <color rgb="FFCEB22C"/>
      <color rgb="FFEED75C"/>
      <color rgb="FFEEEB9D"/>
      <color rgb="FFF5EB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443</xdr:row>
      <xdr:rowOff>19050</xdr:rowOff>
    </xdr:from>
    <xdr:ext cx="76200" cy="180975"/>
    <xdr:sp macro="" textlink="">
      <xdr:nvSpPr>
        <xdr:cNvPr id="2" name="Text Box 54">
          <a:extLst>
            <a:ext uri="{FF2B5EF4-FFF2-40B4-BE49-F238E27FC236}">
              <a16:creationId xmlns:a16="http://schemas.microsoft.com/office/drawing/2014/main" id="{03B496E7-07F4-4815-95A5-9A282DE4EA96}"/>
            </a:ext>
          </a:extLst>
        </xdr:cNvPr>
        <xdr:cNvSpPr txBox="1">
          <a:spLocks noChangeArrowheads="1"/>
        </xdr:cNvSpPr>
      </xdr:nvSpPr>
      <xdr:spPr bwMode="auto">
        <a:xfrm>
          <a:off x="1543050" y="2809875"/>
          <a:ext cx="762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429</xdr:row>
      <xdr:rowOff>19050</xdr:rowOff>
    </xdr:from>
    <xdr:ext cx="76200" cy="180975"/>
    <xdr:sp macro="" textlink="">
      <xdr:nvSpPr>
        <xdr:cNvPr id="3" name="Text Box 54">
          <a:extLst>
            <a:ext uri="{FF2B5EF4-FFF2-40B4-BE49-F238E27FC236}">
              <a16:creationId xmlns:a16="http://schemas.microsoft.com/office/drawing/2014/main" id="{5FA844D0-6145-4B45-996A-4197EA65E401}"/>
            </a:ext>
          </a:extLst>
        </xdr:cNvPr>
        <xdr:cNvSpPr txBox="1">
          <a:spLocks noChangeArrowheads="1"/>
        </xdr:cNvSpPr>
      </xdr:nvSpPr>
      <xdr:spPr bwMode="auto">
        <a:xfrm>
          <a:off x="40357425" y="67684650"/>
          <a:ext cx="762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60237486963a246/YouTube/YT_2018/YT_201806/Lookup_Pictures/Excel_Lookup_Pictures_XelPlus_Downloa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60237486963a246/YouTube/YT_2017/YT_Upcoming/ClusteredStackedColumn/YT_201709/ChartwithBlanks/Excel_Dynamic_Chart_Exclude_Blanks_XelPlu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G\OneDrive\YouTube\YT_2018\YT_201807\Dependent_DropDown_Varying_Lengths\Excel_Dependent_Dropdown_Expandable_Exclude_Empty_XelPl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Report"/>
      <sheetName val="Master"/>
    </sheetNames>
    <sheetDataSet>
      <sheetData sheetId="0"/>
      <sheetData sheetId="1">
        <row r="2">
          <cell r="C2" t="str">
            <v>Spain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IgnoreBlanks"/>
    </sheetNames>
    <sheetDataSet>
      <sheetData sheetId="0"/>
      <sheetData sheetId="1">
        <row r="36">
          <cell r="E36">
            <v>42736</v>
          </cell>
          <cell r="F36">
            <v>100</v>
          </cell>
        </row>
        <row r="37">
          <cell r="E37">
            <v>42737</v>
          </cell>
          <cell r="F37">
            <v>120</v>
          </cell>
        </row>
        <row r="38">
          <cell r="E38">
            <v>42739</v>
          </cell>
          <cell r="F38">
            <v>160</v>
          </cell>
        </row>
        <row r="39">
          <cell r="E39">
            <v>42740</v>
          </cell>
          <cell r="F39">
            <v>150</v>
          </cell>
        </row>
        <row r="40">
          <cell r="E40">
            <v>42741</v>
          </cell>
          <cell r="F40">
            <v>200</v>
          </cell>
        </row>
        <row r="41">
          <cell r="E41">
            <v>42742</v>
          </cell>
          <cell r="F41">
            <v>220</v>
          </cell>
        </row>
        <row r="42">
          <cell r="E42">
            <v>42743</v>
          </cell>
          <cell r="F42">
            <v>240</v>
          </cell>
        </row>
        <row r="43">
          <cell r="E43">
            <v>42745</v>
          </cell>
          <cell r="F43">
            <v>280</v>
          </cell>
        </row>
        <row r="44">
          <cell r="E44">
            <v>42746</v>
          </cell>
          <cell r="F44">
            <v>300</v>
          </cell>
        </row>
        <row r="45">
          <cell r="E45">
            <v>42747</v>
          </cell>
          <cell r="F45">
            <v>300</v>
          </cell>
        </row>
        <row r="46">
          <cell r="E46">
            <v>42751</v>
          </cell>
          <cell r="F46">
            <v>400</v>
          </cell>
        </row>
        <row r="47">
          <cell r="E47">
            <v>42752</v>
          </cell>
          <cell r="F47">
            <v>410</v>
          </cell>
        </row>
        <row r="48">
          <cell r="E48">
            <v>42753</v>
          </cell>
          <cell r="F48">
            <v>400</v>
          </cell>
        </row>
        <row r="49">
          <cell r="E49">
            <v>42756</v>
          </cell>
          <cell r="F49">
            <v>420</v>
          </cell>
        </row>
        <row r="50">
          <cell r="E50">
            <v>42757</v>
          </cell>
          <cell r="F50">
            <v>430</v>
          </cell>
        </row>
        <row r="51">
          <cell r="E51">
            <v>42758</v>
          </cell>
          <cell r="F51">
            <v>440</v>
          </cell>
        </row>
        <row r="52">
          <cell r="E52">
            <v>42759</v>
          </cell>
          <cell r="F52">
            <v>450</v>
          </cell>
        </row>
        <row r="53">
          <cell r="E53"/>
          <cell r="F53"/>
        </row>
        <row r="54">
          <cell r="E54"/>
          <cell r="F54"/>
        </row>
        <row r="55">
          <cell r="E55"/>
          <cell r="F55"/>
        </row>
        <row r="56">
          <cell r="E56"/>
          <cell r="F56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OFFSET"/>
      <sheetName val="Table"/>
      <sheetName val="Excel_Dependent_Dropdown_Expand"/>
    </sheetNames>
    <sheetDataSet>
      <sheetData sheetId="0"/>
      <sheetData sheetId="1"/>
      <sheetData sheetId="2">
        <row r="4">
          <cell r="A4" t="str">
            <v>Productivity</v>
          </cell>
          <cell r="B4" t="str">
            <v>Games</v>
          </cell>
          <cell r="C4" t="str">
            <v>Utility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Palette C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33A033"/>
      </a:accent1>
      <a:accent2>
        <a:srgbClr val="2644A7"/>
      </a:accent2>
      <a:accent3>
        <a:srgbClr val="C05F03"/>
      </a:accent3>
      <a:accent4>
        <a:srgbClr val="208486"/>
      </a:accent4>
      <a:accent5>
        <a:srgbClr val="B09120"/>
      </a:accent5>
      <a:accent6>
        <a:srgbClr val="388AE2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c.europa.eu/eurostat/databrowser/bookmark/5fd9c4cd-cd6e-49b2-b23e-b35ef5f4e6c7?lang=en&amp;createdAt=2026-03-03T17:41:58Z" TargetMode="External"/><Relationship Id="rId1" Type="http://schemas.openxmlformats.org/officeDocument/2006/relationships/hyperlink" Target="https://ec.europa.eu/eurostat/databrowser/bookmark/783347bd-f2b9-4984-8f11-014f806e273a?lang=en&amp;createdAt=2025-12-10T16:36:45Z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c.europa.eu/eurostat/databrowser/bookmark/a4adda51-a806-4692-9d7f-0f730aafb819?lang=en&amp;createdAt=2025-12-17T10:43:08Z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c.europa.eu/eurostat/databrowser/bookmark/34e92002-46ac-407d-8c6e-289fdce3a175?lang=en&amp;createdAt=2026-01-16T17:49:05Z" TargetMode="External"/><Relationship Id="rId1" Type="http://schemas.openxmlformats.org/officeDocument/2006/relationships/hyperlink" Target="https://ec.europa.eu/eurostat/databrowser/bookmark/7a2683de-16b4-415c-87d3-da50e83a4341?lang=en&amp;createdAt=2026-01-16T17:48:33Z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ec.europa.eu/eurostat/databrowser/bookmark/56ed9b0f-6184-4f5b-831a-84f1e18057e5?lang=en&amp;createdAt=2026-01-16T17:49:38Z" TargetMode="External"/><Relationship Id="rId1" Type="http://schemas.openxmlformats.org/officeDocument/2006/relationships/hyperlink" Target="https://ec.europa.eu/eurostat/databrowser/bookmark/0a66f0b2-80e2-4137-b1b1-bf2cba46b9be?lang=en&amp;createdAt=2026-01-16T17:49:24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6394-83B1-44B5-A9FF-FBDFB3A36031}">
  <sheetPr>
    <tabColor rgb="FF92D050"/>
  </sheetPr>
  <dimension ref="A1:Z3523"/>
  <sheetViews>
    <sheetView showGridLines="0" tabSelected="1" zoomScaleNormal="100" workbookViewId="0"/>
  </sheetViews>
  <sheetFormatPr defaultColWidth="8.85546875" defaultRowHeight="11.25" customHeight="1"/>
  <cols>
    <col min="1" max="1" width="8.7109375" style="43" customWidth="1"/>
    <col min="2" max="2" width="60.7109375" style="5" customWidth="1"/>
    <col min="3" max="3" width="12.7109375" style="28" customWidth="1"/>
    <col min="4" max="4" width="12.7109375" style="29" customWidth="1"/>
    <col min="5" max="5" width="12.7109375" style="28" customWidth="1"/>
    <col min="6" max="6" width="16.42578125" style="62" customWidth="1"/>
    <col min="7" max="8" width="12.7109375" style="62" customWidth="1"/>
    <col min="9" max="9" width="14.28515625" style="44" customWidth="1"/>
    <col min="10" max="10" width="21.5703125" style="5" customWidth="1"/>
    <col min="11" max="11" width="14.28515625" style="5" customWidth="1"/>
    <col min="12" max="12" width="15.7109375" style="5" customWidth="1"/>
    <col min="13" max="13" width="20.42578125" style="5" customWidth="1"/>
    <col min="14" max="14" width="8.5703125" style="5" customWidth="1"/>
    <col min="15" max="15" width="10.85546875" style="5" customWidth="1"/>
    <col min="16" max="16" width="11.42578125" style="5" customWidth="1"/>
    <col min="17" max="17" width="8.5703125" style="5" customWidth="1"/>
    <col min="18" max="18" width="10.42578125" style="5" bestFit="1" customWidth="1"/>
    <col min="19" max="19" width="6.28515625" style="5" customWidth="1"/>
    <col min="20" max="26" width="2.7109375" style="5" customWidth="1"/>
    <col min="27" max="16384" width="8.85546875" style="5"/>
  </cols>
  <sheetData>
    <row r="1" spans="1:25" ht="12.75">
      <c r="A1" s="19" t="s">
        <v>539</v>
      </c>
      <c r="B1" s="19" t="s">
        <v>540</v>
      </c>
      <c r="C1" s="20" t="s">
        <v>3006</v>
      </c>
      <c r="D1" s="20" t="s">
        <v>3007</v>
      </c>
      <c r="E1" s="66" t="s">
        <v>543</v>
      </c>
      <c r="F1" s="20" t="s">
        <v>3003</v>
      </c>
      <c r="G1" s="22" t="s">
        <v>541</v>
      </c>
      <c r="H1" s="22"/>
      <c r="I1" s="23"/>
      <c r="J1" s="5" t="s">
        <v>3028</v>
      </c>
    </row>
    <row r="2" spans="1:25" ht="12.75">
      <c r="A2" s="96" t="s">
        <v>29</v>
      </c>
      <c r="B2" s="97" t="s">
        <v>3139</v>
      </c>
      <c r="C2" s="27">
        <v>22.3</v>
      </c>
      <c r="D2" s="27">
        <v>7.3729709999999997</v>
      </c>
      <c r="E2" s="59"/>
      <c r="F2" s="29" cm="1">
        <f t="array" ref="F2">_xlfn.IFS(C2=":",":",C2&gt;=P$19,1,C2&gt;=P$20,2,C2&lt;P$20,3)</f>
        <v>3</v>
      </c>
      <c r="G2" s="43" t="s">
        <v>3032</v>
      </c>
      <c r="H2" s="43"/>
      <c r="I2" s="26"/>
      <c r="J2" s="5" t="s">
        <v>3030</v>
      </c>
      <c r="Y2" s="26"/>
    </row>
    <row r="3" spans="1:25" ht="12" customHeight="1">
      <c r="A3" s="96" t="s">
        <v>30</v>
      </c>
      <c r="B3" s="97" t="s">
        <v>31</v>
      </c>
      <c r="C3" s="27">
        <v>47</v>
      </c>
      <c r="D3" s="27">
        <v>5.5977829999999997</v>
      </c>
      <c r="E3" s="59"/>
      <c r="F3" s="29" cm="1">
        <f t="array" ref="F3">_xlfn.IFS(C3=":",":",C3&gt;=P$19,1,C3&gt;=P$20,2,C3&lt;P$20,3)</f>
        <v>2</v>
      </c>
      <c r="G3" s="43" t="s">
        <v>3032</v>
      </c>
      <c r="H3" s="43"/>
      <c r="I3" s="26"/>
      <c r="J3" s="6" t="s">
        <v>3135</v>
      </c>
      <c r="Y3" s="26"/>
    </row>
    <row r="4" spans="1:25" ht="12" customHeight="1">
      <c r="A4" s="96" t="s">
        <v>32</v>
      </c>
      <c r="B4" s="97" t="s">
        <v>33</v>
      </c>
      <c r="C4" s="27">
        <v>54.3</v>
      </c>
      <c r="D4" s="27">
        <v>5.1851200000000004</v>
      </c>
      <c r="E4" s="59"/>
      <c r="F4" s="29" cm="1">
        <f t="array" ref="F4">_xlfn.IFS(C4=":",":",C4&gt;=P$19,1,C4&gt;=P$20,2,C4&lt;P$20,3)</f>
        <v>2</v>
      </c>
      <c r="G4" s="43" t="s">
        <v>3032</v>
      </c>
      <c r="H4" s="43"/>
      <c r="I4" s="26"/>
      <c r="J4" s="6" t="s">
        <v>28</v>
      </c>
      <c r="Y4" s="26"/>
    </row>
    <row r="5" spans="1:25" s="31" customFormat="1" ht="12" customHeight="1">
      <c r="A5" s="96" t="s">
        <v>34</v>
      </c>
      <c r="B5" s="97" t="s">
        <v>35</v>
      </c>
      <c r="C5" s="27">
        <v>46.6</v>
      </c>
      <c r="D5" s="27">
        <v>2.946412</v>
      </c>
      <c r="E5" s="59"/>
      <c r="F5" s="29" cm="1">
        <f t="array" ref="F5">_xlfn.IFS(C5=":",":",C5&gt;=P$19,1,C5&gt;=P$20,2,C5&lt;P$20,3)</f>
        <v>2</v>
      </c>
      <c r="G5" s="43" t="s">
        <v>3032</v>
      </c>
      <c r="H5" s="43"/>
      <c r="I5" s="26"/>
      <c r="J5" s="32"/>
      <c r="K5" s="5"/>
      <c r="L5" s="5"/>
      <c r="M5" s="5"/>
      <c r="Y5" s="26"/>
    </row>
    <row r="6" spans="1:25" ht="15.75">
      <c r="A6" s="96" t="s">
        <v>36</v>
      </c>
      <c r="B6" s="97" t="s">
        <v>37</v>
      </c>
      <c r="C6" s="27">
        <v>49.4</v>
      </c>
      <c r="D6" s="27">
        <v>2.3679540000000001</v>
      </c>
      <c r="E6" s="59"/>
      <c r="F6" s="29" cm="1">
        <f t="array" ref="F6">_xlfn.IFS(C6=":",":",C6&gt;=P$19,1,C6&gt;=P$20,2,C6&lt;P$20,3)</f>
        <v>2</v>
      </c>
      <c r="G6" s="43" t="s">
        <v>3032</v>
      </c>
      <c r="H6" s="43"/>
      <c r="I6" s="26"/>
      <c r="J6" s="3" t="s">
        <v>3233</v>
      </c>
      <c r="Y6" s="26"/>
    </row>
    <row r="7" spans="1:25" ht="14.25">
      <c r="A7" s="96" t="s">
        <v>38</v>
      </c>
      <c r="B7" s="97" t="s">
        <v>39</v>
      </c>
      <c r="C7" s="27">
        <v>63</v>
      </c>
      <c r="D7" s="27">
        <v>12.139851999999999</v>
      </c>
      <c r="E7" s="59"/>
      <c r="F7" s="29" cm="1">
        <f t="array" ref="F7">_xlfn.IFS(C7=":",":",C7&gt;=P$19,1,C7&gt;=P$20,2,C7&lt;P$20,3)</f>
        <v>2</v>
      </c>
      <c r="G7" s="43" t="s">
        <v>3032</v>
      </c>
      <c r="H7" s="43"/>
      <c r="I7" s="26"/>
      <c r="J7" s="83" t="s">
        <v>3137</v>
      </c>
      <c r="Y7" s="26"/>
    </row>
    <row r="8" spans="1:25" ht="12" customHeight="1">
      <c r="A8" s="96" t="s">
        <v>40</v>
      </c>
      <c r="B8" s="97" t="s">
        <v>41</v>
      </c>
      <c r="C8" s="27">
        <v>51.7</v>
      </c>
      <c r="D8" s="27">
        <v>0.572017</v>
      </c>
      <c r="E8" s="59"/>
      <c r="F8" s="29" cm="1">
        <f t="array" ref="F8">_xlfn.IFS(C8=":",":",C8&gt;=P$19,1,C8&gt;=P$20,2,C8&lt;P$20,3)</f>
        <v>2</v>
      </c>
      <c r="G8" s="43" t="s">
        <v>3032</v>
      </c>
      <c r="H8" s="43"/>
      <c r="I8" s="26"/>
      <c r="J8" s="32"/>
      <c r="Y8" s="26"/>
    </row>
    <row r="9" spans="1:25" ht="12" customHeight="1">
      <c r="A9" s="96" t="s">
        <v>42</v>
      </c>
      <c r="B9" s="97" t="s">
        <v>43</v>
      </c>
      <c r="C9" s="27">
        <v>52.5</v>
      </c>
      <c r="D9" s="27">
        <v>1.350069</v>
      </c>
      <c r="E9" s="59"/>
      <c r="F9" s="29" cm="1">
        <f t="array" ref="F9">_xlfn.IFS(C9=":",":",C9&gt;=P$19,1,C9&gt;=P$20,2,C9&lt;P$20,3)</f>
        <v>2</v>
      </c>
      <c r="G9" s="43" t="s">
        <v>3032</v>
      </c>
      <c r="H9" s="43"/>
      <c r="I9" s="26"/>
      <c r="J9" s="33"/>
      <c r="Y9" s="26"/>
    </row>
    <row r="10" spans="1:25" ht="12" customHeight="1">
      <c r="A10" s="96" t="s">
        <v>44</v>
      </c>
      <c r="B10" s="97" t="s">
        <v>45</v>
      </c>
      <c r="C10" s="27">
        <v>53.7</v>
      </c>
      <c r="D10" s="27">
        <v>2.724437</v>
      </c>
      <c r="E10" s="59"/>
      <c r="F10" s="29" cm="1">
        <f t="array" ref="F10">_xlfn.IFS(C10=":",":",C10&gt;=P$19,1,C10&gt;=P$20,2,C10&lt;P$20,3)</f>
        <v>2</v>
      </c>
      <c r="G10" s="43" t="s">
        <v>3032</v>
      </c>
      <c r="H10" s="43"/>
      <c r="I10" s="26"/>
      <c r="Y10" s="26"/>
    </row>
    <row r="11" spans="1:25" ht="12" customHeight="1">
      <c r="A11" s="96" t="s">
        <v>46</v>
      </c>
      <c r="B11" s="97" t="s">
        <v>47</v>
      </c>
      <c r="C11" s="27">
        <v>59.5</v>
      </c>
      <c r="D11" s="27">
        <v>3.0371519999999999</v>
      </c>
      <c r="E11" s="59"/>
      <c r="F11" s="29" cm="1">
        <f t="array" ref="F11">_xlfn.IFS(C11=":",":",C11&gt;=P$19,1,C11&gt;=P$20,2,C11&lt;P$20,3)</f>
        <v>2</v>
      </c>
      <c r="G11" s="43" t="s">
        <v>3032</v>
      </c>
      <c r="H11" s="43"/>
      <c r="I11" s="26"/>
      <c r="Y11" s="26"/>
    </row>
    <row r="12" spans="1:25" ht="12" customHeight="1">
      <c r="A12" s="96" t="s">
        <v>48</v>
      </c>
      <c r="B12" s="97" t="s">
        <v>49</v>
      </c>
      <c r="C12" s="27">
        <v>65.400000000000006</v>
      </c>
      <c r="D12" s="27">
        <v>1.549331</v>
      </c>
      <c r="E12" s="59"/>
      <c r="F12" s="29" cm="1">
        <f t="array" ref="F12">_xlfn.IFS(C12=":",":",C12&gt;=P$19,1,C12&gt;=P$20,2,C12&lt;P$20,3)</f>
        <v>1</v>
      </c>
      <c r="G12" s="43" t="s">
        <v>3032</v>
      </c>
      <c r="H12" s="43"/>
      <c r="I12" s="26"/>
      <c r="Y12" s="26"/>
    </row>
    <row r="13" spans="1:25" ht="12" customHeight="1">
      <c r="A13" s="96" t="s">
        <v>665</v>
      </c>
      <c r="B13" s="97" t="s">
        <v>666</v>
      </c>
      <c r="C13" s="27">
        <v>85.7</v>
      </c>
      <c r="D13" s="27">
        <v>7.5508000000000006E-2</v>
      </c>
      <c r="F13" s="29" cm="1">
        <f t="array" ref="F13">_xlfn.IFS(C13=":",":",C13&gt;=P$19,1,C13&gt;=P$20,2,C13&lt;P$20,3)</f>
        <v>1</v>
      </c>
      <c r="G13" s="30"/>
      <c r="H13" s="43"/>
      <c r="I13" s="26"/>
      <c r="Y13" s="26"/>
    </row>
    <row r="14" spans="1:25" ht="12" customHeight="1">
      <c r="A14" s="96" t="s">
        <v>667</v>
      </c>
      <c r="B14" s="97" t="s">
        <v>668</v>
      </c>
      <c r="C14" s="27">
        <v>93.8</v>
      </c>
      <c r="D14" s="27">
        <v>0.10789799999999999</v>
      </c>
      <c r="F14" s="29" cm="1">
        <f t="array" ref="F14">_xlfn.IFS(C14=":",":",C14&gt;=P$19,1,C14&gt;=P$20,2,C14&lt;P$20,3)</f>
        <v>1</v>
      </c>
      <c r="G14" s="30"/>
      <c r="H14" s="43"/>
      <c r="I14" s="26"/>
      <c r="N14" s="30" t="s">
        <v>3040</v>
      </c>
      <c r="O14" s="93">
        <v>2</v>
      </c>
      <c r="P14" s="34"/>
      <c r="Q14" s="34"/>
      <c r="Y14" s="26"/>
    </row>
    <row r="15" spans="1:25" ht="12" customHeight="1">
      <c r="A15" s="96" t="s">
        <v>669</v>
      </c>
      <c r="B15" s="97" t="s">
        <v>670</v>
      </c>
      <c r="C15" s="27">
        <v>87.5</v>
      </c>
      <c r="D15" s="27">
        <v>0.13437399999999999</v>
      </c>
      <c r="F15" s="29" cm="1">
        <f t="array" ref="F15">_xlfn.IFS(C15=":",":",C15&gt;=P$19,1,C15&gt;=P$20,2,C15&lt;P$20,3)</f>
        <v>1</v>
      </c>
      <c r="G15" s="30"/>
      <c r="H15" s="43"/>
      <c r="I15" s="26"/>
      <c r="N15" s="30" t="s">
        <v>3041</v>
      </c>
      <c r="O15" s="93" cm="1">
        <f t="array" ref="O15">ROW(A1) + MIN(IF(A:A={"SE3","SE33","SE332"}, ROW(C:C))) - 1</f>
        <v>1133</v>
      </c>
      <c r="P15" s="34"/>
      <c r="Q15" s="34"/>
      <c r="Y15" s="26"/>
    </row>
    <row r="16" spans="1:25" ht="12.75">
      <c r="A16" s="96" t="s">
        <v>671</v>
      </c>
      <c r="B16" s="97" t="s">
        <v>672</v>
      </c>
      <c r="C16" s="27">
        <v>73.900000000000006</v>
      </c>
      <c r="D16" s="27">
        <v>0.13722100000000001</v>
      </c>
      <c r="F16" s="29" cm="1">
        <f t="array" ref="F16">_xlfn.IFS(C16=":",":",C16&gt;=P$19,1,C16&gt;=P$20,2,C16&lt;P$20,3)</f>
        <v>1</v>
      </c>
      <c r="G16" s="30"/>
      <c r="H16" s="43"/>
      <c r="I16" s="26"/>
      <c r="J16" s="33" t="s">
        <v>3042</v>
      </c>
      <c r="K16" s="37"/>
      <c r="L16" s="38"/>
      <c r="M16" s="89" t="s">
        <v>3002</v>
      </c>
      <c r="O16" s="34"/>
      <c r="P16" s="34"/>
      <c r="Q16" s="34"/>
      <c r="Y16" s="26"/>
    </row>
    <row r="17" spans="1:25" ht="12" customHeight="1">
      <c r="A17" s="96" t="s">
        <v>673</v>
      </c>
      <c r="B17" s="97" t="s">
        <v>674</v>
      </c>
      <c r="C17" s="27">
        <v>94.2</v>
      </c>
      <c r="D17" s="27">
        <v>0.29576400000000003</v>
      </c>
      <c r="F17" s="29" cm="1">
        <f t="array" ref="F17">_xlfn.IFS(C17=":",":",C17&gt;=P$19,1,C17&gt;=P$20,2,C17&lt;P$20,3)</f>
        <v>1</v>
      </c>
      <c r="G17" s="30"/>
      <c r="H17" s="43"/>
      <c r="I17" s="26"/>
      <c r="J17" s="31"/>
      <c r="K17" s="37"/>
      <c r="L17" s="37"/>
      <c r="M17" s="31"/>
      <c r="O17" s="30"/>
      <c r="Q17" s="34"/>
      <c r="Y17" s="26"/>
    </row>
    <row r="18" spans="1:25" ht="12.75">
      <c r="A18" s="96" t="s">
        <v>675</v>
      </c>
      <c r="B18" s="97" t="s">
        <v>676</v>
      </c>
      <c r="C18" s="27">
        <v>77.599999999999994</v>
      </c>
      <c r="D18" s="27">
        <v>0.35202600000000001</v>
      </c>
      <c r="F18" s="29" cm="1">
        <f t="array" ref="F18">_xlfn.IFS(C18=":",":",C18&gt;=P$19,1,C18&gt;=P$20,2,C18&lt;P$20,3)</f>
        <v>1</v>
      </c>
      <c r="G18" s="30"/>
      <c r="H18" s="43"/>
      <c r="I18" s="41" t="s">
        <v>544</v>
      </c>
      <c r="J18" s="43" t="s">
        <v>3035</v>
      </c>
      <c r="K18" s="45">
        <v>1</v>
      </c>
      <c r="L18" s="5" t="s">
        <v>3010</v>
      </c>
      <c r="M18" s="9"/>
      <c r="N18" s="87">
        <f ca="1">PERCENTILE(INDIRECT("C" &amp; O14 &amp; ":C" &amp; O15), 1)</f>
        <v>99.2</v>
      </c>
      <c r="O18" s="30" t="s">
        <v>2809</v>
      </c>
      <c r="P18" s="5" t="s">
        <v>3034</v>
      </c>
      <c r="Q18" s="34"/>
      <c r="R18" s="30" t="s">
        <v>3038</v>
      </c>
      <c r="S18" s="87"/>
      <c r="T18" s="5" t="s">
        <v>3039</v>
      </c>
      <c r="V18" s="40"/>
      <c r="Y18" s="26"/>
    </row>
    <row r="19" spans="1:25" ht="12.75">
      <c r="A19" s="96" t="s">
        <v>677</v>
      </c>
      <c r="B19" s="97" t="s">
        <v>678</v>
      </c>
      <c r="C19" s="27">
        <v>92.8</v>
      </c>
      <c r="D19" s="27">
        <v>0.19647999999999999</v>
      </c>
      <c r="F19" s="29" cm="1">
        <f t="array" ref="F19">_xlfn.IFS(C19=":",":",C19&gt;=P$19,1,C19&gt;=P$20,2,C19&lt;P$20,3)</f>
        <v>1</v>
      </c>
      <c r="G19" s="30"/>
      <c r="H19" s="43"/>
      <c r="J19" s="43" t="s">
        <v>3036</v>
      </c>
      <c r="K19" s="42">
        <v>2</v>
      </c>
      <c r="L19" s="5" t="s">
        <v>3004</v>
      </c>
      <c r="M19" s="46"/>
      <c r="N19" s="87">
        <f ca="1">PERCENTILE(INDIRECT("C" &amp; O14 &amp; ":C" &amp; O15), 0.66)</f>
        <v>84.6</v>
      </c>
      <c r="O19" s="47" t="s">
        <v>2998</v>
      </c>
      <c r="P19" s="40">
        <v>65</v>
      </c>
      <c r="Q19" s="88"/>
      <c r="R19" s="36">
        <v>50</v>
      </c>
      <c r="S19" s="87">
        <f ca="1">PERCENTILE(INDIRECT("D" &amp; O14 &amp; ":D" &amp; O15), 1)</f>
        <v>55.265586999999996</v>
      </c>
      <c r="T19" s="43" t="s">
        <v>2809</v>
      </c>
      <c r="V19" s="40"/>
      <c r="Y19" s="26"/>
    </row>
    <row r="20" spans="1:25" ht="12.75">
      <c r="A20" s="96" t="s">
        <v>679</v>
      </c>
      <c r="B20" s="97" t="s">
        <v>680</v>
      </c>
      <c r="C20" s="27">
        <v>74.099999999999994</v>
      </c>
      <c r="D20" s="27">
        <v>0.173093</v>
      </c>
      <c r="F20" s="29" cm="1">
        <f t="array" ref="F20">_xlfn.IFS(C20=":",":",C20&gt;=P$19,1,C20&gt;=P$20,2,C20&lt;P$20,3)</f>
        <v>1</v>
      </c>
      <c r="G20" s="30"/>
      <c r="H20" s="43"/>
      <c r="J20" s="43" t="s">
        <v>3037</v>
      </c>
      <c r="K20" s="91">
        <v>3</v>
      </c>
      <c r="L20" s="5" t="s">
        <v>3005</v>
      </c>
      <c r="M20" s="46"/>
      <c r="N20" s="87">
        <f ca="1">PERCENTILE(INDIRECT("C" &amp; O14 &amp; ":C" &amp; O15), 0.5)</f>
        <v>78.900000000000006</v>
      </c>
      <c r="O20" s="47" t="s">
        <v>2812</v>
      </c>
      <c r="P20" s="40">
        <v>35.1</v>
      </c>
      <c r="Q20" s="88"/>
      <c r="R20" s="36">
        <f ca="1">ROUND(S20*2, 0)/2</f>
        <v>2.5</v>
      </c>
      <c r="S20" s="87">
        <f ca="1">PERCENTILE(INDIRECT("D" &amp; O14 &amp; ":D" &amp; O15), 0.75)</f>
        <v>2.626541</v>
      </c>
      <c r="T20" s="92" t="s">
        <v>2811</v>
      </c>
      <c r="V20" s="40"/>
      <c r="Y20" s="26"/>
    </row>
    <row r="21" spans="1:25" ht="12.75">
      <c r="A21" s="96" t="s">
        <v>681</v>
      </c>
      <c r="B21" s="97" t="s">
        <v>682</v>
      </c>
      <c r="C21" s="27">
        <v>84.6</v>
      </c>
      <c r="D21" s="27">
        <v>4.9452999999999997E-2</v>
      </c>
      <c r="F21" s="29" cm="1">
        <f t="array" ref="F21">_xlfn.IFS(C21=":",":",C21&gt;=P$19,1,C21&gt;=P$20,2,C21&lt;P$20,3)</f>
        <v>1</v>
      </c>
      <c r="G21" s="30"/>
      <c r="H21" s="43"/>
      <c r="J21" s="90" t="s">
        <v>545</v>
      </c>
      <c r="K21" s="117" t="s">
        <v>546</v>
      </c>
      <c r="L21" s="5" t="s">
        <v>3134</v>
      </c>
      <c r="M21" s="46"/>
      <c r="N21" s="87">
        <f ca="1">PERCENTILE(INDIRECT("C" &amp; O14 &amp; ":C" &amp; O15), 0.33)</f>
        <v>70</v>
      </c>
      <c r="O21" s="47" t="s">
        <v>2999</v>
      </c>
      <c r="P21" s="34"/>
      <c r="Q21" s="88"/>
      <c r="R21" s="36">
        <f ca="1">ROUND(S21*2, 0)/2</f>
        <v>0.5</v>
      </c>
      <c r="S21" s="87">
        <f ca="1">PERCENTILE(INDIRECT("D" &amp; O14 &amp; ":D" &amp; O15), 0.25)</f>
        <v>0.387297</v>
      </c>
      <c r="T21" s="92" t="s">
        <v>2813</v>
      </c>
      <c r="Y21" s="26"/>
    </row>
    <row r="22" spans="1:25" ht="12.75">
      <c r="A22" s="96" t="s">
        <v>683</v>
      </c>
      <c r="B22" s="97" t="s">
        <v>684</v>
      </c>
      <c r="C22" s="27">
        <v>83.4</v>
      </c>
      <c r="D22" s="27">
        <v>4.0427999999999999E-2</v>
      </c>
      <c r="F22" s="29" cm="1">
        <f t="array" ref="F22">_xlfn.IFS(C22=":",":",C22&gt;=P$19,1,C22&gt;=P$20,2,C22&lt;P$20,3)</f>
        <v>1</v>
      </c>
      <c r="G22" s="30"/>
      <c r="H22" s="43"/>
      <c r="I22" s="26"/>
      <c r="J22" s="43"/>
      <c r="M22" s="46"/>
      <c r="N22" s="87">
        <f ca="1">PERCENTILE(INDIRECT("C" &amp; O14 &amp; ":C" &amp; O15), 0)</f>
        <v>3.5</v>
      </c>
      <c r="O22" s="30" t="s">
        <v>2815</v>
      </c>
      <c r="P22" s="34"/>
      <c r="Q22" s="34"/>
      <c r="S22" s="87">
        <f ca="1">PERCENTILE(INDIRECT("D" &amp; O14 &amp; ":D" &amp; O15), 0)</f>
        <v>6.0410000000000004E-3</v>
      </c>
      <c r="T22" s="43" t="s">
        <v>2815</v>
      </c>
      <c r="Y22" s="26"/>
    </row>
    <row r="23" spans="1:25" ht="12" customHeight="1">
      <c r="A23" s="96" t="s">
        <v>685</v>
      </c>
      <c r="B23" s="97" t="s">
        <v>686</v>
      </c>
      <c r="C23" s="27">
        <v>21.8</v>
      </c>
      <c r="D23" s="27">
        <v>4.7527860000000004</v>
      </c>
      <c r="F23" s="29" cm="1">
        <f t="array" ref="F23">_xlfn.IFS(C23=":",":",C23&gt;=P$19,1,C23&gt;=P$20,2,C23&lt;P$20,3)</f>
        <v>3</v>
      </c>
      <c r="G23" s="30"/>
      <c r="H23" s="43"/>
      <c r="I23" s="26"/>
      <c r="M23" s="9"/>
      <c r="N23" s="87"/>
      <c r="O23" s="34"/>
      <c r="P23" s="34"/>
      <c r="Q23" s="34"/>
      <c r="S23" s="87"/>
      <c r="T23" s="43"/>
      <c r="Y23" s="26"/>
    </row>
    <row r="24" spans="1:25" ht="12" customHeight="1">
      <c r="A24" s="96" t="s">
        <v>687</v>
      </c>
      <c r="B24" s="97" t="s">
        <v>688</v>
      </c>
      <c r="C24" s="27">
        <v>31.2</v>
      </c>
      <c r="D24" s="27">
        <v>1.749331</v>
      </c>
      <c r="F24" s="29" cm="1">
        <f t="array" ref="F24">_xlfn.IFS(C24=":",":",C24&gt;=P$19,1,C24&gt;=P$20,2,C24&lt;P$20,3)</f>
        <v>3</v>
      </c>
      <c r="G24" s="30"/>
      <c r="H24" s="43"/>
      <c r="I24" s="26"/>
      <c r="N24" s="87"/>
      <c r="O24" s="34"/>
      <c r="P24" s="34"/>
      <c r="Q24" s="34"/>
      <c r="Y24" s="26"/>
    </row>
    <row r="25" spans="1:25" ht="12" customHeight="1">
      <c r="A25" s="96" t="s">
        <v>689</v>
      </c>
      <c r="B25" s="97" t="s">
        <v>690</v>
      </c>
      <c r="C25" s="27">
        <v>85.8</v>
      </c>
      <c r="D25" s="27">
        <v>8.4000000000000005E-2</v>
      </c>
      <c r="F25" s="29" cm="1">
        <f t="array" ref="F25">_xlfn.IFS(C25=":",":",C25&gt;=P$19,1,C25&gt;=P$20,2,C25&lt;P$20,3)</f>
        <v>1</v>
      </c>
      <c r="G25" s="30"/>
      <c r="H25" s="43"/>
      <c r="I25" s="26"/>
      <c r="J25" s="49"/>
      <c r="Y25" s="26"/>
    </row>
    <row r="26" spans="1:25" ht="12" customHeight="1">
      <c r="A26" s="96" t="s">
        <v>691</v>
      </c>
      <c r="B26" s="97" t="s">
        <v>692</v>
      </c>
      <c r="C26" s="27">
        <v>81.7</v>
      </c>
      <c r="D26" s="27">
        <v>3.653E-2</v>
      </c>
      <c r="F26" s="29" cm="1">
        <f t="array" ref="F26">_xlfn.IFS(C26=":",":",C26&gt;=P$19,1,C26&gt;=P$20,2,C26&lt;P$20,3)</f>
        <v>1</v>
      </c>
      <c r="G26" s="30"/>
      <c r="H26" s="43"/>
      <c r="Y26" s="26"/>
    </row>
    <row r="27" spans="1:25" ht="12" customHeight="1">
      <c r="A27" s="96" t="s">
        <v>693</v>
      </c>
      <c r="B27" s="97" t="s">
        <v>694</v>
      </c>
      <c r="C27" s="27">
        <v>31.3</v>
      </c>
      <c r="D27" s="27">
        <v>9.9050890000000003</v>
      </c>
      <c r="F27" s="29" cm="1">
        <f t="array" ref="F27">_xlfn.IFS(C27=":",":",C27&gt;=P$19,1,C27&gt;=P$20,2,C27&lt;P$20,3)</f>
        <v>3</v>
      </c>
      <c r="G27" s="30"/>
      <c r="H27" s="43"/>
      <c r="Y27" s="26"/>
    </row>
    <row r="28" spans="1:25" ht="12" customHeight="1">
      <c r="A28" s="96" t="s">
        <v>695</v>
      </c>
      <c r="B28" s="97" t="s">
        <v>696</v>
      </c>
      <c r="C28" s="27">
        <v>72.900000000000006</v>
      </c>
      <c r="D28" s="27">
        <v>9.5276E-2</v>
      </c>
      <c r="F28" s="29" cm="1">
        <f t="array" ref="F28">_xlfn.IFS(C28=":",":",C28&gt;=P$19,1,C28&gt;=P$20,2,C28&lt;P$20,3)</f>
        <v>1</v>
      </c>
      <c r="G28" s="30"/>
      <c r="H28" s="43"/>
      <c r="Y28" s="26"/>
    </row>
    <row r="29" spans="1:25" ht="12" customHeight="1">
      <c r="A29" s="96" t="s">
        <v>697</v>
      </c>
      <c r="B29" s="97" t="s">
        <v>698</v>
      </c>
      <c r="C29" s="27">
        <v>83.4</v>
      </c>
      <c r="D29" s="27">
        <v>4.1262E-2</v>
      </c>
      <c r="F29" s="29" cm="1">
        <f t="array" ref="F29">_xlfn.IFS(C29=":",":",C29&gt;=P$19,1,C29&gt;=P$20,2,C29&lt;P$20,3)</f>
        <v>1</v>
      </c>
      <c r="G29" s="30"/>
      <c r="H29" s="43"/>
      <c r="Y29" s="26"/>
    </row>
    <row r="30" spans="1:25" ht="12" customHeight="1">
      <c r="A30" s="96" t="s">
        <v>699</v>
      </c>
      <c r="B30" s="97" t="s">
        <v>700</v>
      </c>
      <c r="C30" s="27">
        <v>89.3</v>
      </c>
      <c r="D30" s="27">
        <v>0.65708699999999998</v>
      </c>
      <c r="F30" s="29" cm="1">
        <f t="array" ref="F30">_xlfn.IFS(C30=":",":",C30&gt;=P$19,1,C30&gt;=P$20,2,C30&lt;P$20,3)</f>
        <v>1</v>
      </c>
      <c r="G30" s="30"/>
      <c r="H30" s="43"/>
      <c r="Y30" s="26"/>
    </row>
    <row r="31" spans="1:25" ht="12" customHeight="1">
      <c r="A31" s="96" t="s">
        <v>701</v>
      </c>
      <c r="B31" s="97" t="s">
        <v>702</v>
      </c>
      <c r="C31" s="27">
        <v>33.9</v>
      </c>
      <c r="D31" s="27">
        <v>2.2679019999999999</v>
      </c>
      <c r="E31" s="24"/>
      <c r="F31" s="29" cm="1">
        <f t="array" ref="F31">_xlfn.IFS(C31=":",":",C31&gt;=P$19,1,C31&gt;=P$20,2,C31&lt;P$20,3)</f>
        <v>3</v>
      </c>
      <c r="G31" s="30"/>
      <c r="H31" s="43"/>
      <c r="Y31" s="26"/>
    </row>
    <row r="32" spans="1:25" ht="12" customHeight="1">
      <c r="A32" s="96" t="s">
        <v>703</v>
      </c>
      <c r="B32" s="97" t="s">
        <v>704</v>
      </c>
      <c r="C32" s="27">
        <v>64.7</v>
      </c>
      <c r="D32" s="27">
        <v>0.70717300000000005</v>
      </c>
      <c r="F32" s="29" cm="1">
        <f t="array" ref="F32">_xlfn.IFS(C32=":",":",C32&gt;=P$19,1,C32&gt;=P$20,2,C32&lt;P$20,3)</f>
        <v>2</v>
      </c>
      <c r="G32" s="30"/>
      <c r="H32" s="43"/>
      <c r="Y32" s="26"/>
    </row>
    <row r="33" spans="1:25" ht="12" customHeight="1">
      <c r="A33" s="96" t="s">
        <v>705</v>
      </c>
      <c r="B33" s="97" t="s">
        <v>706</v>
      </c>
      <c r="C33" s="27">
        <v>65.3</v>
      </c>
      <c r="D33" s="27">
        <v>1.786125</v>
      </c>
      <c r="F33" s="29" cm="1">
        <f t="array" ref="F33">_xlfn.IFS(C33=":",":",C33&gt;=P$19,1,C33&gt;=P$20,2,C33&lt;P$20,3)</f>
        <v>1</v>
      </c>
      <c r="G33" s="30"/>
      <c r="H33" s="43"/>
      <c r="Y33" s="26"/>
    </row>
    <row r="34" spans="1:25" ht="12" customHeight="1">
      <c r="A34" s="96" t="s">
        <v>707</v>
      </c>
      <c r="B34" s="97" t="s">
        <v>708</v>
      </c>
      <c r="C34" s="27">
        <v>78.900000000000006</v>
      </c>
      <c r="D34" s="27">
        <v>3.8498999999999999E-2</v>
      </c>
      <c r="F34" s="29" cm="1">
        <f t="array" ref="F34">_xlfn.IFS(C34=":",":",C34&gt;=P$19,1,C34&gt;=P$20,2,C34&lt;P$20,3)</f>
        <v>1</v>
      </c>
      <c r="G34" s="30"/>
      <c r="H34" s="43"/>
      <c r="I34" s="31" t="s">
        <v>547</v>
      </c>
      <c r="J34" s="31"/>
      <c r="Y34" s="26"/>
    </row>
    <row r="35" spans="1:25" ht="12" customHeight="1">
      <c r="A35" s="96" t="s">
        <v>709</v>
      </c>
      <c r="B35" s="97" t="s">
        <v>710</v>
      </c>
      <c r="C35" s="27">
        <v>91.1</v>
      </c>
      <c r="D35" s="27">
        <v>0.241171</v>
      </c>
      <c r="F35" s="29" cm="1">
        <f t="array" ref="F35">_xlfn.IFS(C35=":",":",C35&gt;=P$19,1,C35&gt;=P$20,2,C35&lt;P$20,3)</f>
        <v>1</v>
      </c>
      <c r="G35" s="30"/>
      <c r="H35" s="43"/>
      <c r="I35" s="51"/>
      <c r="J35" s="5" t="s">
        <v>3228</v>
      </c>
      <c r="Y35" s="26"/>
    </row>
    <row r="36" spans="1:25" ht="12" customHeight="1">
      <c r="A36" s="96" t="s">
        <v>711</v>
      </c>
      <c r="B36" s="97" t="s">
        <v>712</v>
      </c>
      <c r="C36" s="27">
        <v>78.7</v>
      </c>
      <c r="D36" s="27">
        <v>1.4148510000000001</v>
      </c>
      <c r="F36" s="29" cm="1">
        <f t="array" ref="F36">_xlfn.IFS(C36=":",":",C36&gt;=P$19,1,C36&gt;=P$20,2,C36&lt;P$20,3)</f>
        <v>1</v>
      </c>
      <c r="G36" s="30"/>
      <c r="H36" s="43"/>
      <c r="I36" s="51"/>
      <c r="J36" s="52"/>
      <c r="N36" s="9"/>
      <c r="Y36" s="26"/>
    </row>
    <row r="37" spans="1:25" ht="12" customHeight="1">
      <c r="A37" s="96" t="s">
        <v>713</v>
      </c>
      <c r="B37" s="97" t="s">
        <v>714</v>
      </c>
      <c r="C37" s="27">
        <v>69.5</v>
      </c>
      <c r="D37" s="27">
        <v>0.257193</v>
      </c>
      <c r="F37" s="29" cm="1">
        <f t="array" ref="F37">_xlfn.IFS(C37=":",":",C37&gt;=P$19,1,C37&gt;=P$20,2,C37&lt;P$20,3)</f>
        <v>1</v>
      </c>
      <c r="G37" s="30"/>
      <c r="H37" s="43"/>
      <c r="I37" s="26"/>
      <c r="J37" s="52"/>
      <c r="Y37" s="26"/>
    </row>
    <row r="38" spans="1:25" ht="12" customHeight="1">
      <c r="A38" s="96" t="s">
        <v>715</v>
      </c>
      <c r="B38" s="97" t="s">
        <v>716</v>
      </c>
      <c r="C38" s="27">
        <v>94.2</v>
      </c>
      <c r="D38" s="27">
        <v>1.1009599999999999</v>
      </c>
      <c r="F38" s="29" cm="1">
        <f t="array" ref="F38">_xlfn.IFS(C38=":",":",C38&gt;=P$19,1,C38&gt;=P$20,2,C38&lt;P$20,3)</f>
        <v>1</v>
      </c>
      <c r="G38" s="30"/>
      <c r="H38" s="43"/>
      <c r="I38" s="41" t="s">
        <v>548</v>
      </c>
      <c r="K38" s="52"/>
      <c r="L38" s="52"/>
      <c r="M38" s="52"/>
      <c r="Y38" s="26"/>
    </row>
    <row r="39" spans="1:25" ht="12" customHeight="1">
      <c r="A39" s="96" t="s">
        <v>717</v>
      </c>
      <c r="B39" s="97" t="s">
        <v>718</v>
      </c>
      <c r="C39" s="27">
        <v>86.5</v>
      </c>
      <c r="D39" s="27">
        <v>0.82637300000000002</v>
      </c>
      <c r="F39" s="29" cm="1">
        <f t="array" ref="F39">_xlfn.IFS(C39=":",":",C39&gt;=P$19,1,C39&gt;=P$20,2,C39&lt;P$20,3)</f>
        <v>1</v>
      </c>
      <c r="G39" s="30"/>
      <c r="H39" s="43"/>
      <c r="I39" s="26"/>
      <c r="J39" s="53" t="s">
        <v>3031</v>
      </c>
      <c r="K39" s="52"/>
      <c r="L39" s="52"/>
      <c r="M39" s="52"/>
      <c r="Y39" s="26"/>
    </row>
    <row r="40" spans="1:25" ht="12" customHeight="1">
      <c r="A40" s="96" t="s">
        <v>719</v>
      </c>
      <c r="B40" s="97" t="s">
        <v>720</v>
      </c>
      <c r="C40" s="27">
        <v>88.6</v>
      </c>
      <c r="D40" s="27">
        <v>0.122348</v>
      </c>
      <c r="F40" s="29" cm="1">
        <f t="array" ref="F40">_xlfn.IFS(C40=":",":",C40&gt;=P$19,1,C40&gt;=P$20,2,C40&lt;P$20,3)</f>
        <v>1</v>
      </c>
      <c r="G40" s="30"/>
      <c r="H40" s="43"/>
      <c r="I40" s="26"/>
      <c r="K40" s="52"/>
      <c r="L40" s="52"/>
      <c r="M40" s="52"/>
      <c r="S40" s="31"/>
      <c r="Y40" s="26"/>
    </row>
    <row r="41" spans="1:25" ht="12" customHeight="1">
      <c r="A41" s="96" t="s">
        <v>721</v>
      </c>
      <c r="B41" s="97" t="s">
        <v>2856</v>
      </c>
      <c r="C41" s="27">
        <v>14.3</v>
      </c>
      <c r="D41" s="27">
        <v>18.279256</v>
      </c>
      <c r="F41" s="29" cm="1">
        <f t="array" ref="F41">_xlfn.IFS(C41=":",":",C41&gt;=P$19,1,C41&gt;=P$20,2,C41&lt;P$20,3)</f>
        <v>3</v>
      </c>
      <c r="G41" s="30"/>
      <c r="H41" s="43"/>
      <c r="I41" s="54" t="s">
        <v>0</v>
      </c>
      <c r="J41" s="13"/>
      <c r="S41" s="58"/>
      <c r="T41" s="34"/>
      <c r="U41" s="34"/>
      <c r="V41" s="34"/>
      <c r="W41" s="34"/>
      <c r="X41" s="34"/>
      <c r="Y41" s="26"/>
    </row>
    <row r="42" spans="1:25" ht="12" customHeight="1">
      <c r="A42" s="96" t="s">
        <v>722</v>
      </c>
      <c r="B42" s="97" t="s">
        <v>2857</v>
      </c>
      <c r="C42" s="27">
        <v>78.900000000000006</v>
      </c>
      <c r="D42" s="27">
        <v>3.1012089999999999</v>
      </c>
      <c r="F42" s="29" cm="1">
        <f t="array" ref="F42">_xlfn.IFS(C42=":",":",C42&gt;=P$19,1,C42&gt;=P$20,2,C42&lt;P$20,3)</f>
        <v>1</v>
      </c>
      <c r="G42" s="30"/>
      <c r="H42" s="43"/>
      <c r="I42" s="13" t="s">
        <v>2818</v>
      </c>
      <c r="J42" s="118" t="s">
        <v>3138</v>
      </c>
      <c r="L42" s="55"/>
      <c r="M42" s="55"/>
      <c r="Y42" s="26"/>
    </row>
    <row r="43" spans="1:25" ht="12" customHeight="1">
      <c r="A43" s="96" t="s">
        <v>723</v>
      </c>
      <c r="B43" s="97" t="s">
        <v>2858</v>
      </c>
      <c r="C43" s="27">
        <v>77.900000000000006</v>
      </c>
      <c r="D43" s="27">
        <v>4.6078539999999997</v>
      </c>
      <c r="F43" s="29" cm="1">
        <f t="array" ref="F43">_xlfn.IFS(C43=":",":",C43&gt;=P$19,1,C43&gt;=P$20,2,C43&lt;P$20,3)</f>
        <v>1</v>
      </c>
      <c r="G43" s="30"/>
      <c r="H43" s="43"/>
      <c r="I43" s="13" t="s">
        <v>3192</v>
      </c>
      <c r="J43" s="116" t="s">
        <v>3193</v>
      </c>
      <c r="L43" s="56"/>
      <c r="M43" s="56"/>
      <c r="Y43" s="26"/>
    </row>
    <row r="44" spans="1:25" ht="12" customHeight="1">
      <c r="A44" s="96" t="s">
        <v>724</v>
      </c>
      <c r="B44" s="97" t="s">
        <v>2859</v>
      </c>
      <c r="C44" s="27">
        <v>69.400000000000006</v>
      </c>
      <c r="D44" s="27">
        <v>2.1527889999999998</v>
      </c>
      <c r="F44" s="29" cm="1">
        <f t="array" ref="F44">_xlfn.IFS(C44=":",":",C44&gt;=P$19,1,C44&gt;=P$20,2,C44&lt;P$20,3)</f>
        <v>1</v>
      </c>
      <c r="G44" s="30"/>
      <c r="H44" s="43"/>
      <c r="J44" s="31"/>
      <c r="L44" s="56"/>
      <c r="M44" s="56"/>
      <c r="Y44" s="26"/>
    </row>
    <row r="45" spans="1:25" ht="12" customHeight="1">
      <c r="A45" s="96" t="s">
        <v>725</v>
      </c>
      <c r="B45" s="97" t="s">
        <v>726</v>
      </c>
      <c r="C45" s="27">
        <v>44.7</v>
      </c>
      <c r="D45" s="27">
        <v>5.2020980000000003</v>
      </c>
      <c r="F45" s="29" cm="1">
        <f t="array" ref="F45">_xlfn.IFS(C45=":",":",C45&gt;=P$19,1,C45&gt;=P$20,2,C45&lt;P$20,3)</f>
        <v>2</v>
      </c>
      <c r="G45" s="30"/>
      <c r="H45" s="43"/>
      <c r="Y45" s="26"/>
    </row>
    <row r="46" spans="1:25" ht="12" customHeight="1">
      <c r="A46" s="96" t="s">
        <v>727</v>
      </c>
      <c r="B46" s="98" t="s">
        <v>728</v>
      </c>
      <c r="C46" s="27">
        <v>68.900000000000006</v>
      </c>
      <c r="D46" s="27">
        <v>1.6078950000000001</v>
      </c>
      <c r="F46" s="29" cm="1">
        <f t="array" ref="F46">_xlfn.IFS(C46=":",":",C46&gt;=P$19,1,C46&gt;=P$20,2,C46&lt;P$20,3)</f>
        <v>1</v>
      </c>
      <c r="G46" s="30"/>
      <c r="H46" s="43"/>
      <c r="Y46" s="26"/>
    </row>
    <row r="47" spans="1:25" ht="12" customHeight="1">
      <c r="A47" s="96" t="s">
        <v>729</v>
      </c>
      <c r="B47" s="98" t="s">
        <v>730</v>
      </c>
      <c r="C47" s="27">
        <v>83.3</v>
      </c>
      <c r="D47" s="27">
        <v>3.3184809999999998</v>
      </c>
      <c r="F47" s="29" cm="1">
        <f t="array" ref="F47">_xlfn.IFS(C47=":",":",C47&gt;=P$19,1,C47&gt;=P$20,2,C47&lt;P$20,3)</f>
        <v>1</v>
      </c>
      <c r="G47" s="30"/>
      <c r="H47" s="43"/>
      <c r="K47" s="56"/>
      <c r="L47" s="56"/>
      <c r="M47" s="56"/>
      <c r="Y47" s="26"/>
    </row>
    <row r="48" spans="1:25" ht="12" customHeight="1">
      <c r="A48" s="96" t="s">
        <v>731</v>
      </c>
      <c r="B48" s="98" t="s">
        <v>732</v>
      </c>
      <c r="C48" s="27">
        <v>79.2</v>
      </c>
      <c r="D48" s="27">
        <v>4.6084480000000001</v>
      </c>
      <c r="F48" s="29" cm="1">
        <f t="array" ref="F48">_xlfn.IFS(C48=":",":",C48&gt;=P$19,1,C48&gt;=P$20,2,C48&lt;P$20,3)</f>
        <v>1</v>
      </c>
      <c r="G48" s="30"/>
      <c r="H48" s="43"/>
      <c r="K48" s="56"/>
      <c r="L48" s="56"/>
      <c r="M48" s="56"/>
      <c r="Y48" s="26"/>
    </row>
    <row r="49" spans="1:25" ht="12" customHeight="1">
      <c r="A49" s="96" t="s">
        <v>733</v>
      </c>
      <c r="B49" s="98" t="s">
        <v>734</v>
      </c>
      <c r="C49" s="27">
        <v>88.8</v>
      </c>
      <c r="D49" s="27">
        <v>1.3591279999999999</v>
      </c>
      <c r="F49" s="29" cm="1">
        <f t="array" ref="F49">_xlfn.IFS(C49=":",":",C49&gt;=P$19,1,C49&gt;=P$20,2,C49&lt;P$20,3)</f>
        <v>1</v>
      </c>
      <c r="G49" s="30"/>
      <c r="H49" s="43"/>
      <c r="Y49" s="26"/>
    </row>
    <row r="50" spans="1:25" ht="12" customHeight="1">
      <c r="A50" s="96" t="s">
        <v>735</v>
      </c>
      <c r="B50" s="98" t="s">
        <v>2860</v>
      </c>
      <c r="C50" s="27">
        <v>87.5</v>
      </c>
      <c r="D50" s="27">
        <v>1.5994919999999999</v>
      </c>
      <c r="F50" s="29" cm="1">
        <f t="array" ref="F50">_xlfn.IFS(C50=":",":",C50&gt;=P$19,1,C50&gt;=P$20,2,C50&lt;P$20,3)</f>
        <v>1</v>
      </c>
      <c r="G50" s="30"/>
      <c r="H50" s="43"/>
      <c r="Y50" s="26"/>
    </row>
    <row r="51" spans="1:25" ht="12" customHeight="1">
      <c r="A51" s="96" t="s">
        <v>736</v>
      </c>
      <c r="B51" s="98" t="s">
        <v>737</v>
      </c>
      <c r="C51" s="27">
        <v>71.400000000000006</v>
      </c>
      <c r="D51" s="27">
        <v>4.2199939999999998</v>
      </c>
      <c r="F51" s="29" cm="1">
        <f t="array" ref="F51">_xlfn.IFS(C51=":",":",C51&gt;=P$19,1,C51&gt;=P$20,2,C51&lt;P$20,3)</f>
        <v>1</v>
      </c>
      <c r="G51" s="30"/>
      <c r="H51" s="43"/>
      <c r="I51" s="26"/>
      <c r="Y51" s="26"/>
    </row>
    <row r="52" spans="1:25" ht="12" customHeight="1">
      <c r="A52" s="96" t="s">
        <v>738</v>
      </c>
      <c r="B52" s="98" t="s">
        <v>739</v>
      </c>
      <c r="C52" s="27">
        <v>85.7</v>
      </c>
      <c r="D52" s="27">
        <v>2.203846</v>
      </c>
      <c r="F52" s="29" cm="1">
        <f t="array" ref="F52">_xlfn.IFS(C52=":",":",C52&gt;=P$19,1,C52&gt;=P$20,2,C52&lt;P$20,3)</f>
        <v>1</v>
      </c>
      <c r="G52" s="30"/>
      <c r="H52" s="43"/>
      <c r="I52" s="31" t="s">
        <v>3076</v>
      </c>
      <c r="Y52" s="26"/>
    </row>
    <row r="53" spans="1:25" ht="12" customHeight="1">
      <c r="A53" s="96" t="s">
        <v>740</v>
      </c>
      <c r="B53" s="98" t="s">
        <v>741</v>
      </c>
      <c r="C53" s="27">
        <v>89.1</v>
      </c>
      <c r="D53" s="27">
        <v>2.2262200000000001</v>
      </c>
      <c r="F53" s="29" cm="1">
        <f t="array" ref="F53">_xlfn.IFS(C53=":",":",C53&gt;=P$19,1,C53&gt;=P$20,2,C53&lt;P$20,3)</f>
        <v>1</v>
      </c>
      <c r="G53" s="30"/>
      <c r="H53" s="43"/>
      <c r="I53" s="31" t="s">
        <v>3120</v>
      </c>
      <c r="J53" s="5" t="s">
        <v>3123</v>
      </c>
      <c r="Y53" s="26"/>
    </row>
    <row r="54" spans="1:25" ht="12" customHeight="1">
      <c r="A54" s="96" t="s">
        <v>742</v>
      </c>
      <c r="B54" s="98" t="s">
        <v>743</v>
      </c>
      <c r="C54" s="27">
        <v>82.9</v>
      </c>
      <c r="D54" s="27">
        <v>2.749374</v>
      </c>
      <c r="F54" s="29" cm="1">
        <f t="array" ref="F54">_xlfn.IFS(C54=":",":",C54&gt;=P$19,1,C54&gt;=P$20,2,C54&lt;P$20,3)</f>
        <v>1</v>
      </c>
      <c r="G54" s="30"/>
      <c r="H54" s="43"/>
      <c r="I54" s="31" t="s">
        <v>3121</v>
      </c>
      <c r="J54" s="5" t="s">
        <v>3122</v>
      </c>
      <c r="Y54" s="26"/>
    </row>
    <row r="55" spans="1:25" ht="12" customHeight="1">
      <c r="A55" s="96" t="s">
        <v>744</v>
      </c>
      <c r="B55" s="98" t="s">
        <v>745</v>
      </c>
      <c r="C55" s="27">
        <v>37.9</v>
      </c>
      <c r="D55" s="27">
        <v>12.221225</v>
      </c>
      <c r="F55" s="29" cm="1">
        <f t="array" ref="F55">_xlfn.IFS(C55=":",":",C55&gt;=P$19,1,C55&gt;=P$20,2,C55&lt;P$20,3)</f>
        <v>2</v>
      </c>
      <c r="G55" s="30"/>
      <c r="H55" s="43"/>
      <c r="Y55" s="26"/>
    </row>
    <row r="56" spans="1:25" ht="12" customHeight="1">
      <c r="A56" s="96" t="s">
        <v>746</v>
      </c>
      <c r="B56" s="98" t="s">
        <v>747</v>
      </c>
      <c r="C56" s="27">
        <v>65.3</v>
      </c>
      <c r="D56" s="27">
        <v>0.76174500000000001</v>
      </c>
      <c r="F56" s="29" cm="1">
        <f t="array" ref="F56">_xlfn.IFS(C56=":",":",C56&gt;=P$19,1,C56&gt;=P$20,2,C56&lt;P$20,3)</f>
        <v>1</v>
      </c>
      <c r="G56" s="30"/>
      <c r="H56" s="43"/>
      <c r="I56" s="26"/>
      <c r="J56" s="50"/>
      <c r="K56" s="50"/>
      <c r="L56" s="50"/>
      <c r="Y56" s="26"/>
    </row>
    <row r="57" spans="1:25" ht="12" customHeight="1">
      <c r="A57" s="96" t="s">
        <v>748</v>
      </c>
      <c r="B57" s="98" t="s">
        <v>749</v>
      </c>
      <c r="C57" s="27">
        <v>82.9</v>
      </c>
      <c r="D57" s="27">
        <v>1.3684419999999999</v>
      </c>
      <c r="F57" s="29" cm="1">
        <f t="array" ref="F57">_xlfn.IFS(C57=":",":",C57&gt;=P$19,1,C57&gt;=P$20,2,C57&lt;P$20,3)</f>
        <v>1</v>
      </c>
      <c r="G57" s="30"/>
      <c r="H57" s="43"/>
      <c r="I57" s="26"/>
      <c r="J57" s="50"/>
      <c r="K57" s="50"/>
      <c r="L57" s="50"/>
      <c r="Y57" s="26"/>
    </row>
    <row r="58" spans="1:25" ht="12" customHeight="1">
      <c r="A58" s="96" t="s">
        <v>750</v>
      </c>
      <c r="B58" s="98" t="s">
        <v>751</v>
      </c>
      <c r="C58" s="27">
        <v>70.900000000000006</v>
      </c>
      <c r="D58" s="27">
        <v>0.86758100000000005</v>
      </c>
      <c r="F58" s="29" cm="1">
        <f t="array" ref="F58">_xlfn.IFS(C58=":",":",C58&gt;=P$19,1,C58&gt;=P$20,2,C58&lt;P$20,3)</f>
        <v>1</v>
      </c>
      <c r="G58" s="30"/>
      <c r="H58" s="43"/>
      <c r="I58" s="26"/>
      <c r="Y58" s="26"/>
    </row>
    <row r="59" spans="1:25" ht="12" customHeight="1">
      <c r="A59" s="96" t="s">
        <v>752</v>
      </c>
      <c r="B59" s="98" t="s">
        <v>753</v>
      </c>
      <c r="C59" s="27">
        <v>74.3</v>
      </c>
      <c r="D59" s="27">
        <v>0.43941200000000002</v>
      </c>
      <c r="F59" s="29" cm="1">
        <f t="array" ref="F59">_xlfn.IFS(C59=":",":",C59&gt;=P$19,1,C59&gt;=P$20,2,C59&lt;P$20,3)</f>
        <v>1</v>
      </c>
      <c r="G59" s="30"/>
      <c r="H59" s="43"/>
      <c r="I59" s="26"/>
      <c r="N59" s="26"/>
      <c r="Y59" s="26"/>
    </row>
    <row r="60" spans="1:25" ht="12" customHeight="1">
      <c r="A60" s="96" t="s">
        <v>754</v>
      </c>
      <c r="B60" s="98" t="s">
        <v>755</v>
      </c>
      <c r="C60" s="27">
        <v>80</v>
      </c>
      <c r="D60" s="27">
        <v>2.8196310000000002</v>
      </c>
      <c r="F60" s="29" cm="1">
        <f t="array" ref="F60">_xlfn.IFS(C60=":",":",C60&gt;=P$19,1,C60&gt;=P$20,2,C60&lt;P$20,3)</f>
        <v>1</v>
      </c>
      <c r="G60" s="30"/>
      <c r="H60" s="43"/>
      <c r="I60" s="2" t="s">
        <v>2844</v>
      </c>
      <c r="N60" s="26"/>
      <c r="Y60" s="26"/>
    </row>
    <row r="61" spans="1:25" ht="12" customHeight="1">
      <c r="A61" s="96" t="s">
        <v>756</v>
      </c>
      <c r="B61" s="98" t="s">
        <v>757</v>
      </c>
      <c r="C61" s="27">
        <v>79.900000000000006</v>
      </c>
      <c r="D61" s="27">
        <v>2.716011</v>
      </c>
      <c r="F61" s="29" cm="1">
        <f t="array" ref="F61">_xlfn.IFS(C61=":",":",C61&gt;=P$19,1,C61&gt;=P$20,2,C61&lt;P$20,3)</f>
        <v>1</v>
      </c>
      <c r="G61" s="30"/>
      <c r="H61" s="43"/>
      <c r="I61" s="18" t="s">
        <v>3008</v>
      </c>
      <c r="J61" s="60"/>
      <c r="K61" s="8"/>
      <c r="N61" s="26"/>
      <c r="Y61" s="26"/>
    </row>
    <row r="62" spans="1:25" ht="12" customHeight="1">
      <c r="A62" s="96" t="s">
        <v>758</v>
      </c>
      <c r="B62" s="98" t="s">
        <v>759</v>
      </c>
      <c r="C62" s="27">
        <v>55.1</v>
      </c>
      <c r="D62" s="27">
        <v>7.8485379999999996</v>
      </c>
      <c r="F62" s="29" cm="1">
        <f t="array" ref="F62">_xlfn.IFS(C62=":",":",C62&gt;=P$19,1,C62&gt;=P$20,2,C62&lt;P$20,3)</f>
        <v>2</v>
      </c>
      <c r="G62" s="30"/>
      <c r="H62" s="43"/>
      <c r="I62" s="7" t="s">
        <v>2845</v>
      </c>
      <c r="J62" s="60"/>
      <c r="K62" s="8"/>
      <c r="N62" s="26"/>
      <c r="Y62" s="26"/>
    </row>
    <row r="63" spans="1:25" ht="12" customHeight="1">
      <c r="A63" s="96" t="s">
        <v>760</v>
      </c>
      <c r="B63" s="98" t="s">
        <v>761</v>
      </c>
      <c r="C63" s="27">
        <v>69.3</v>
      </c>
      <c r="D63" s="27">
        <v>2.1753719999999999</v>
      </c>
      <c r="F63" s="29" cm="1">
        <f t="array" ref="F63">_xlfn.IFS(C63=":",":",C63&gt;=P$19,1,C63&gt;=P$20,2,C63&lt;P$20,3)</f>
        <v>1</v>
      </c>
      <c r="G63" s="30"/>
      <c r="H63" s="43"/>
      <c r="I63" s="7" t="s">
        <v>3009</v>
      </c>
      <c r="J63" s="60"/>
      <c r="K63" s="8"/>
      <c r="N63" s="26"/>
      <c r="Y63" s="26"/>
    </row>
    <row r="64" spans="1:25" ht="12" customHeight="1">
      <c r="A64" s="96" t="s">
        <v>762</v>
      </c>
      <c r="B64" s="98" t="s">
        <v>763</v>
      </c>
      <c r="C64" s="27">
        <v>81</v>
      </c>
      <c r="D64" s="27">
        <v>3.576924</v>
      </c>
      <c r="F64" s="29" cm="1">
        <f t="array" ref="F64">_xlfn.IFS(C64=":",":",C64&gt;=P$19,1,C64&gt;=P$20,2,C64&lt;P$20,3)</f>
        <v>1</v>
      </c>
      <c r="G64" s="30"/>
      <c r="H64" s="43"/>
      <c r="I64" s="14" t="s">
        <v>3136</v>
      </c>
      <c r="J64" s="60"/>
      <c r="K64" s="8"/>
      <c r="N64" s="26"/>
      <c r="Y64" s="26"/>
    </row>
    <row r="65" spans="1:25" ht="12" customHeight="1">
      <c r="A65" s="96" t="s">
        <v>764</v>
      </c>
      <c r="B65" s="98" t="s">
        <v>83</v>
      </c>
      <c r="C65" s="27">
        <v>72.7</v>
      </c>
      <c r="D65" s="27">
        <v>5.021757</v>
      </c>
      <c r="F65" s="29" cm="1">
        <f t="array" ref="F65">_xlfn.IFS(C65=":",":",C65&gt;=P$19,1,C65&gt;=P$20,2,C65&lt;P$20,3)</f>
        <v>1</v>
      </c>
      <c r="G65" s="30"/>
      <c r="H65" s="43"/>
      <c r="I65" s="57" t="s">
        <v>2846</v>
      </c>
      <c r="J65" s="60"/>
      <c r="K65" s="8"/>
      <c r="N65" s="26"/>
      <c r="Y65" s="26"/>
    </row>
    <row r="66" spans="1:25" ht="12" customHeight="1">
      <c r="A66" s="96" t="s">
        <v>765</v>
      </c>
      <c r="B66" s="98" t="s">
        <v>766</v>
      </c>
      <c r="C66" s="27" t="s">
        <v>546</v>
      </c>
      <c r="D66" s="27">
        <v>4.6086460000000002</v>
      </c>
      <c r="F66" s="29" t="str" cm="1">
        <f t="array" ref="F66">_xlfn.IFS(C66=":",":",C66&gt;=P$19,1,C66&gt;=P$20,2,C66&lt;P$20,3)</f>
        <v>:</v>
      </c>
      <c r="G66" s="30"/>
      <c r="H66" s="43"/>
      <c r="N66" s="26"/>
      <c r="Y66" s="26"/>
    </row>
    <row r="67" spans="1:25" ht="12" customHeight="1">
      <c r="A67" s="96" t="s">
        <v>767</v>
      </c>
      <c r="B67" s="98" t="s">
        <v>768</v>
      </c>
      <c r="C67" s="27" t="s">
        <v>546</v>
      </c>
      <c r="D67" s="27">
        <v>1.0720799999999999</v>
      </c>
      <c r="F67" s="29" t="str" cm="1">
        <f t="array" ref="F67">_xlfn.IFS(C67=":",":",C67&gt;=P$19,1,C67&gt;=P$20,2,C67&lt;P$20,3)</f>
        <v>:</v>
      </c>
      <c r="G67" s="30"/>
      <c r="H67" s="43"/>
      <c r="I67" s="26"/>
      <c r="N67" s="26"/>
      <c r="Y67" s="26"/>
    </row>
    <row r="68" spans="1:25" ht="12" customHeight="1">
      <c r="A68" s="96" t="s">
        <v>769</v>
      </c>
      <c r="B68" s="98" t="s">
        <v>770</v>
      </c>
      <c r="C68" s="27">
        <v>73.599999999999994</v>
      </c>
      <c r="D68" s="27">
        <v>1.511223</v>
      </c>
      <c r="E68" s="43"/>
      <c r="F68" s="29" cm="1">
        <f t="array" ref="F68">_xlfn.IFS(C68=":",":",C68&gt;=P$19,1,C68&gt;=P$20,2,C68&lt;P$20,3)</f>
        <v>1</v>
      </c>
      <c r="H68" s="43"/>
      <c r="I68" s="26"/>
      <c r="Y68" s="26"/>
    </row>
    <row r="69" spans="1:25" ht="12" customHeight="1">
      <c r="A69" s="96" t="s">
        <v>771</v>
      </c>
      <c r="B69" s="98" t="s">
        <v>772</v>
      </c>
      <c r="C69" s="27">
        <v>78.599999999999994</v>
      </c>
      <c r="D69" s="27">
        <v>0.493394</v>
      </c>
      <c r="E69" s="43"/>
      <c r="F69" s="29" cm="1">
        <f t="array" ref="F69">_xlfn.IFS(C69=":",":",C69&gt;=P$19,1,C69&gt;=P$20,2,C69&lt;P$20,3)</f>
        <v>1</v>
      </c>
      <c r="H69" s="43"/>
      <c r="I69" s="26"/>
      <c r="Y69" s="26"/>
    </row>
    <row r="70" spans="1:25" ht="12" customHeight="1">
      <c r="A70" s="96" t="s">
        <v>773</v>
      </c>
      <c r="B70" s="98" t="s">
        <v>774</v>
      </c>
      <c r="C70" s="27">
        <v>76.3</v>
      </c>
      <c r="D70" s="27">
        <v>0.98578399999999999</v>
      </c>
      <c r="F70" s="29" cm="1">
        <f t="array" ref="F70">_xlfn.IFS(C70=":",":",C70&gt;=P$19,1,C70&gt;=P$20,2,C70&lt;P$20,3)</f>
        <v>1</v>
      </c>
      <c r="H70" s="43"/>
      <c r="I70" s="26"/>
      <c r="Y70" s="26"/>
    </row>
    <row r="71" spans="1:25" ht="12" customHeight="1">
      <c r="A71" s="96" t="s">
        <v>775</v>
      </c>
      <c r="B71" s="98" t="s">
        <v>776</v>
      </c>
      <c r="C71" s="27">
        <v>87.1</v>
      </c>
      <c r="D71" s="27">
        <v>0.64825999999999995</v>
      </c>
      <c r="E71" s="43">
        <v>2023</v>
      </c>
      <c r="F71" s="29" cm="1">
        <f t="array" ref="F71">_xlfn.IFS(C71=":",":",C71&gt;=P$19,1,C71&gt;=P$20,2,C71&lt;P$20,3)</f>
        <v>1</v>
      </c>
      <c r="H71" s="43"/>
      <c r="I71" s="26"/>
      <c r="Y71" s="26"/>
    </row>
    <row r="72" spans="1:25" ht="12" customHeight="1">
      <c r="A72" s="96" t="s">
        <v>777</v>
      </c>
      <c r="B72" s="98" t="s">
        <v>778</v>
      </c>
      <c r="C72" s="27">
        <v>77.400000000000006</v>
      </c>
      <c r="D72" s="27">
        <v>0.549315</v>
      </c>
      <c r="E72" s="43"/>
      <c r="F72" s="29" cm="1">
        <f t="array" ref="F72">_xlfn.IFS(C72=":",":",C72&gt;=P$19,1,C72&gt;=P$20,2,C72&lt;P$20,3)</f>
        <v>1</v>
      </c>
      <c r="H72" s="43"/>
      <c r="I72" s="26"/>
      <c r="Y72" s="26"/>
    </row>
    <row r="73" spans="1:25" ht="12" customHeight="1">
      <c r="A73" s="96" t="s">
        <v>779</v>
      </c>
      <c r="B73" s="98" t="s">
        <v>780</v>
      </c>
      <c r="C73" s="27">
        <v>85.3</v>
      </c>
      <c r="D73" s="27">
        <v>0.880413</v>
      </c>
      <c r="E73" s="43"/>
      <c r="F73" s="29" cm="1">
        <f t="array" ref="F73">_xlfn.IFS(C73=":",":",C73&gt;=P$19,1,C73&gt;=P$20,2,C73&lt;P$20,3)</f>
        <v>1</v>
      </c>
      <c r="H73" s="43"/>
      <c r="I73" s="26"/>
      <c r="Y73" s="26"/>
    </row>
    <row r="74" spans="1:25" ht="12" customHeight="1">
      <c r="A74" s="96" t="s">
        <v>781</v>
      </c>
      <c r="B74" s="97" t="s">
        <v>782</v>
      </c>
      <c r="C74" s="27">
        <v>88.7</v>
      </c>
      <c r="D74" s="27">
        <v>0.37844699999999998</v>
      </c>
      <c r="E74" s="43"/>
      <c r="F74" s="29" cm="1">
        <f t="array" ref="F74">_xlfn.IFS(C74=":",":",C74&gt;=P$19,1,C74&gt;=P$20,2,C74&lt;P$20,3)</f>
        <v>1</v>
      </c>
      <c r="H74" s="43"/>
      <c r="I74" s="26"/>
      <c r="Y74" s="26"/>
    </row>
    <row r="75" spans="1:25" ht="12" customHeight="1">
      <c r="A75" s="96" t="s">
        <v>783</v>
      </c>
      <c r="B75" s="97" t="s">
        <v>784</v>
      </c>
      <c r="C75" s="27">
        <v>86</v>
      </c>
      <c r="D75" s="27">
        <v>0.59115399999999996</v>
      </c>
      <c r="E75" s="43">
        <v>2023</v>
      </c>
      <c r="F75" s="29" cm="1">
        <f t="array" ref="F75">_xlfn.IFS(C75=":",":",C75&gt;=P$19,1,C75&gt;=P$20,2,C75&lt;P$20,3)</f>
        <v>1</v>
      </c>
      <c r="H75" s="43"/>
      <c r="I75" s="26"/>
      <c r="Y75" s="26"/>
    </row>
    <row r="76" spans="1:25" ht="12" customHeight="1">
      <c r="A76" s="96" t="s">
        <v>785</v>
      </c>
      <c r="B76" s="97" t="s">
        <v>786</v>
      </c>
      <c r="C76" s="27">
        <v>85.6</v>
      </c>
      <c r="D76" s="27">
        <v>0.60246299999999997</v>
      </c>
      <c r="E76" s="43"/>
      <c r="F76" s="29" cm="1">
        <f t="array" ref="F76">_xlfn.IFS(C76=":",":",C76&gt;=P$19,1,C76&gt;=P$20,2,C76&lt;P$20,3)</f>
        <v>1</v>
      </c>
      <c r="H76" s="43"/>
      <c r="I76" s="26"/>
      <c r="Y76" s="26"/>
    </row>
    <row r="77" spans="1:25" ht="12" customHeight="1">
      <c r="A77" s="96" t="s">
        <v>787</v>
      </c>
      <c r="B77" s="97" t="s">
        <v>788</v>
      </c>
      <c r="C77" s="27">
        <v>83.7</v>
      </c>
      <c r="D77" s="27">
        <v>0.24194299999999999</v>
      </c>
      <c r="E77" s="43"/>
      <c r="F77" s="29" cm="1">
        <f t="array" ref="F77">_xlfn.IFS(C77=":",":",C77&gt;=P$19,1,C77&gt;=P$20,2,C77&lt;P$20,3)</f>
        <v>1</v>
      </c>
      <c r="H77" s="43"/>
      <c r="I77" s="26"/>
      <c r="Y77" s="26"/>
    </row>
    <row r="78" spans="1:25" ht="12" customHeight="1">
      <c r="A78" s="96" t="s">
        <v>789</v>
      </c>
      <c r="B78" s="97" t="s">
        <v>790</v>
      </c>
      <c r="C78" s="27">
        <v>86.5</v>
      </c>
      <c r="D78" s="27">
        <v>0.70916699999999999</v>
      </c>
      <c r="E78" s="43"/>
      <c r="F78" s="29" cm="1">
        <f t="array" ref="F78">_xlfn.IFS(C78=":",":",C78&gt;=P$19,1,C78&gt;=P$20,2,C78&lt;P$20,3)</f>
        <v>1</v>
      </c>
      <c r="H78" s="43"/>
      <c r="I78" s="26"/>
      <c r="Y78" s="26"/>
    </row>
    <row r="79" spans="1:25" ht="12" customHeight="1">
      <c r="A79" s="96" t="s">
        <v>791</v>
      </c>
      <c r="B79" s="97" t="s">
        <v>792</v>
      </c>
      <c r="C79" s="27">
        <v>61.9</v>
      </c>
      <c r="D79" s="27">
        <v>0.68202499999999999</v>
      </c>
      <c r="E79" s="43"/>
      <c r="F79" s="29" cm="1">
        <f t="array" ref="F79">_xlfn.IFS(C79=":",":",C79&gt;=P$19,1,C79&gt;=P$20,2,C79&lt;P$20,3)</f>
        <v>2</v>
      </c>
      <c r="H79" s="43"/>
      <c r="I79" s="26"/>
      <c r="Y79" s="26"/>
    </row>
    <row r="80" spans="1:25" ht="12" customHeight="1">
      <c r="A80" s="96" t="s">
        <v>793</v>
      </c>
      <c r="B80" s="97" t="s">
        <v>794</v>
      </c>
      <c r="C80" s="27">
        <v>79.8</v>
      </c>
      <c r="D80" s="27">
        <v>1.2797419999999999</v>
      </c>
      <c r="E80" s="43"/>
      <c r="F80" s="29" cm="1">
        <f t="array" ref="F80">_xlfn.IFS(C80=":",":",C80&gt;=P$19,1,C80&gt;=P$20,2,C80&lt;P$20,3)</f>
        <v>1</v>
      </c>
      <c r="H80" s="43"/>
      <c r="I80" s="26"/>
      <c r="Y80" s="26"/>
    </row>
    <row r="81" spans="1:25" ht="12" customHeight="1">
      <c r="A81" s="96" t="s">
        <v>795</v>
      </c>
      <c r="B81" s="97" t="s">
        <v>796</v>
      </c>
      <c r="C81" s="27">
        <v>77.7</v>
      </c>
      <c r="D81" s="27">
        <v>0.68706999999999996</v>
      </c>
      <c r="E81" s="43"/>
      <c r="F81" s="29" cm="1">
        <f t="array" ref="F81">_xlfn.IFS(C81=":",":",C81&gt;=P$19,1,C81&gt;=P$20,2,C81&lt;P$20,3)</f>
        <v>1</v>
      </c>
      <c r="H81" s="43"/>
      <c r="I81" s="26"/>
      <c r="Y81" s="26"/>
    </row>
    <row r="82" spans="1:25" ht="12" customHeight="1">
      <c r="A82" s="96" t="s">
        <v>797</v>
      </c>
      <c r="B82" s="97" t="s">
        <v>798</v>
      </c>
      <c r="C82" s="27">
        <v>80.599999999999994</v>
      </c>
      <c r="D82" s="27">
        <v>0.58708000000000005</v>
      </c>
      <c r="E82" s="43"/>
      <c r="F82" s="29" cm="1">
        <f t="array" ref="F82">_xlfn.IFS(C82=":",":",C82&gt;=P$19,1,C82&gt;=P$20,2,C82&lt;P$20,3)</f>
        <v>1</v>
      </c>
      <c r="H82" s="43"/>
      <c r="I82" s="26"/>
      <c r="Y82" s="26"/>
    </row>
    <row r="83" spans="1:25" ht="12" customHeight="1">
      <c r="A83" s="96" t="s">
        <v>799</v>
      </c>
      <c r="B83" s="97" t="s">
        <v>800</v>
      </c>
      <c r="C83" s="27">
        <v>71.099999999999994</v>
      </c>
      <c r="D83" s="27">
        <v>1.7719560000000001</v>
      </c>
      <c r="E83" s="43"/>
      <c r="F83" s="29" cm="1">
        <f t="array" ref="F83">_xlfn.IFS(C83=":",":",C83&gt;=P$19,1,C83&gt;=P$20,2,C83&lt;P$20,3)</f>
        <v>1</v>
      </c>
      <c r="H83" s="43"/>
      <c r="I83" s="26"/>
      <c r="Y83" s="26"/>
    </row>
    <row r="84" spans="1:25" ht="12" customHeight="1">
      <c r="A84" s="96" t="s">
        <v>801</v>
      </c>
      <c r="B84" s="97" t="s">
        <v>802</v>
      </c>
      <c r="C84" s="27" t="s">
        <v>546</v>
      </c>
      <c r="D84" s="27">
        <v>1.4792160000000001</v>
      </c>
      <c r="E84" s="43"/>
      <c r="F84" s="29" t="str" cm="1">
        <f t="array" ref="F84">_xlfn.IFS(C84=":",":",C84&gt;=P$19,1,C84&gt;=P$20,2,C84&lt;P$20,3)</f>
        <v>:</v>
      </c>
      <c r="H84" s="43"/>
      <c r="I84" s="26"/>
      <c r="Y84" s="26"/>
    </row>
    <row r="85" spans="1:25" ht="12" customHeight="1">
      <c r="A85" s="96" t="s">
        <v>803</v>
      </c>
      <c r="B85" s="97" t="s">
        <v>804</v>
      </c>
      <c r="C85" s="27" t="s">
        <v>546</v>
      </c>
      <c r="D85" s="27">
        <v>0.33696300000000001</v>
      </c>
      <c r="E85" s="43"/>
      <c r="F85" s="29" t="str" cm="1">
        <f t="array" ref="F85">_xlfn.IFS(C85=":",":",C85&gt;=P$19,1,C85&gt;=P$20,2,C85&lt;P$20,3)</f>
        <v>:</v>
      </c>
      <c r="H85" s="43"/>
      <c r="I85" s="26"/>
      <c r="Y85" s="26"/>
    </row>
    <row r="86" spans="1:25" ht="12" customHeight="1">
      <c r="A86" s="96" t="s">
        <v>805</v>
      </c>
      <c r="B86" s="97" t="s">
        <v>806</v>
      </c>
      <c r="C86" s="27">
        <v>82.3</v>
      </c>
      <c r="D86" s="27">
        <v>1.260094</v>
      </c>
      <c r="E86" s="43">
        <v>2023</v>
      </c>
      <c r="F86" s="29" cm="1">
        <f t="array" ref="F86">_xlfn.IFS(C86=":",":",C86&gt;=P$19,1,C86&gt;=P$20,2,C86&lt;P$20,3)</f>
        <v>1</v>
      </c>
      <c r="H86" s="43"/>
      <c r="I86" s="26"/>
      <c r="Y86" s="26"/>
    </row>
    <row r="87" spans="1:25" ht="12" customHeight="1">
      <c r="A87" s="96" t="s">
        <v>807</v>
      </c>
      <c r="B87" s="97" t="s">
        <v>808</v>
      </c>
      <c r="C87" s="27">
        <v>80.7</v>
      </c>
      <c r="D87" s="27">
        <v>0.23713600000000001</v>
      </c>
      <c r="E87" s="43"/>
      <c r="F87" s="29" cm="1">
        <f t="array" ref="F87">_xlfn.IFS(C87=":",":",C87&gt;=P$19,1,C87&gt;=P$20,2,C87&lt;P$20,3)</f>
        <v>1</v>
      </c>
      <c r="H87" s="43"/>
      <c r="I87" s="26"/>
      <c r="Y87" s="26"/>
    </row>
    <row r="88" spans="1:25" ht="12" customHeight="1">
      <c r="A88" s="96" t="s">
        <v>809</v>
      </c>
      <c r="B88" s="97" t="s">
        <v>810</v>
      </c>
      <c r="C88" s="27">
        <v>83.6</v>
      </c>
      <c r="D88" s="27">
        <v>0.92932599999999999</v>
      </c>
      <c r="E88" s="43"/>
      <c r="F88" s="29" cm="1">
        <f t="array" ref="F88">_xlfn.IFS(C88=":",":",C88&gt;=P$19,1,C88&gt;=P$20,2,C88&lt;P$20,3)</f>
        <v>1</v>
      </c>
      <c r="H88" s="43"/>
      <c r="I88" s="26"/>
      <c r="Y88" s="26"/>
    </row>
    <row r="89" spans="1:25" ht="12" customHeight="1">
      <c r="A89" s="96" t="s">
        <v>811</v>
      </c>
      <c r="B89" s="97" t="s">
        <v>812</v>
      </c>
      <c r="C89" s="27">
        <v>83.3</v>
      </c>
      <c r="D89" s="27">
        <v>0.21051500000000001</v>
      </c>
      <c r="E89" s="43"/>
      <c r="F89" s="29" cm="1">
        <f t="array" ref="F89">_xlfn.IFS(C89=":",":",C89&gt;=P$19,1,C89&gt;=P$20,2,C89&lt;P$20,3)</f>
        <v>1</v>
      </c>
      <c r="H89" s="43"/>
      <c r="I89" s="26"/>
      <c r="Y89" s="26"/>
    </row>
    <row r="90" spans="1:25" ht="12" customHeight="1">
      <c r="A90" s="96" t="s">
        <v>813</v>
      </c>
      <c r="B90" s="97" t="s">
        <v>814</v>
      </c>
      <c r="C90" s="27">
        <v>80.8</v>
      </c>
      <c r="D90" s="27">
        <v>1.3592299999999999</v>
      </c>
      <c r="E90" s="43"/>
      <c r="F90" s="29" cm="1">
        <f t="array" ref="F90">_xlfn.IFS(C90=":",":",C90&gt;=P$19,1,C90&gt;=P$20,2,C90&lt;P$20,3)</f>
        <v>1</v>
      </c>
      <c r="H90" s="43"/>
      <c r="I90" s="26"/>
      <c r="Y90" s="26"/>
    </row>
    <row r="91" spans="1:25" ht="12" customHeight="1">
      <c r="A91" s="96" t="s">
        <v>815</v>
      </c>
      <c r="B91" s="97" t="s">
        <v>816</v>
      </c>
      <c r="C91" s="27">
        <v>72.2</v>
      </c>
      <c r="D91" s="27">
        <v>2.1233879999999998</v>
      </c>
      <c r="E91" s="43"/>
      <c r="F91" s="29" cm="1">
        <f t="array" ref="F91">_xlfn.IFS(C91=":",":",C91&gt;=P$19,1,C91&gt;=P$20,2,C91&lt;P$20,3)</f>
        <v>1</v>
      </c>
      <c r="H91" s="43"/>
      <c r="I91" s="26"/>
      <c r="Y91" s="26"/>
    </row>
    <row r="92" spans="1:25" ht="12" customHeight="1">
      <c r="A92" s="96" t="s">
        <v>817</v>
      </c>
      <c r="B92" s="97" t="s">
        <v>818</v>
      </c>
      <c r="C92" s="27">
        <v>73.2</v>
      </c>
      <c r="D92" s="27">
        <v>3.8839440000000001</v>
      </c>
      <c r="E92" s="43"/>
      <c r="F92" s="29" cm="1">
        <f t="array" ref="F92">_xlfn.IFS(C92=":",":",C92&gt;=P$19,1,C92&gt;=P$20,2,C92&lt;P$20,3)</f>
        <v>1</v>
      </c>
      <c r="H92" s="43"/>
      <c r="I92" s="26"/>
      <c r="Y92" s="26"/>
    </row>
    <row r="93" spans="1:25" ht="12" customHeight="1">
      <c r="A93" s="96" t="s">
        <v>819</v>
      </c>
      <c r="B93" s="97" t="s">
        <v>820</v>
      </c>
      <c r="C93" s="27">
        <v>74.900000000000006</v>
      </c>
      <c r="D93" s="27">
        <v>0.67438600000000004</v>
      </c>
      <c r="E93" s="43"/>
      <c r="F93" s="29" cm="1">
        <f t="array" ref="F93">_xlfn.IFS(C93=":",":",C93&gt;=P$19,1,C93&gt;=P$20,2,C93&lt;P$20,3)</f>
        <v>1</v>
      </c>
      <c r="H93" s="43"/>
      <c r="I93" s="26"/>
      <c r="Y93" s="26"/>
    </row>
    <row r="94" spans="1:25" ht="12" customHeight="1">
      <c r="A94" s="96" t="s">
        <v>821</v>
      </c>
      <c r="B94" s="97" t="s">
        <v>822</v>
      </c>
      <c r="C94" s="27">
        <v>64.599999999999994</v>
      </c>
      <c r="D94" s="27">
        <v>4.2466840000000001</v>
      </c>
      <c r="E94" s="43"/>
      <c r="F94" s="29" cm="1">
        <f t="array" ref="F94">_xlfn.IFS(C94=":",":",C94&gt;=P$19,1,C94&gt;=P$20,2,C94&lt;P$20,3)</f>
        <v>2</v>
      </c>
      <c r="H94" s="43"/>
      <c r="I94" s="26"/>
      <c r="Y94" s="26"/>
    </row>
    <row r="95" spans="1:25" ht="12" customHeight="1">
      <c r="A95" s="96" t="s">
        <v>823</v>
      </c>
      <c r="B95" s="97" t="s">
        <v>824</v>
      </c>
      <c r="C95" s="27">
        <v>83.7</v>
      </c>
      <c r="D95" s="27">
        <v>0.275231</v>
      </c>
      <c r="E95" s="43"/>
      <c r="F95" s="29" cm="1">
        <f t="array" ref="F95">_xlfn.IFS(C95=":",":",C95&gt;=P$19,1,C95&gt;=P$20,2,C95&lt;P$20,3)</f>
        <v>1</v>
      </c>
      <c r="H95" s="43"/>
      <c r="I95" s="26"/>
      <c r="Y95" s="26"/>
    </row>
    <row r="96" spans="1:25" ht="12" customHeight="1">
      <c r="A96" s="96" t="s">
        <v>825</v>
      </c>
      <c r="B96" s="97" t="s">
        <v>826</v>
      </c>
      <c r="C96" s="27">
        <v>78.900000000000006</v>
      </c>
      <c r="D96" s="27">
        <v>0.94290300000000005</v>
      </c>
      <c r="E96" s="43"/>
      <c r="F96" s="29" cm="1">
        <f t="array" ref="F96">_xlfn.IFS(C96=":",":",C96&gt;=P$19,1,C96&gt;=P$20,2,C96&lt;P$20,3)</f>
        <v>1</v>
      </c>
      <c r="H96" s="43"/>
      <c r="I96" s="26"/>
      <c r="Y96" s="26"/>
    </row>
    <row r="97" spans="1:25" ht="12" customHeight="1">
      <c r="A97" s="96" t="s">
        <v>827</v>
      </c>
      <c r="B97" s="97" t="s">
        <v>828</v>
      </c>
      <c r="C97" s="27">
        <v>80.3</v>
      </c>
      <c r="D97" s="27">
        <v>0.333262</v>
      </c>
      <c r="E97" s="43"/>
      <c r="F97" s="29" cm="1">
        <f t="array" ref="F97">_xlfn.IFS(C97=":",":",C97&gt;=P$19,1,C97&gt;=P$20,2,C97&lt;P$20,3)</f>
        <v>1</v>
      </c>
      <c r="H97" s="43"/>
      <c r="I97" s="26"/>
      <c r="Y97" s="26"/>
    </row>
    <row r="98" spans="1:25" ht="12" customHeight="1">
      <c r="A98" s="96" t="s">
        <v>829</v>
      </c>
      <c r="B98" s="97" t="s">
        <v>830</v>
      </c>
      <c r="C98" s="27">
        <v>80</v>
      </c>
      <c r="D98" s="27">
        <v>2.5734720000000002</v>
      </c>
      <c r="E98" s="43"/>
      <c r="F98" s="29" cm="1">
        <f t="array" ref="F98">_xlfn.IFS(C98=":",":",C98&gt;=P$19,1,C98&gt;=P$20,2,C98&lt;P$20,3)</f>
        <v>1</v>
      </c>
      <c r="H98" s="43"/>
      <c r="I98" s="26"/>
      <c r="Y98" s="26"/>
    </row>
    <row r="99" spans="1:25" ht="12" customHeight="1">
      <c r="A99" s="96" t="s">
        <v>831</v>
      </c>
      <c r="B99" s="97" t="s">
        <v>832</v>
      </c>
      <c r="C99" s="27" t="s">
        <v>546</v>
      </c>
      <c r="D99" s="27">
        <v>1.203657</v>
      </c>
      <c r="E99" s="43"/>
      <c r="F99" s="29" t="str" cm="1">
        <f t="array" ref="F99">_xlfn.IFS(C99=":",":",C99&gt;=P$19,1,C99&gt;=P$20,2,C99&lt;P$20,3)</f>
        <v>:</v>
      </c>
      <c r="H99" s="43"/>
      <c r="I99" s="26"/>
      <c r="Y99" s="26"/>
    </row>
    <row r="100" spans="1:25" ht="12" customHeight="1">
      <c r="A100" s="96" t="s">
        <v>833</v>
      </c>
      <c r="B100" s="97" t="s">
        <v>834</v>
      </c>
      <c r="C100" s="27" t="s">
        <v>546</v>
      </c>
      <c r="D100" s="27">
        <v>0.871892</v>
      </c>
      <c r="E100" s="43"/>
      <c r="F100" s="29" t="str" cm="1">
        <f t="array" ref="F100">_xlfn.IFS(C100=":",":",C100&gt;=P$19,1,C100&gt;=P$20,2,C100&lt;P$20,3)</f>
        <v>:</v>
      </c>
      <c r="H100" s="43"/>
      <c r="I100" s="26"/>
      <c r="Y100" s="26"/>
    </row>
    <row r="101" spans="1:25" ht="12" customHeight="1">
      <c r="A101" s="96" t="s">
        <v>835</v>
      </c>
      <c r="B101" s="97" t="s">
        <v>836</v>
      </c>
      <c r="C101" s="27">
        <v>83</v>
      </c>
      <c r="D101" s="27">
        <v>0.90107400000000004</v>
      </c>
      <c r="E101" s="43"/>
      <c r="F101" s="29" cm="1">
        <f t="array" ref="F101">_xlfn.IFS(C101=":",":",C101&gt;=P$19,1,C101&gt;=P$20,2,C101&lt;P$20,3)</f>
        <v>1</v>
      </c>
      <c r="H101" s="43"/>
      <c r="I101" s="26"/>
      <c r="Y101" s="26"/>
    </row>
    <row r="102" spans="1:25" ht="12" customHeight="1">
      <c r="A102" s="96" t="s">
        <v>837</v>
      </c>
      <c r="B102" s="97" t="s">
        <v>838</v>
      </c>
      <c r="C102" s="27">
        <v>76.400000000000006</v>
      </c>
      <c r="D102" s="27">
        <v>0.42870000000000003</v>
      </c>
      <c r="E102" s="43"/>
      <c r="F102" s="29" cm="1">
        <f t="array" ref="F102">_xlfn.IFS(C102=":",":",C102&gt;=P$19,1,C102&gt;=P$20,2,C102&lt;P$20,3)</f>
        <v>1</v>
      </c>
      <c r="H102" s="43"/>
      <c r="I102" s="26"/>
      <c r="Y102" s="26"/>
    </row>
    <row r="103" spans="1:25" ht="12" customHeight="1">
      <c r="A103" s="96" t="s">
        <v>839</v>
      </c>
      <c r="B103" s="97" t="s">
        <v>840</v>
      </c>
      <c r="C103" s="27">
        <v>87.8</v>
      </c>
      <c r="D103" s="27">
        <v>0.242121</v>
      </c>
      <c r="E103" s="43"/>
      <c r="F103" s="29" cm="1">
        <f t="array" ref="F103">_xlfn.IFS(C103=":",":",C103&gt;=P$19,1,C103&gt;=P$20,2,C103&lt;P$20,3)</f>
        <v>1</v>
      </c>
      <c r="H103" s="43"/>
      <c r="I103" s="26"/>
      <c r="Y103" s="26"/>
    </row>
    <row r="104" spans="1:25" ht="12" customHeight="1">
      <c r="A104" s="96" t="s">
        <v>841</v>
      </c>
      <c r="B104" s="97" t="s">
        <v>842</v>
      </c>
      <c r="C104" s="27">
        <v>73.7</v>
      </c>
      <c r="D104" s="27">
        <v>0.85305699999999995</v>
      </c>
      <c r="E104" s="43"/>
      <c r="F104" s="29" cm="1">
        <f t="array" ref="F104">_xlfn.IFS(C104=":",":",C104&gt;=P$19,1,C104&gt;=P$20,2,C104&lt;P$20,3)</f>
        <v>1</v>
      </c>
      <c r="H104" s="43"/>
      <c r="I104" s="26"/>
      <c r="Y104" s="26"/>
    </row>
    <row r="105" spans="1:25" ht="12" customHeight="1">
      <c r="A105" s="96" t="s">
        <v>843</v>
      </c>
      <c r="B105" s="97" t="s">
        <v>844</v>
      </c>
      <c r="C105" s="27">
        <v>78.2</v>
      </c>
      <c r="D105" s="27">
        <v>0.59211400000000003</v>
      </c>
      <c r="E105" s="43"/>
      <c r="F105" s="29" cm="1">
        <f t="array" ref="F105">_xlfn.IFS(C105=":",":",C105&gt;=P$19,1,C105&gt;=P$20,2,C105&lt;P$20,3)</f>
        <v>1</v>
      </c>
      <c r="H105" s="43"/>
      <c r="I105" s="26"/>
      <c r="Y105" s="26"/>
    </row>
    <row r="106" spans="1:25" ht="12" customHeight="1">
      <c r="A106" s="96" t="s">
        <v>845</v>
      </c>
      <c r="B106" s="97" t="s">
        <v>846</v>
      </c>
      <c r="C106" s="61">
        <v>85.8</v>
      </c>
      <c r="D106" s="27">
        <v>0.48309200000000002</v>
      </c>
      <c r="E106" s="43"/>
      <c r="F106" s="29" cm="1">
        <f t="array" ref="F106">_xlfn.IFS(C106=":",":",C106&gt;=P$19,1,C106&gt;=P$20,2,C106&lt;P$20,3)</f>
        <v>1</v>
      </c>
      <c r="H106" s="43"/>
      <c r="I106" s="26"/>
      <c r="Y106" s="26"/>
    </row>
    <row r="107" spans="1:25" ht="12" customHeight="1">
      <c r="A107" s="96" t="s">
        <v>847</v>
      </c>
      <c r="B107" s="97" t="s">
        <v>848</v>
      </c>
      <c r="C107" s="27" t="s">
        <v>546</v>
      </c>
      <c r="D107" s="27">
        <v>2.9199519999999999</v>
      </c>
      <c r="E107" s="43"/>
      <c r="F107" s="29" t="str" cm="1">
        <f t="array" ref="F107">_xlfn.IFS(C107=":",":",C107&gt;=P$19,1,C107&gt;=P$20,2,C107&lt;P$20,3)</f>
        <v>:</v>
      </c>
      <c r="H107" s="43"/>
      <c r="I107" s="26"/>
      <c r="Y107" s="26"/>
    </row>
    <row r="108" spans="1:25" ht="12" customHeight="1">
      <c r="A108" s="96" t="s">
        <v>849</v>
      </c>
      <c r="B108" s="97" t="s">
        <v>850</v>
      </c>
      <c r="C108" s="27">
        <v>80.5</v>
      </c>
      <c r="D108" s="27">
        <v>2.639043</v>
      </c>
      <c r="E108" s="43"/>
      <c r="F108" s="29" cm="1">
        <f t="array" ref="F108">_xlfn.IFS(C108=":",":",C108&gt;=P$19,1,C108&gt;=P$20,2,C108&lt;P$20,3)</f>
        <v>1</v>
      </c>
      <c r="H108" s="43"/>
      <c r="I108" s="26"/>
      <c r="Y108" s="26"/>
    </row>
    <row r="109" spans="1:25" ht="12" customHeight="1">
      <c r="A109" s="96" t="s">
        <v>851</v>
      </c>
      <c r="B109" s="97" t="s">
        <v>852</v>
      </c>
      <c r="C109" s="27" t="s">
        <v>546</v>
      </c>
      <c r="D109" s="27">
        <v>0.44011899999999998</v>
      </c>
      <c r="E109" s="43"/>
      <c r="F109" s="29" t="str" cm="1">
        <f t="array" ref="F109">_xlfn.IFS(C109=":",":",C109&gt;=P$19,1,C109&gt;=P$20,2,C109&lt;P$20,3)</f>
        <v>:</v>
      </c>
      <c r="H109" s="43"/>
      <c r="I109" s="26"/>
      <c r="Y109" s="26"/>
    </row>
    <row r="110" spans="1:25" ht="12" customHeight="1">
      <c r="A110" s="96" t="s">
        <v>853</v>
      </c>
      <c r="B110" s="97" t="s">
        <v>854</v>
      </c>
      <c r="C110" s="27">
        <v>72.2</v>
      </c>
      <c r="D110" s="27">
        <v>0.65250200000000003</v>
      </c>
      <c r="E110" s="43"/>
      <c r="F110" s="29" cm="1">
        <f t="array" ref="F110">_xlfn.IFS(C110=":",":",C110&gt;=P$19,1,C110&gt;=P$20,2,C110&lt;P$20,3)</f>
        <v>1</v>
      </c>
      <c r="H110" s="43"/>
      <c r="I110" s="26"/>
      <c r="Y110" s="26"/>
    </row>
    <row r="111" spans="1:25" ht="12" customHeight="1">
      <c r="A111" s="96" t="s">
        <v>855</v>
      </c>
      <c r="B111" s="97" t="s">
        <v>856</v>
      </c>
      <c r="C111" s="27">
        <v>54.9</v>
      </c>
      <c r="D111" s="27">
        <v>19.681341</v>
      </c>
      <c r="E111" s="43"/>
      <c r="F111" s="29" cm="1">
        <f t="array" ref="F111">_xlfn.IFS(C111=":",":",C111&gt;=P$19,1,C111&gt;=P$20,2,C111&lt;P$20,3)</f>
        <v>2</v>
      </c>
      <c r="H111" s="43"/>
      <c r="I111" s="26"/>
      <c r="Y111" s="26"/>
    </row>
    <row r="112" spans="1:25" ht="12" customHeight="1">
      <c r="A112" s="96" t="s">
        <v>857</v>
      </c>
      <c r="B112" s="97" t="s">
        <v>858</v>
      </c>
      <c r="C112" s="27">
        <v>82</v>
      </c>
      <c r="D112" s="27">
        <v>0.315083</v>
      </c>
      <c r="E112" s="43"/>
      <c r="F112" s="29" cm="1">
        <f t="array" ref="F112">_xlfn.IFS(C112=":",":",C112&gt;=P$19,1,C112&gt;=P$20,2,C112&lt;P$20,3)</f>
        <v>1</v>
      </c>
      <c r="H112" s="43"/>
      <c r="I112" s="26"/>
      <c r="Y112" s="26"/>
    </row>
    <row r="113" spans="1:25" ht="12" customHeight="1">
      <c r="A113" s="96" t="s">
        <v>859</v>
      </c>
      <c r="B113" s="97" t="s">
        <v>860</v>
      </c>
      <c r="C113" s="27">
        <v>80.7</v>
      </c>
      <c r="D113" s="27">
        <v>0.30546000000000001</v>
      </c>
      <c r="E113" s="43"/>
      <c r="F113" s="29" cm="1">
        <f t="array" ref="F113">_xlfn.IFS(C113=":",":",C113&gt;=P$19,1,C113&gt;=P$20,2,C113&lt;P$20,3)</f>
        <v>1</v>
      </c>
      <c r="H113" s="43"/>
      <c r="I113" s="26"/>
      <c r="Y113" s="26"/>
    </row>
    <row r="114" spans="1:25" ht="12" customHeight="1">
      <c r="A114" s="96" t="s">
        <v>861</v>
      </c>
      <c r="B114" s="97" t="s">
        <v>862</v>
      </c>
      <c r="C114" s="27">
        <v>86.4</v>
      </c>
      <c r="D114" s="27">
        <v>2.5637300000000001</v>
      </c>
      <c r="E114" s="43"/>
      <c r="F114" s="29" cm="1">
        <f t="array" ref="F114">_xlfn.IFS(C114=":",":",C114&gt;=P$19,1,C114&gt;=P$20,2,C114&lt;P$20,3)</f>
        <v>1</v>
      </c>
      <c r="H114" s="43"/>
      <c r="I114" s="26"/>
      <c r="Y114" s="26"/>
    </row>
    <row r="115" spans="1:25" ht="12" customHeight="1">
      <c r="A115" s="96" t="s">
        <v>863</v>
      </c>
      <c r="B115" s="97" t="s">
        <v>864</v>
      </c>
      <c r="C115" s="27">
        <v>91.2</v>
      </c>
      <c r="D115" s="27">
        <v>1.0024459999999999</v>
      </c>
      <c r="E115" s="43"/>
      <c r="F115" s="29" cm="1">
        <f t="array" ref="F115">_xlfn.IFS(C115=":",":",C115&gt;=P$19,1,C115&gt;=P$20,2,C115&lt;P$20,3)</f>
        <v>1</v>
      </c>
      <c r="H115" s="43"/>
      <c r="I115" s="26"/>
      <c r="Y115" s="26"/>
    </row>
    <row r="116" spans="1:25" ht="12" customHeight="1">
      <c r="A116" s="96" t="s">
        <v>865</v>
      </c>
      <c r="B116" s="97" t="s">
        <v>866</v>
      </c>
      <c r="C116" s="27">
        <v>81.7</v>
      </c>
      <c r="D116" s="27">
        <v>0.49400500000000003</v>
      </c>
      <c r="E116" s="43"/>
      <c r="F116" s="29" cm="1">
        <f t="array" ref="F116">_xlfn.IFS(C116=":",":",C116&gt;=P$19,1,C116&gt;=P$20,2,C116&lt;P$20,3)</f>
        <v>1</v>
      </c>
      <c r="H116" s="43"/>
      <c r="I116" s="26"/>
      <c r="Y116" s="26"/>
    </row>
    <row r="117" spans="1:25" ht="12" customHeight="1">
      <c r="A117" s="96" t="s">
        <v>867</v>
      </c>
      <c r="B117" s="97" t="s">
        <v>868</v>
      </c>
      <c r="C117" s="27">
        <v>76.900000000000006</v>
      </c>
      <c r="D117" s="27">
        <v>0.39054</v>
      </c>
      <c r="E117" s="43"/>
      <c r="F117" s="29" cm="1">
        <f t="array" ref="F117">_xlfn.IFS(C117=":",":",C117&gt;=P$19,1,C117&gt;=P$20,2,C117&lt;P$20,3)</f>
        <v>1</v>
      </c>
      <c r="H117" s="43"/>
      <c r="I117" s="26"/>
      <c r="Y117" s="26"/>
    </row>
    <row r="118" spans="1:25" ht="12" customHeight="1">
      <c r="A118" s="96" t="s">
        <v>869</v>
      </c>
      <c r="B118" s="97" t="s">
        <v>870</v>
      </c>
      <c r="C118" s="27">
        <v>82.2</v>
      </c>
      <c r="D118" s="27">
        <v>0.77907000000000004</v>
      </c>
      <c r="E118" s="43"/>
      <c r="F118" s="29" cm="1">
        <f t="array" ref="F118">_xlfn.IFS(C118=":",":",C118&gt;=P$19,1,C118&gt;=P$20,2,C118&lt;P$20,3)</f>
        <v>1</v>
      </c>
      <c r="H118" s="43"/>
      <c r="I118" s="26"/>
      <c r="Y118" s="26"/>
    </row>
    <row r="119" spans="1:25" ht="12" customHeight="1">
      <c r="A119" s="96" t="s">
        <v>871</v>
      </c>
      <c r="B119" s="97" t="s">
        <v>872</v>
      </c>
      <c r="C119" s="27">
        <v>65</v>
      </c>
      <c r="D119" s="27">
        <v>1.3791009999999999</v>
      </c>
      <c r="E119" s="43"/>
      <c r="F119" s="29" cm="1">
        <f t="array" ref="F119">_xlfn.IFS(C119=":",":",C119&gt;=P$19,1,C119&gt;=P$20,2,C119&lt;P$20,3)</f>
        <v>1</v>
      </c>
      <c r="H119" s="43"/>
      <c r="I119" s="26"/>
      <c r="Y119" s="26"/>
    </row>
    <row r="120" spans="1:25" ht="12" customHeight="1">
      <c r="A120" s="96" t="s">
        <v>873</v>
      </c>
      <c r="B120" s="97" t="s">
        <v>874</v>
      </c>
      <c r="C120" s="27">
        <v>64.7</v>
      </c>
      <c r="D120" s="27">
        <v>1.282516</v>
      </c>
      <c r="E120" s="43"/>
      <c r="F120" s="29" cm="1">
        <f t="array" ref="F120">_xlfn.IFS(C120=":",":",C120&gt;=P$19,1,C120&gt;=P$20,2,C120&lt;P$20,3)</f>
        <v>2</v>
      </c>
      <c r="H120" s="43"/>
      <c r="I120" s="26"/>
      <c r="Y120" s="26"/>
    </row>
    <row r="121" spans="1:25" ht="12" customHeight="1">
      <c r="A121" s="96" t="s">
        <v>875</v>
      </c>
      <c r="B121" s="97" t="s">
        <v>876</v>
      </c>
      <c r="C121" s="27">
        <v>77.099999999999994</v>
      </c>
      <c r="D121" s="27">
        <v>0.41741699999999998</v>
      </c>
      <c r="E121" s="43"/>
      <c r="F121" s="29" cm="1">
        <f t="array" ref="F121">_xlfn.IFS(C121=":",":",C121&gt;=P$19,1,C121&gt;=P$20,2,C121&lt;P$20,3)</f>
        <v>1</v>
      </c>
      <c r="H121" s="43"/>
      <c r="I121" s="26"/>
      <c r="Y121" s="26"/>
    </row>
    <row r="122" spans="1:25" ht="12" customHeight="1">
      <c r="A122" s="96" t="s">
        <v>877</v>
      </c>
      <c r="B122" s="97" t="s">
        <v>878</v>
      </c>
      <c r="C122" s="27">
        <v>85</v>
      </c>
      <c r="D122" s="27">
        <v>3.17089</v>
      </c>
      <c r="E122" s="43"/>
      <c r="F122" s="29" cm="1">
        <f t="array" ref="F122">_xlfn.IFS(C122=":",":",C122&gt;=P$19,1,C122&gt;=P$20,2,C122&lt;P$20,3)</f>
        <v>1</v>
      </c>
      <c r="H122" s="43"/>
      <c r="I122" s="26"/>
      <c r="Y122" s="26"/>
    </row>
    <row r="123" spans="1:25" ht="12" customHeight="1">
      <c r="A123" s="96" t="s">
        <v>879</v>
      </c>
      <c r="B123" s="97" t="s">
        <v>880</v>
      </c>
      <c r="C123" s="27">
        <v>88</v>
      </c>
      <c r="D123" s="27">
        <v>0.27560200000000001</v>
      </c>
      <c r="E123" s="43"/>
      <c r="F123" s="29" cm="1">
        <f t="array" ref="F123">_xlfn.IFS(C123=":",":",C123&gt;=P$19,1,C123&gt;=P$20,2,C123&lt;P$20,3)</f>
        <v>1</v>
      </c>
      <c r="H123" s="43"/>
      <c r="I123" s="26"/>
      <c r="Y123" s="26"/>
    </row>
    <row r="124" spans="1:25" ht="12" customHeight="1">
      <c r="A124" s="96" t="s">
        <v>881</v>
      </c>
      <c r="B124" s="97" t="s">
        <v>882</v>
      </c>
      <c r="C124" s="27">
        <v>90.6</v>
      </c>
      <c r="D124" s="27">
        <v>1.8689640000000001</v>
      </c>
      <c r="E124" s="43"/>
      <c r="F124" s="29" cm="1">
        <f t="array" ref="F124">_xlfn.IFS(C124=":",":",C124&gt;=P$19,1,C124&gt;=P$20,2,C124&lt;P$20,3)</f>
        <v>1</v>
      </c>
      <c r="H124" s="43"/>
      <c r="I124" s="26"/>
      <c r="Y124" s="26"/>
    </row>
    <row r="125" spans="1:25" ht="12" customHeight="1">
      <c r="A125" s="96" t="s">
        <v>883</v>
      </c>
      <c r="B125" s="97" t="s">
        <v>2861</v>
      </c>
      <c r="C125" s="27">
        <v>82.5</v>
      </c>
      <c r="D125" s="27">
        <v>0.174147</v>
      </c>
      <c r="E125" s="43"/>
      <c r="F125" s="29" cm="1">
        <f t="array" ref="F125">_xlfn.IFS(C125=":",":",C125&gt;=P$19,1,C125&gt;=P$20,2,C125&lt;P$20,3)</f>
        <v>1</v>
      </c>
      <c r="H125" s="43"/>
      <c r="I125" s="26"/>
      <c r="Y125" s="26"/>
    </row>
    <row r="126" spans="1:25" ht="12" customHeight="1">
      <c r="A126" s="96" t="s">
        <v>884</v>
      </c>
      <c r="B126" s="97" t="s">
        <v>885</v>
      </c>
      <c r="C126" s="27">
        <v>70</v>
      </c>
      <c r="D126" s="27">
        <v>2.642957</v>
      </c>
      <c r="E126" s="43"/>
      <c r="F126" s="29" cm="1">
        <f t="array" ref="F126">_xlfn.IFS(C126=":",":",C126&gt;=P$19,1,C126&gt;=P$20,2,C126&lt;P$20,3)</f>
        <v>1</v>
      </c>
      <c r="H126" s="43"/>
      <c r="I126" s="26"/>
      <c r="Y126" s="26"/>
    </row>
    <row r="127" spans="1:25" ht="12" customHeight="1">
      <c r="A127" s="96" t="s">
        <v>886</v>
      </c>
      <c r="B127" s="97" t="s">
        <v>887</v>
      </c>
      <c r="C127" s="27">
        <v>87.3</v>
      </c>
      <c r="D127" s="27">
        <v>0.13684199999999999</v>
      </c>
      <c r="E127" s="43"/>
      <c r="F127" s="29" cm="1">
        <f t="array" ref="F127">_xlfn.IFS(C127=":",":",C127&gt;=P$19,1,C127&gt;=P$20,2,C127&lt;P$20,3)</f>
        <v>1</v>
      </c>
      <c r="H127" s="43"/>
      <c r="I127" s="26"/>
      <c r="Y127" s="26"/>
    </row>
    <row r="128" spans="1:25" ht="12" customHeight="1">
      <c r="A128" s="96" t="s">
        <v>888</v>
      </c>
      <c r="B128" s="97" t="s">
        <v>2862</v>
      </c>
      <c r="C128" s="27">
        <v>76.099999999999994</v>
      </c>
      <c r="D128" s="27">
        <v>0.28105400000000003</v>
      </c>
      <c r="E128" s="43"/>
      <c r="F128" s="29" cm="1">
        <f t="array" ref="F128">_xlfn.IFS(C128=":",":",C128&gt;=P$19,1,C128&gt;=P$20,2,C128&lt;P$20,3)</f>
        <v>1</v>
      </c>
      <c r="H128" s="43"/>
      <c r="I128" s="26"/>
      <c r="Y128" s="26"/>
    </row>
    <row r="129" spans="1:25" ht="12" customHeight="1">
      <c r="A129" s="96" t="s">
        <v>889</v>
      </c>
      <c r="B129" s="97" t="s">
        <v>890</v>
      </c>
      <c r="C129" s="27">
        <v>87.3</v>
      </c>
      <c r="D129" s="27">
        <v>1.762524</v>
      </c>
      <c r="E129" s="43"/>
      <c r="F129" s="29" cm="1">
        <f t="array" ref="F129">_xlfn.IFS(C129=":",":",C129&gt;=P$19,1,C129&gt;=P$20,2,C129&lt;P$20,3)</f>
        <v>1</v>
      </c>
      <c r="H129" s="43"/>
      <c r="I129" s="26"/>
      <c r="Y129" s="26"/>
    </row>
    <row r="130" spans="1:25" ht="12" customHeight="1">
      <c r="A130" s="96" t="s">
        <v>891</v>
      </c>
      <c r="B130" s="97" t="s">
        <v>892</v>
      </c>
      <c r="C130" s="27">
        <v>84.6</v>
      </c>
      <c r="D130" s="27">
        <v>0.70240000000000002</v>
      </c>
      <c r="E130" s="43"/>
      <c r="F130" s="29" cm="1">
        <f t="array" ref="F130">_xlfn.IFS(C130=":",":",C130&gt;=P$19,1,C130&gt;=P$20,2,C130&lt;P$20,3)</f>
        <v>1</v>
      </c>
      <c r="H130" s="43"/>
      <c r="I130" s="26"/>
      <c r="Y130" s="26"/>
    </row>
    <row r="131" spans="1:25" ht="12" customHeight="1">
      <c r="A131" s="96" t="s">
        <v>893</v>
      </c>
      <c r="B131" s="97" t="s">
        <v>894</v>
      </c>
      <c r="C131" s="27">
        <v>90.5</v>
      </c>
      <c r="D131" s="27">
        <v>2.8289930000000001</v>
      </c>
      <c r="E131" s="43"/>
      <c r="F131" s="29" cm="1">
        <f t="array" ref="F131">_xlfn.IFS(C131=":",":",C131&gt;=P$19,1,C131&gt;=P$20,2,C131&lt;P$20,3)</f>
        <v>1</v>
      </c>
      <c r="H131" s="43"/>
      <c r="I131" s="26"/>
      <c r="Y131" s="26"/>
    </row>
    <row r="132" spans="1:25" ht="12" customHeight="1">
      <c r="A132" s="96" t="s">
        <v>895</v>
      </c>
      <c r="B132" s="97" t="s">
        <v>896</v>
      </c>
      <c r="C132" s="27">
        <v>87.3</v>
      </c>
      <c r="D132" s="27">
        <v>0.40290500000000001</v>
      </c>
      <c r="E132" s="43"/>
      <c r="F132" s="29" cm="1">
        <f t="array" ref="F132">_xlfn.IFS(C132=":",":",C132&gt;=P$19,1,C132&gt;=P$20,2,C132&lt;P$20,3)</f>
        <v>1</v>
      </c>
      <c r="H132" s="43"/>
      <c r="I132" s="26"/>
      <c r="Y132" s="26"/>
    </row>
    <row r="133" spans="1:25" ht="12" customHeight="1">
      <c r="A133" s="96" t="s">
        <v>897</v>
      </c>
      <c r="B133" s="97" t="s">
        <v>898</v>
      </c>
      <c r="C133" s="27">
        <v>75.900000000000006</v>
      </c>
      <c r="D133" s="27">
        <v>0.280783</v>
      </c>
      <c r="E133" s="43"/>
      <c r="F133" s="29" cm="1">
        <f t="array" ref="F133">_xlfn.IFS(C133=":",":",C133&gt;=P$19,1,C133&gt;=P$20,2,C133&lt;P$20,3)</f>
        <v>1</v>
      </c>
      <c r="H133" s="43"/>
      <c r="I133" s="26"/>
      <c r="Y133" s="26"/>
    </row>
    <row r="134" spans="1:25" ht="12" customHeight="1">
      <c r="A134" s="96" t="s">
        <v>899</v>
      </c>
      <c r="B134" s="97" t="s">
        <v>900</v>
      </c>
      <c r="C134" s="27">
        <v>81.599999999999994</v>
      </c>
      <c r="D134" s="27">
        <v>0.48058200000000001</v>
      </c>
      <c r="E134" s="43"/>
      <c r="F134" s="29" cm="1">
        <f t="array" ref="F134">_xlfn.IFS(C134=":",":",C134&gt;=P$19,1,C134&gt;=P$20,2,C134&lt;P$20,3)</f>
        <v>1</v>
      </c>
      <c r="H134" s="43"/>
      <c r="I134" s="26"/>
      <c r="Y134" s="26"/>
    </row>
    <row r="135" spans="1:25" ht="12" customHeight="1">
      <c r="A135" s="96" t="s">
        <v>901</v>
      </c>
      <c r="B135" s="97" t="s">
        <v>902</v>
      </c>
      <c r="C135" s="27">
        <v>83.7</v>
      </c>
      <c r="D135" s="27">
        <v>0.112207</v>
      </c>
      <c r="E135" s="43"/>
      <c r="F135" s="29" cm="1">
        <f t="array" ref="F135">_xlfn.IFS(C135=":",":",C135&gt;=P$19,1,C135&gt;=P$20,2,C135&lt;P$20,3)</f>
        <v>1</v>
      </c>
      <c r="H135" s="43"/>
      <c r="I135" s="26"/>
      <c r="Y135" s="26"/>
    </row>
    <row r="136" spans="1:25" ht="12" customHeight="1">
      <c r="A136" s="96" t="s">
        <v>903</v>
      </c>
      <c r="B136" s="97" t="s">
        <v>904</v>
      </c>
      <c r="C136" s="27">
        <v>83.4</v>
      </c>
      <c r="D136" s="27">
        <v>0.30821300000000001</v>
      </c>
      <c r="E136" s="43"/>
      <c r="F136" s="29" cm="1">
        <f t="array" ref="F136">_xlfn.IFS(C136=":",":",C136&gt;=P$19,1,C136&gt;=P$20,2,C136&lt;P$20,3)</f>
        <v>1</v>
      </c>
      <c r="H136" s="43"/>
      <c r="I136" s="26"/>
      <c r="Y136" s="26"/>
    </row>
    <row r="137" spans="1:25" ht="12" customHeight="1">
      <c r="A137" s="96" t="s">
        <v>905</v>
      </c>
      <c r="B137" s="97" t="s">
        <v>906</v>
      </c>
      <c r="C137" s="27">
        <v>93.4</v>
      </c>
      <c r="D137" s="27">
        <v>0.94924900000000001</v>
      </c>
      <c r="E137" s="43"/>
      <c r="F137" s="29" cm="1">
        <f t="array" ref="F137">_xlfn.IFS(C137=":",":",C137&gt;=P$19,1,C137&gt;=P$20,2,C137&lt;P$20,3)</f>
        <v>1</v>
      </c>
      <c r="H137" s="43"/>
      <c r="I137" s="26"/>
      <c r="Y137" s="26"/>
    </row>
    <row r="138" spans="1:25" ht="12" customHeight="1">
      <c r="A138" s="96" t="s">
        <v>907</v>
      </c>
      <c r="B138" s="97" t="s">
        <v>908</v>
      </c>
      <c r="C138" s="27">
        <v>91.1</v>
      </c>
      <c r="D138" s="27">
        <v>0.60534600000000005</v>
      </c>
      <c r="E138" s="43"/>
      <c r="F138" s="29" cm="1">
        <f t="array" ref="F138">_xlfn.IFS(C138=":",":",C138&gt;=P$19,1,C138&gt;=P$20,2,C138&lt;P$20,3)</f>
        <v>1</v>
      </c>
      <c r="H138" s="43"/>
      <c r="I138" s="26"/>
      <c r="Y138" s="26"/>
    </row>
    <row r="139" spans="1:25" ht="12" customHeight="1">
      <c r="A139" s="96" t="s">
        <v>909</v>
      </c>
      <c r="B139" s="97" t="s">
        <v>910</v>
      </c>
      <c r="C139" s="27">
        <v>76.3</v>
      </c>
      <c r="D139" s="27">
        <v>0.244368</v>
      </c>
      <c r="E139" s="43"/>
      <c r="F139" s="29" cm="1">
        <f t="array" ref="F139">_xlfn.IFS(C139=":",":",C139&gt;=P$19,1,C139&gt;=P$20,2,C139&lt;P$20,3)</f>
        <v>1</v>
      </c>
      <c r="H139" s="43"/>
      <c r="I139" s="26"/>
      <c r="Y139" s="26"/>
    </row>
    <row r="140" spans="1:25" ht="12" customHeight="1">
      <c r="A140" s="96" t="s">
        <v>911</v>
      </c>
      <c r="B140" s="97" t="s">
        <v>912</v>
      </c>
      <c r="C140" s="27">
        <v>91.9</v>
      </c>
      <c r="D140" s="27">
        <v>3.0271669999999999</v>
      </c>
      <c r="E140" s="43"/>
      <c r="F140" s="29" cm="1">
        <f t="array" ref="F140">_xlfn.IFS(C140=":",":",C140&gt;=P$19,1,C140&gt;=P$20,2,C140&lt;P$20,3)</f>
        <v>1</v>
      </c>
      <c r="H140" s="43"/>
      <c r="I140" s="26"/>
      <c r="Y140" s="26"/>
    </row>
    <row r="141" spans="1:25" ht="12" customHeight="1">
      <c r="A141" s="96" t="s">
        <v>913</v>
      </c>
      <c r="B141" s="97" t="s">
        <v>914</v>
      </c>
      <c r="C141" s="27">
        <v>96.9</v>
      </c>
      <c r="D141" s="27">
        <v>1.83369</v>
      </c>
      <c r="E141" s="43"/>
      <c r="F141" s="29" cm="1">
        <f t="array" ref="F141">_xlfn.IFS(C141=":",":",C141&gt;=P$19,1,C141&gt;=P$20,2,C141&lt;P$20,3)</f>
        <v>1</v>
      </c>
      <c r="H141" s="43"/>
      <c r="I141" s="26"/>
      <c r="Y141" s="26"/>
    </row>
    <row r="142" spans="1:25" ht="12" customHeight="1">
      <c r="A142" s="96" t="s">
        <v>915</v>
      </c>
      <c r="B142" s="97" t="s">
        <v>916</v>
      </c>
      <c r="C142" s="27">
        <v>89.3</v>
      </c>
      <c r="D142" s="27">
        <v>0.750803</v>
      </c>
      <c r="E142" s="43"/>
      <c r="F142" s="29" cm="1">
        <f t="array" ref="F142">_xlfn.IFS(C142=":",":",C142&gt;=P$19,1,C142&gt;=P$20,2,C142&lt;P$20,3)</f>
        <v>1</v>
      </c>
      <c r="H142" s="43"/>
      <c r="I142" s="26"/>
      <c r="Y142" s="26"/>
    </row>
    <row r="143" spans="1:25" ht="12" customHeight="1">
      <c r="A143" s="96" t="s">
        <v>917</v>
      </c>
      <c r="B143" s="97" t="s">
        <v>918</v>
      </c>
      <c r="C143" s="27">
        <v>93.1</v>
      </c>
      <c r="D143" s="27">
        <v>0.57670999999999994</v>
      </c>
      <c r="E143" s="43"/>
      <c r="F143" s="29" cm="1">
        <f t="array" ref="F143">_xlfn.IFS(C143=":",":",C143&gt;=P$19,1,C143&gt;=P$20,2,C143&lt;P$20,3)</f>
        <v>1</v>
      </c>
      <c r="H143" s="43"/>
      <c r="I143" s="26"/>
      <c r="Y143" s="26"/>
    </row>
    <row r="144" spans="1:25" ht="12" customHeight="1">
      <c r="A144" s="96" t="s">
        <v>919</v>
      </c>
      <c r="B144" s="97" t="s">
        <v>920</v>
      </c>
      <c r="C144" s="27">
        <v>65.5</v>
      </c>
      <c r="D144" s="27">
        <v>0.21229200000000001</v>
      </c>
      <c r="E144" s="43"/>
      <c r="F144" s="29" cm="1">
        <f t="array" ref="F144">_xlfn.IFS(C144=":",":",C144&gt;=P$19,1,C144&gt;=P$20,2,C144&lt;P$20,3)</f>
        <v>1</v>
      </c>
      <c r="H144" s="43"/>
      <c r="I144" s="26"/>
      <c r="Y144" s="26"/>
    </row>
    <row r="145" spans="1:25" ht="12" customHeight="1">
      <c r="A145" s="96" t="s">
        <v>921</v>
      </c>
      <c r="B145" s="97" t="s">
        <v>922</v>
      </c>
      <c r="C145" s="27">
        <v>75.3</v>
      </c>
      <c r="D145" s="27">
        <v>0.100327</v>
      </c>
      <c r="E145" s="43"/>
      <c r="F145" s="29" cm="1">
        <f t="array" ref="F145">_xlfn.IFS(C145=":",":",C145&gt;=P$19,1,C145&gt;=P$20,2,C145&lt;P$20,3)</f>
        <v>1</v>
      </c>
      <c r="H145" s="43"/>
      <c r="I145" s="26"/>
      <c r="Y145" s="26"/>
    </row>
    <row r="146" spans="1:25" ht="12" customHeight="1">
      <c r="A146" s="96" t="s">
        <v>923</v>
      </c>
      <c r="B146" s="97" t="s">
        <v>924</v>
      </c>
      <c r="C146" s="27">
        <v>76.3</v>
      </c>
      <c r="D146" s="27">
        <v>1.356231</v>
      </c>
      <c r="E146" s="43"/>
      <c r="F146" s="29" cm="1">
        <f t="array" ref="F146">_xlfn.IFS(C146=":",":",C146&gt;=P$19,1,C146&gt;=P$20,2,C146&lt;P$20,3)</f>
        <v>1</v>
      </c>
      <c r="H146" s="43"/>
      <c r="I146" s="26"/>
      <c r="Y146" s="26"/>
    </row>
    <row r="147" spans="1:25" ht="12" customHeight="1">
      <c r="A147" s="96" t="s">
        <v>925</v>
      </c>
      <c r="B147" s="97" t="s">
        <v>2863</v>
      </c>
      <c r="C147" s="27">
        <v>82.8</v>
      </c>
      <c r="D147" s="27">
        <v>7.6286999999999994E-2</v>
      </c>
      <c r="E147" s="43"/>
      <c r="F147" s="29" cm="1">
        <f t="array" ref="F147">_xlfn.IFS(C147=":",":",C147&gt;=P$19,1,C147&gt;=P$20,2,C147&lt;P$20,3)</f>
        <v>1</v>
      </c>
      <c r="H147" s="43"/>
      <c r="I147" s="26"/>
      <c r="Y147" s="26"/>
    </row>
    <row r="148" spans="1:25" ht="12" customHeight="1">
      <c r="A148" s="96" t="s">
        <v>926</v>
      </c>
      <c r="B148" s="97" t="s">
        <v>927</v>
      </c>
      <c r="C148" s="27">
        <v>79.400000000000006</v>
      </c>
      <c r="D148" s="27">
        <v>0.29783300000000001</v>
      </c>
      <c r="E148" s="43"/>
      <c r="F148" s="29" cm="1">
        <f t="array" ref="F148">_xlfn.IFS(C148=":",":",C148&gt;=P$19,1,C148&gt;=P$20,2,C148&lt;P$20,3)</f>
        <v>1</v>
      </c>
      <c r="H148" s="43"/>
      <c r="I148" s="26"/>
      <c r="Y148" s="26"/>
    </row>
    <row r="149" spans="1:25" ht="12" customHeight="1">
      <c r="A149" s="96" t="s">
        <v>928</v>
      </c>
      <c r="B149" s="97" t="s">
        <v>929</v>
      </c>
      <c r="C149" s="27">
        <v>95.8</v>
      </c>
      <c r="D149" s="27">
        <v>1.4822219999999999</v>
      </c>
      <c r="E149" s="43"/>
      <c r="F149" s="29" cm="1">
        <f t="array" ref="F149">_xlfn.IFS(C149=":",":",C149&gt;=P$19,1,C149&gt;=P$20,2,C149&lt;P$20,3)</f>
        <v>1</v>
      </c>
      <c r="H149" s="43"/>
      <c r="I149" s="26"/>
      <c r="Y149" s="26"/>
    </row>
    <row r="150" spans="1:25" ht="12" customHeight="1">
      <c r="A150" s="96" t="s">
        <v>930</v>
      </c>
      <c r="B150" s="97" t="s">
        <v>2864</v>
      </c>
      <c r="C150" s="27">
        <v>79.3</v>
      </c>
      <c r="D150" s="27">
        <v>0.37173</v>
      </c>
      <c r="E150" s="43"/>
      <c r="F150" s="29" cm="1">
        <f t="array" ref="F150">_xlfn.IFS(C150=":",":",C150&gt;=P$19,1,C150&gt;=P$20,2,C150&lt;P$20,3)</f>
        <v>1</v>
      </c>
      <c r="H150" s="43"/>
      <c r="I150" s="26"/>
      <c r="Y150" s="26"/>
    </row>
    <row r="151" spans="1:25" ht="12" customHeight="1">
      <c r="A151" s="96" t="s">
        <v>931</v>
      </c>
      <c r="B151" s="97" t="s">
        <v>2865</v>
      </c>
      <c r="C151" s="27">
        <v>78.599999999999994</v>
      </c>
      <c r="D151" s="27">
        <v>0.24057899999999999</v>
      </c>
      <c r="E151" s="43"/>
      <c r="F151" s="29" cm="1">
        <f t="array" ref="F151">_xlfn.IFS(C151=":",":",C151&gt;=P$19,1,C151&gt;=P$20,2,C151&lt;P$20,3)</f>
        <v>1</v>
      </c>
      <c r="H151" s="43"/>
      <c r="I151" s="26"/>
      <c r="Y151" s="26"/>
    </row>
    <row r="152" spans="1:25" ht="12" customHeight="1">
      <c r="A152" s="96" t="s">
        <v>932</v>
      </c>
      <c r="B152" s="97" t="s">
        <v>933</v>
      </c>
      <c r="C152" s="27">
        <v>79.8</v>
      </c>
      <c r="D152" s="27">
        <v>0.31604100000000002</v>
      </c>
      <c r="E152" s="43"/>
      <c r="F152" s="29" cm="1">
        <f t="array" ref="F152">_xlfn.IFS(C152=":",":",C152&gt;=P$19,1,C152&gt;=P$20,2,C152&lt;P$20,3)</f>
        <v>1</v>
      </c>
      <c r="H152" s="43"/>
      <c r="I152" s="26"/>
      <c r="Y152" s="26"/>
    </row>
    <row r="153" spans="1:25" ht="12" customHeight="1">
      <c r="A153" s="96" t="s">
        <v>934</v>
      </c>
      <c r="B153" s="97" t="s">
        <v>935</v>
      </c>
      <c r="C153" s="27">
        <v>91.5</v>
      </c>
      <c r="D153" s="27">
        <v>0.43183700000000003</v>
      </c>
      <c r="E153" s="43"/>
      <c r="F153" s="29" cm="1">
        <f t="array" ref="F153">_xlfn.IFS(C153=":",":",C153&gt;=P$19,1,C153&gt;=P$20,2,C153&lt;P$20,3)</f>
        <v>1</v>
      </c>
      <c r="H153" s="43"/>
      <c r="I153" s="26"/>
      <c r="Y153" s="26"/>
    </row>
    <row r="154" spans="1:25" ht="12" customHeight="1">
      <c r="A154" s="96" t="s">
        <v>936</v>
      </c>
      <c r="B154" s="97" t="s">
        <v>937</v>
      </c>
      <c r="C154" s="27">
        <v>89.2</v>
      </c>
      <c r="D154" s="27">
        <v>0.334594</v>
      </c>
      <c r="E154" s="43"/>
      <c r="F154" s="29" cm="1">
        <f t="array" ref="F154">_xlfn.IFS(C154=":",":",C154&gt;=P$19,1,C154&gt;=P$20,2,C154&lt;P$20,3)</f>
        <v>1</v>
      </c>
      <c r="H154" s="43"/>
      <c r="I154" s="26"/>
      <c r="Y154" s="26"/>
    </row>
    <row r="155" spans="1:25" ht="12" customHeight="1">
      <c r="A155" s="96" t="s">
        <v>938</v>
      </c>
      <c r="B155" s="97" t="s">
        <v>939</v>
      </c>
      <c r="C155" s="27">
        <v>85.5</v>
      </c>
      <c r="D155" s="27">
        <v>0.84229699999999996</v>
      </c>
      <c r="E155" s="43"/>
      <c r="F155" s="29" cm="1">
        <f t="array" ref="F155">_xlfn.IFS(C155=":",":",C155&gt;=P$19,1,C155&gt;=P$20,2,C155&lt;P$20,3)</f>
        <v>1</v>
      </c>
      <c r="H155" s="43"/>
      <c r="I155" s="26"/>
      <c r="Y155" s="26"/>
    </row>
    <row r="156" spans="1:25" ht="12" customHeight="1">
      <c r="A156" s="96" t="s">
        <v>940</v>
      </c>
      <c r="B156" s="97" t="s">
        <v>941</v>
      </c>
      <c r="C156" s="27">
        <v>83.4</v>
      </c>
      <c r="D156" s="27">
        <v>0.42980200000000002</v>
      </c>
      <c r="E156" s="43"/>
      <c r="F156" s="29" cm="1">
        <f t="array" ref="F156">_xlfn.IFS(C156=":",":",C156&gt;=P$19,1,C156&gt;=P$20,2,C156&lt;P$20,3)</f>
        <v>1</v>
      </c>
      <c r="H156" s="43"/>
      <c r="I156" s="26"/>
      <c r="Y156" s="26"/>
    </row>
    <row r="157" spans="1:25" ht="12" customHeight="1">
      <c r="A157" s="96" t="s">
        <v>942</v>
      </c>
      <c r="B157" s="97" t="s">
        <v>943</v>
      </c>
      <c r="C157" s="27">
        <v>87.4</v>
      </c>
      <c r="D157" s="27">
        <v>0.16498299999999999</v>
      </c>
      <c r="E157" s="43"/>
      <c r="F157" s="29" cm="1">
        <f t="array" ref="F157">_xlfn.IFS(C157=":",":",C157&gt;=P$19,1,C157&gt;=P$20,2,C157&lt;P$20,3)</f>
        <v>1</v>
      </c>
      <c r="H157" s="43"/>
      <c r="I157" s="26"/>
      <c r="Y157" s="26"/>
    </row>
    <row r="158" spans="1:25" ht="12" customHeight="1">
      <c r="A158" s="96" t="s">
        <v>944</v>
      </c>
      <c r="B158" s="97" t="s">
        <v>945</v>
      </c>
      <c r="C158" s="27">
        <v>86.7</v>
      </c>
      <c r="D158" s="27">
        <v>0.13568</v>
      </c>
      <c r="E158" s="43"/>
      <c r="F158" s="29" cm="1">
        <f t="array" ref="F158">_xlfn.IFS(C158=":",":",C158&gt;=P$19,1,C158&gt;=P$20,2,C158&lt;P$20,3)</f>
        <v>1</v>
      </c>
      <c r="H158" s="43"/>
      <c r="I158" s="29"/>
      <c r="Y158" s="26"/>
    </row>
    <row r="159" spans="1:25" ht="12" customHeight="1">
      <c r="A159" s="96" t="s">
        <v>946</v>
      </c>
      <c r="B159" s="97" t="s">
        <v>947</v>
      </c>
      <c r="C159" s="27">
        <v>90</v>
      </c>
      <c r="D159" s="27">
        <v>0.38329800000000003</v>
      </c>
      <c r="E159" s="43"/>
      <c r="F159" s="29" cm="1">
        <f t="array" ref="F159">_xlfn.IFS(C159=":",":",C159&gt;=P$19,1,C159&gt;=P$20,2,C159&lt;P$20,3)</f>
        <v>1</v>
      </c>
      <c r="H159" s="43"/>
      <c r="I159" s="29"/>
      <c r="Y159" s="26"/>
    </row>
    <row r="160" spans="1:25" ht="12" customHeight="1">
      <c r="A160" s="96" t="s">
        <v>948</v>
      </c>
      <c r="B160" s="97" t="s">
        <v>949</v>
      </c>
      <c r="C160" s="27">
        <v>95</v>
      </c>
      <c r="D160" s="27">
        <v>0.61443499999999995</v>
      </c>
      <c r="E160" s="43"/>
      <c r="F160" s="29" cm="1">
        <f t="array" ref="F160">_xlfn.IFS(C160=":",":",C160&gt;=P$19,1,C160&gt;=P$20,2,C160&lt;P$20,3)</f>
        <v>1</v>
      </c>
      <c r="H160" s="43"/>
      <c r="I160" s="29"/>
      <c r="Y160" s="26"/>
    </row>
    <row r="161" spans="1:25" ht="12" customHeight="1">
      <c r="A161" s="96" t="s">
        <v>950</v>
      </c>
      <c r="B161" s="97" t="s">
        <v>951</v>
      </c>
      <c r="C161" s="27">
        <v>94</v>
      </c>
      <c r="D161" s="27">
        <v>0.13356100000000001</v>
      </c>
      <c r="E161" s="43"/>
      <c r="F161" s="29" cm="1">
        <f t="array" ref="F161">_xlfn.IFS(C161=":",":",C161&gt;=P$19,1,C161&gt;=P$20,2,C161&lt;P$20,3)</f>
        <v>1</v>
      </c>
      <c r="H161" s="43"/>
      <c r="I161" s="29"/>
      <c r="Y161" s="26"/>
    </row>
    <row r="162" spans="1:25" ht="12" customHeight="1">
      <c r="A162" s="96" t="s">
        <v>952</v>
      </c>
      <c r="B162" s="97" t="s">
        <v>953</v>
      </c>
      <c r="C162" s="27">
        <v>88.7</v>
      </c>
      <c r="D162" s="27">
        <v>0.38428699999999999</v>
      </c>
      <c r="E162" s="43"/>
      <c r="F162" s="29" cm="1">
        <f t="array" ref="F162">_xlfn.IFS(C162=":",":",C162&gt;=P$19,1,C162&gt;=P$20,2,C162&lt;P$20,3)</f>
        <v>1</v>
      </c>
      <c r="H162" s="43"/>
      <c r="I162" s="29"/>
      <c r="Y162" s="26"/>
    </row>
    <row r="163" spans="1:25" ht="12" customHeight="1">
      <c r="A163" s="96" t="s">
        <v>954</v>
      </c>
      <c r="B163" s="97" t="s">
        <v>955</v>
      </c>
      <c r="C163" s="27">
        <v>93.6</v>
      </c>
      <c r="D163" s="27">
        <v>0.27399499999999999</v>
      </c>
      <c r="E163" s="43"/>
      <c r="F163" s="29" cm="1">
        <f t="array" ref="F163">_xlfn.IFS(C163=":",":",C163&gt;=P$19,1,C163&gt;=P$20,2,C163&lt;P$20,3)</f>
        <v>1</v>
      </c>
      <c r="H163" s="43"/>
      <c r="I163" s="29"/>
      <c r="Y163" s="26"/>
    </row>
    <row r="164" spans="1:25" ht="12" customHeight="1">
      <c r="A164" s="96" t="s">
        <v>956</v>
      </c>
      <c r="B164" s="97" t="s">
        <v>957</v>
      </c>
      <c r="C164" s="27">
        <v>92.5</v>
      </c>
      <c r="D164" s="27">
        <v>0.171512</v>
      </c>
      <c r="E164" s="43"/>
      <c r="F164" s="29" cm="1">
        <f t="array" ref="F164">_xlfn.IFS(C164=":",":",C164&gt;=P$19,1,C164&gt;=P$20,2,C164&lt;P$20,3)</f>
        <v>1</v>
      </c>
      <c r="H164" s="43"/>
      <c r="I164" s="29"/>
      <c r="Y164" s="26"/>
    </row>
    <row r="165" spans="1:25" ht="12" customHeight="1">
      <c r="A165" s="96" t="s">
        <v>958</v>
      </c>
      <c r="B165" s="97" t="s">
        <v>959</v>
      </c>
      <c r="C165" s="27">
        <v>90.9</v>
      </c>
      <c r="D165" s="27">
        <v>0.22109999999999999</v>
      </c>
      <c r="E165" s="43"/>
      <c r="F165" s="29" cm="1">
        <f t="array" ref="F165">_xlfn.IFS(C165=":",":",C165&gt;=P$19,1,C165&gt;=P$20,2,C165&lt;P$20,3)</f>
        <v>1</v>
      </c>
      <c r="H165" s="43"/>
      <c r="I165" s="29"/>
      <c r="Y165" s="26"/>
    </row>
    <row r="166" spans="1:25" ht="12" customHeight="1">
      <c r="A166" s="96" t="s">
        <v>960</v>
      </c>
      <c r="B166" s="97" t="s">
        <v>961</v>
      </c>
      <c r="C166" s="27">
        <v>95.2</v>
      </c>
      <c r="D166" s="27">
        <v>0.41748499999999999</v>
      </c>
      <c r="E166" s="43"/>
      <c r="F166" s="29" cm="1">
        <f t="array" ref="F166">_xlfn.IFS(C166=":",":",C166&gt;=P$19,1,C166&gt;=P$20,2,C166&lt;P$20,3)</f>
        <v>1</v>
      </c>
      <c r="H166" s="43"/>
      <c r="I166" s="29"/>
      <c r="Y166" s="26"/>
    </row>
    <row r="167" spans="1:25" ht="12" customHeight="1">
      <c r="A167" s="96" t="s">
        <v>962</v>
      </c>
      <c r="B167" s="97" t="s">
        <v>2866</v>
      </c>
      <c r="C167" s="27">
        <v>95.6</v>
      </c>
      <c r="D167" s="27">
        <v>0.38444400000000001</v>
      </c>
      <c r="E167" s="43"/>
      <c r="F167" s="29" cm="1">
        <f t="array" ref="F167">_xlfn.IFS(C167=":",":",C167&gt;=P$19,1,C167&gt;=P$20,2,C167&lt;P$20,3)</f>
        <v>1</v>
      </c>
      <c r="H167" s="43"/>
      <c r="I167" s="29"/>
      <c r="Y167" s="26"/>
    </row>
    <row r="168" spans="1:25" ht="12" customHeight="1">
      <c r="A168" s="96" t="s">
        <v>963</v>
      </c>
      <c r="B168" s="97" t="s">
        <v>964</v>
      </c>
      <c r="C168" s="27">
        <v>83</v>
      </c>
      <c r="D168" s="27">
        <v>0.10040200000000001</v>
      </c>
      <c r="E168" s="43"/>
      <c r="F168" s="29" cm="1">
        <f t="array" ref="F168">_xlfn.IFS(C168=":",":",C168&gt;=P$19,1,C168&gt;=P$20,2,C168&lt;P$20,3)</f>
        <v>1</v>
      </c>
      <c r="H168" s="43"/>
      <c r="I168" s="29"/>
      <c r="Y168" s="26"/>
    </row>
    <row r="169" spans="1:25" ht="12" customHeight="1">
      <c r="A169" s="96" t="s">
        <v>965</v>
      </c>
      <c r="B169" s="97" t="s">
        <v>966</v>
      </c>
      <c r="C169" s="27">
        <v>64.2</v>
      </c>
      <c r="D169" s="27">
        <v>0.687859</v>
      </c>
      <c r="E169" s="43"/>
      <c r="F169" s="29" cm="1">
        <f t="array" ref="F169">_xlfn.IFS(C169=":",":",C169&gt;=P$19,1,C169&gt;=P$20,2,C169&lt;P$20,3)</f>
        <v>2</v>
      </c>
      <c r="H169" s="43"/>
      <c r="I169" s="29"/>
      <c r="Y169" s="26"/>
    </row>
    <row r="170" spans="1:25" ht="12" customHeight="1">
      <c r="A170" s="96" t="s">
        <v>967</v>
      </c>
      <c r="B170" s="97" t="s">
        <v>968</v>
      </c>
      <c r="C170" s="27">
        <v>73.599999999999994</v>
      </c>
      <c r="D170" s="27">
        <v>0.325604</v>
      </c>
      <c r="E170" s="43"/>
      <c r="F170" s="29" cm="1">
        <f t="array" ref="F170">_xlfn.IFS(C170=":",":",C170&gt;=P$19,1,C170&gt;=P$20,2,C170&lt;P$20,3)</f>
        <v>1</v>
      </c>
      <c r="H170" s="43"/>
      <c r="I170" s="29"/>
      <c r="Y170" s="26"/>
    </row>
    <row r="171" spans="1:25" ht="12" customHeight="1">
      <c r="A171" s="96" t="s">
        <v>969</v>
      </c>
      <c r="B171" s="97" t="s">
        <v>970</v>
      </c>
      <c r="C171" s="27">
        <v>65.8</v>
      </c>
      <c r="D171" s="27">
        <v>3.8552409999999999</v>
      </c>
      <c r="E171" s="43"/>
      <c r="F171" s="29" cm="1">
        <f t="array" ref="F171">_xlfn.IFS(C171=":",":",C171&gt;=P$19,1,C171&gt;=P$20,2,C171&lt;P$20,3)</f>
        <v>1</v>
      </c>
      <c r="H171" s="43"/>
      <c r="I171" s="29"/>
      <c r="Y171" s="26"/>
    </row>
    <row r="172" spans="1:25" ht="12" customHeight="1">
      <c r="A172" s="96" t="s">
        <v>971</v>
      </c>
      <c r="B172" s="97" t="s">
        <v>972</v>
      </c>
      <c r="C172" s="27">
        <v>63.1</v>
      </c>
      <c r="D172" s="27">
        <v>0.1033</v>
      </c>
      <c r="E172" s="43"/>
      <c r="F172" s="29" cm="1">
        <f t="array" ref="F172">_xlfn.IFS(C172=":",":",C172&gt;=P$19,1,C172&gt;=P$20,2,C172&lt;P$20,3)</f>
        <v>2</v>
      </c>
      <c r="H172" s="43"/>
      <c r="I172" s="29"/>
      <c r="Y172" s="26"/>
    </row>
    <row r="173" spans="1:25" ht="12" customHeight="1">
      <c r="A173" s="96" t="s">
        <v>973</v>
      </c>
      <c r="B173" s="97" t="s">
        <v>974</v>
      </c>
      <c r="C173" s="27">
        <v>77.900000000000006</v>
      </c>
      <c r="D173" s="27">
        <v>1.4334640000000001</v>
      </c>
      <c r="E173" s="43"/>
      <c r="F173" s="29" cm="1">
        <f t="array" ref="F173">_xlfn.IFS(C173=":",":",C173&gt;=P$19,1,C173&gt;=P$20,2,C173&lt;P$20,3)</f>
        <v>1</v>
      </c>
      <c r="H173" s="43"/>
      <c r="I173" s="29"/>
      <c r="Y173" s="26"/>
    </row>
    <row r="174" spans="1:25" ht="12" customHeight="1">
      <c r="A174" s="96" t="s">
        <v>975</v>
      </c>
      <c r="B174" s="97" t="s">
        <v>976</v>
      </c>
      <c r="C174" s="27">
        <v>72.099999999999994</v>
      </c>
      <c r="D174" s="27">
        <v>0.29155599999999998</v>
      </c>
      <c r="E174" s="43"/>
      <c r="F174" s="29" cm="1">
        <f t="array" ref="F174">_xlfn.IFS(C174=":",":",C174&gt;=P$19,1,C174&gt;=P$20,2,C174&lt;P$20,3)</f>
        <v>1</v>
      </c>
      <c r="H174" s="43"/>
      <c r="I174" s="29"/>
      <c r="Y174" s="26"/>
    </row>
    <row r="175" spans="1:25" ht="12" customHeight="1">
      <c r="A175" s="96" t="s">
        <v>977</v>
      </c>
      <c r="B175" s="97" t="s">
        <v>978</v>
      </c>
      <c r="C175" s="27">
        <v>82.4</v>
      </c>
      <c r="D175" s="27">
        <v>0.199988</v>
      </c>
      <c r="E175" s="43"/>
      <c r="F175" s="29" cm="1">
        <f t="array" ref="F175">_xlfn.IFS(C175=":",":",C175&gt;=P$19,1,C175&gt;=P$20,2,C175&lt;P$20,3)</f>
        <v>1</v>
      </c>
      <c r="H175" s="43"/>
      <c r="I175" s="29"/>
      <c r="Y175" s="26"/>
    </row>
    <row r="176" spans="1:25" ht="12" customHeight="1">
      <c r="A176" s="96" t="s">
        <v>979</v>
      </c>
      <c r="B176" s="97" t="s">
        <v>980</v>
      </c>
      <c r="C176" s="27">
        <v>86.6</v>
      </c>
      <c r="D176" s="27">
        <v>0.26897100000000002</v>
      </c>
      <c r="E176" s="43"/>
      <c r="F176" s="29" cm="1">
        <f t="array" ref="F176">_xlfn.IFS(C176=":",":",C176&gt;=P$19,1,C176&gt;=P$20,2,C176&lt;P$20,3)</f>
        <v>1</v>
      </c>
      <c r="H176" s="43"/>
      <c r="I176" s="29"/>
      <c r="Y176" s="26"/>
    </row>
    <row r="177" spans="1:25" ht="12" customHeight="1">
      <c r="A177" s="96" t="s">
        <v>981</v>
      </c>
      <c r="B177" s="97" t="s">
        <v>2867</v>
      </c>
      <c r="C177" s="27">
        <v>91.6</v>
      </c>
      <c r="D177" s="27">
        <v>0.46540199999999998</v>
      </c>
      <c r="E177" s="43"/>
      <c r="F177" s="29" cm="1">
        <f t="array" ref="F177">_xlfn.IFS(C177=":",":",C177&gt;=P$19,1,C177&gt;=P$20,2,C177&lt;P$20,3)</f>
        <v>1</v>
      </c>
      <c r="H177" s="43"/>
      <c r="I177" s="29"/>
      <c r="Y177" s="26"/>
    </row>
    <row r="178" spans="1:25" ht="12" customHeight="1">
      <c r="A178" s="96" t="s">
        <v>982</v>
      </c>
      <c r="B178" s="97" t="s">
        <v>983</v>
      </c>
      <c r="C178" s="27">
        <v>83.1</v>
      </c>
      <c r="D178" s="27">
        <v>0.39401900000000001</v>
      </c>
      <c r="E178" s="43"/>
      <c r="F178" s="29" cm="1">
        <f t="array" ref="F178">_xlfn.IFS(C178=":",":",C178&gt;=P$19,1,C178&gt;=P$20,2,C178&lt;P$20,3)</f>
        <v>1</v>
      </c>
      <c r="H178" s="43"/>
      <c r="I178" s="29"/>
      <c r="Y178" s="26"/>
    </row>
    <row r="179" spans="1:25" ht="12" customHeight="1">
      <c r="A179" s="96" t="s">
        <v>984</v>
      </c>
      <c r="B179" s="97" t="s">
        <v>985</v>
      </c>
      <c r="C179" s="27">
        <v>96.3</v>
      </c>
      <c r="D179" s="27">
        <v>0.92821600000000004</v>
      </c>
      <c r="E179" s="43"/>
      <c r="F179" s="29" cm="1">
        <f t="array" ref="F179">_xlfn.IFS(C179=":",":",C179&gt;=P$19,1,C179&gt;=P$20,2,C179&lt;P$20,3)</f>
        <v>1</v>
      </c>
      <c r="H179" s="43"/>
      <c r="I179" s="29"/>
      <c r="Y179" s="26"/>
    </row>
    <row r="180" spans="1:25" ht="12" customHeight="1">
      <c r="A180" s="96" t="s">
        <v>986</v>
      </c>
      <c r="B180" s="97" t="s">
        <v>987</v>
      </c>
      <c r="C180" s="27">
        <v>85.7</v>
      </c>
      <c r="D180" s="27">
        <v>0.28198800000000002</v>
      </c>
      <c r="E180" s="43"/>
      <c r="F180" s="29" cm="1">
        <f t="array" ref="F180">_xlfn.IFS(C180=":",":",C180&gt;=P$19,1,C180&gt;=P$20,2,C180&lt;P$20,3)</f>
        <v>1</v>
      </c>
      <c r="H180" s="43"/>
      <c r="I180" s="29"/>
      <c r="Y180" s="26"/>
    </row>
    <row r="181" spans="1:25" ht="12" customHeight="1">
      <c r="A181" s="96" t="s">
        <v>988</v>
      </c>
      <c r="B181" s="97" t="s">
        <v>989</v>
      </c>
      <c r="C181" s="27">
        <v>81.900000000000006</v>
      </c>
      <c r="D181" s="27">
        <v>0.250666</v>
      </c>
      <c r="E181" s="43"/>
      <c r="F181" s="29" cm="1">
        <f t="array" ref="F181">_xlfn.IFS(C181=":",":",C181&gt;=P$19,1,C181&gt;=P$20,2,C181&lt;P$20,3)</f>
        <v>1</v>
      </c>
      <c r="H181" s="43"/>
      <c r="Y181" s="26"/>
    </row>
    <row r="182" spans="1:25" ht="12" customHeight="1">
      <c r="A182" s="96" t="s">
        <v>990</v>
      </c>
      <c r="B182" s="97" t="s">
        <v>991</v>
      </c>
      <c r="C182" s="27">
        <v>84.8</v>
      </c>
      <c r="D182" s="27">
        <v>1.0410649999999999</v>
      </c>
      <c r="E182" s="43"/>
      <c r="F182" s="29" cm="1">
        <f t="array" ref="F182">_xlfn.IFS(C182=":",":",C182&gt;=P$19,1,C182&gt;=P$20,2,C182&lt;P$20,3)</f>
        <v>1</v>
      </c>
      <c r="H182" s="43"/>
      <c r="Y182" s="26"/>
    </row>
    <row r="183" spans="1:25" ht="12" customHeight="1">
      <c r="A183" s="96" t="s">
        <v>992</v>
      </c>
      <c r="B183" s="97" t="s">
        <v>993</v>
      </c>
      <c r="C183" s="27">
        <v>85.7</v>
      </c>
      <c r="D183" s="27">
        <v>0.44305499999999998</v>
      </c>
      <c r="E183" s="43"/>
      <c r="F183" s="29" cm="1">
        <f t="array" ref="F183">_xlfn.IFS(C183=":",":",C183&gt;=P$19,1,C183&gt;=P$20,2,C183&lt;P$20,3)</f>
        <v>1</v>
      </c>
      <c r="H183" s="43"/>
      <c r="Y183" s="26"/>
    </row>
    <row r="184" spans="1:25" ht="12" customHeight="1">
      <c r="A184" s="96" t="s">
        <v>994</v>
      </c>
      <c r="B184" s="97" t="s">
        <v>995</v>
      </c>
      <c r="C184" s="27">
        <v>95</v>
      </c>
      <c r="D184" s="27">
        <v>0.91248300000000004</v>
      </c>
      <c r="E184" s="43"/>
      <c r="F184" s="29" cm="1">
        <f t="array" ref="F184">_xlfn.IFS(C184=":",":",C184&gt;=P$19,1,C184&gt;=P$20,2,C184&lt;P$20,3)</f>
        <v>1</v>
      </c>
      <c r="H184" s="43"/>
      <c r="I184" s="29"/>
      <c r="Y184" s="26"/>
    </row>
    <row r="185" spans="1:25" ht="12" customHeight="1">
      <c r="A185" s="96" t="s">
        <v>996</v>
      </c>
      <c r="B185" s="97" t="s">
        <v>997</v>
      </c>
      <c r="C185" s="27">
        <v>97.2</v>
      </c>
      <c r="D185" s="27">
        <v>0.602155</v>
      </c>
      <c r="E185" s="43"/>
      <c r="F185" s="29" cm="1">
        <f t="array" ref="F185">_xlfn.IFS(C185=":",":",C185&gt;=P$19,1,C185&gt;=P$20,2,C185&lt;P$20,3)</f>
        <v>1</v>
      </c>
      <c r="H185" s="43"/>
      <c r="I185" s="29"/>
      <c r="Y185" s="26"/>
    </row>
    <row r="186" spans="1:25" ht="12" customHeight="1">
      <c r="A186" s="96" t="s">
        <v>998</v>
      </c>
      <c r="B186" s="97" t="s">
        <v>999</v>
      </c>
      <c r="C186" s="27">
        <v>93.3</v>
      </c>
      <c r="D186" s="27">
        <v>0.15979199999999999</v>
      </c>
      <c r="E186" s="43"/>
      <c r="F186" s="29" cm="1">
        <f t="array" ref="F186">_xlfn.IFS(C186=":",":",C186&gt;=P$19,1,C186&gt;=P$20,2,C186&lt;P$20,3)</f>
        <v>1</v>
      </c>
      <c r="H186" s="43"/>
      <c r="I186" s="29"/>
      <c r="Y186" s="26"/>
    </row>
    <row r="187" spans="1:25" ht="12" customHeight="1">
      <c r="A187" s="96" t="s">
        <v>1000</v>
      </c>
      <c r="B187" s="97" t="s">
        <v>1001</v>
      </c>
      <c r="C187" s="27">
        <v>88</v>
      </c>
      <c r="D187" s="27">
        <v>0.72851699999999997</v>
      </c>
      <c r="E187" s="43"/>
      <c r="F187" s="29" cm="1">
        <f t="array" ref="F187">_xlfn.IFS(C187=":",":",C187&gt;=P$19,1,C187&gt;=P$20,2,C187&lt;P$20,3)</f>
        <v>1</v>
      </c>
      <c r="H187" s="43"/>
      <c r="I187" s="29"/>
      <c r="Y187" s="26"/>
    </row>
    <row r="188" spans="1:25" ht="12" customHeight="1">
      <c r="A188" s="96" t="s">
        <v>1002</v>
      </c>
      <c r="B188" s="97" t="s">
        <v>1003</v>
      </c>
      <c r="C188" s="27">
        <v>91.2</v>
      </c>
      <c r="D188" s="27">
        <v>0.26298899999999997</v>
      </c>
      <c r="E188" s="43"/>
      <c r="F188" s="29" cm="1">
        <f t="array" ref="F188">_xlfn.IFS(C188=":",":",C188&gt;=P$19,1,C188&gt;=P$20,2,C188&lt;P$20,3)</f>
        <v>1</v>
      </c>
      <c r="H188" s="43"/>
      <c r="I188" s="29"/>
      <c r="Y188" s="26"/>
    </row>
    <row r="189" spans="1:25" ht="12" customHeight="1">
      <c r="A189" s="96" t="s">
        <v>1004</v>
      </c>
      <c r="B189" s="97" t="s">
        <v>1005</v>
      </c>
      <c r="C189" s="27">
        <v>86.7</v>
      </c>
      <c r="D189" s="27">
        <v>0.44209199999999998</v>
      </c>
      <c r="E189" s="43"/>
      <c r="F189" s="29" cm="1">
        <f t="array" ref="F189">_xlfn.IFS(C189=":",":",C189&gt;=P$19,1,C189&gt;=P$20,2,C189&lt;P$20,3)</f>
        <v>1</v>
      </c>
      <c r="H189" s="43"/>
      <c r="I189" s="29"/>
      <c r="Y189" s="26"/>
    </row>
    <row r="190" spans="1:25" ht="12" customHeight="1">
      <c r="A190" s="96" t="s">
        <v>1006</v>
      </c>
      <c r="B190" s="97" t="s">
        <v>1007</v>
      </c>
      <c r="C190" s="27">
        <v>92.9</v>
      </c>
      <c r="D190" s="27">
        <v>8.9657000000000001E-2</v>
      </c>
      <c r="E190" s="43"/>
      <c r="F190" s="29" cm="1">
        <f t="array" ref="F190">_xlfn.IFS(C190=":",":",C190&gt;=P$19,1,C190&gt;=P$20,2,C190&lt;P$20,3)</f>
        <v>1</v>
      </c>
      <c r="H190" s="43"/>
      <c r="I190" s="29"/>
      <c r="Y190" s="26"/>
    </row>
    <row r="191" spans="1:25" ht="12" customHeight="1">
      <c r="A191" s="96" t="s">
        <v>1008</v>
      </c>
      <c r="B191" s="97" t="s">
        <v>1009</v>
      </c>
      <c r="C191" s="27">
        <v>85.5</v>
      </c>
      <c r="D191" s="27">
        <v>0.467306</v>
      </c>
      <c r="E191" s="43"/>
      <c r="F191" s="29" cm="1">
        <f t="array" ref="F191">_xlfn.IFS(C191=":",":",C191&gt;=P$19,1,C191&gt;=P$20,2,C191&lt;P$20,3)</f>
        <v>1</v>
      </c>
      <c r="H191" s="43"/>
      <c r="I191" s="29"/>
      <c r="Y191" s="26"/>
    </row>
    <row r="192" spans="1:25" ht="12" customHeight="1">
      <c r="A192" s="96" t="s">
        <v>1010</v>
      </c>
      <c r="B192" s="97" t="s">
        <v>1011</v>
      </c>
      <c r="C192" s="27">
        <v>75.3</v>
      </c>
      <c r="D192" s="27">
        <v>1.177702</v>
      </c>
      <c r="E192" s="43"/>
      <c r="F192" s="29" cm="1">
        <f t="array" ref="F192">_xlfn.IFS(C192=":",":",C192&gt;=P$19,1,C192&gt;=P$20,2,C192&lt;P$20,3)</f>
        <v>1</v>
      </c>
      <c r="H192" s="43"/>
      <c r="I192" s="29"/>
      <c r="Y192" s="26"/>
    </row>
    <row r="193" spans="1:25" ht="12" customHeight="1">
      <c r="A193" s="96" t="s">
        <v>1012</v>
      </c>
      <c r="B193" s="97" t="s">
        <v>1013</v>
      </c>
      <c r="C193" s="27">
        <v>83.7</v>
      </c>
      <c r="D193" s="27">
        <v>9.9876999999999994E-2</v>
      </c>
      <c r="E193" s="43"/>
      <c r="F193" s="29" cm="1">
        <f t="array" ref="F193">_xlfn.IFS(C193=":",":",C193&gt;=P$19,1,C193&gt;=P$20,2,C193&lt;P$20,3)</f>
        <v>1</v>
      </c>
      <c r="H193" s="43"/>
      <c r="I193" s="29"/>
      <c r="Y193" s="26"/>
    </row>
    <row r="194" spans="1:25" ht="12" customHeight="1">
      <c r="A194" s="96" t="s">
        <v>1014</v>
      </c>
      <c r="B194" s="97" t="s">
        <v>1015</v>
      </c>
      <c r="C194" s="27">
        <v>78.3</v>
      </c>
      <c r="D194" s="27">
        <v>0.35452899999999998</v>
      </c>
      <c r="E194" s="43"/>
      <c r="F194" s="29" cm="1">
        <f t="array" ref="F194">_xlfn.IFS(C194=":",":",C194&gt;=P$19,1,C194&gt;=P$20,2,C194&lt;P$20,3)</f>
        <v>1</v>
      </c>
      <c r="H194" s="43"/>
      <c r="I194" s="29"/>
      <c r="Y194" s="26"/>
    </row>
    <row r="195" spans="1:25" ht="12" customHeight="1">
      <c r="A195" s="96" t="s">
        <v>1016</v>
      </c>
      <c r="B195" s="97" t="s">
        <v>1017</v>
      </c>
      <c r="C195" s="27">
        <v>65.900000000000006</v>
      </c>
      <c r="D195" s="27">
        <v>0.20008200000000001</v>
      </c>
      <c r="E195" s="43"/>
      <c r="F195" s="29" cm="1">
        <f t="array" ref="F195">_xlfn.IFS(C195=":",":",C195&gt;=P$19,1,C195&gt;=P$20,2,C195&lt;P$20,3)</f>
        <v>1</v>
      </c>
      <c r="H195" s="43"/>
      <c r="I195" s="29"/>
      <c r="Y195" s="26"/>
    </row>
    <row r="196" spans="1:25" ht="12" customHeight="1">
      <c r="A196" s="96" t="s">
        <v>1018</v>
      </c>
      <c r="B196" s="97" t="s">
        <v>1019</v>
      </c>
      <c r="C196" s="27">
        <v>86</v>
      </c>
      <c r="D196" s="27">
        <v>0.16712299999999999</v>
      </c>
      <c r="E196" s="43"/>
      <c r="F196" s="29" cm="1">
        <f t="array" ref="F196">_xlfn.IFS(C196=":",":",C196&gt;=P$19,1,C196&gt;=P$20,2,C196&lt;P$20,3)</f>
        <v>1</v>
      </c>
      <c r="H196" s="43"/>
      <c r="I196" s="29"/>
      <c r="Y196" s="26"/>
    </row>
    <row r="197" spans="1:25" ht="12" customHeight="1">
      <c r="A197" s="96" t="s">
        <v>1020</v>
      </c>
      <c r="B197" s="97" t="s">
        <v>1021</v>
      </c>
      <c r="C197" s="27">
        <v>81.2</v>
      </c>
      <c r="D197" s="27">
        <v>0.37994</v>
      </c>
      <c r="E197" s="43"/>
      <c r="F197" s="29" cm="1">
        <f t="array" ref="F197">_xlfn.IFS(C197=":",":",C197&gt;=P$19,1,C197&gt;=P$20,2,C197&lt;P$20,3)</f>
        <v>1</v>
      </c>
      <c r="H197" s="43"/>
      <c r="I197" s="29"/>
      <c r="Y197" s="26"/>
    </row>
    <row r="198" spans="1:25" ht="12" customHeight="1">
      <c r="A198" s="96" t="s">
        <v>1022</v>
      </c>
      <c r="B198" s="97" t="s">
        <v>2868</v>
      </c>
      <c r="C198" s="27">
        <v>82.9</v>
      </c>
      <c r="D198" s="27">
        <v>0.114137</v>
      </c>
      <c r="E198" s="43"/>
      <c r="F198" s="29" cm="1">
        <f t="array" ref="F198">_xlfn.IFS(C198=":",":",C198&gt;=P$19,1,C198&gt;=P$20,2,C198&lt;P$20,3)</f>
        <v>1</v>
      </c>
      <c r="H198" s="43"/>
      <c r="I198" s="29"/>
      <c r="Y198" s="26"/>
    </row>
    <row r="199" spans="1:25" ht="12" customHeight="1">
      <c r="A199" s="96" t="s">
        <v>1023</v>
      </c>
      <c r="B199" s="97" t="s">
        <v>1024</v>
      </c>
      <c r="C199" s="27">
        <v>61.9</v>
      </c>
      <c r="D199" s="27">
        <v>0.96704000000000001</v>
      </c>
      <c r="E199" s="43"/>
      <c r="F199" s="29" cm="1">
        <f t="array" ref="F199">_xlfn.IFS(C199=":",":",C199&gt;=P$19,1,C199&gt;=P$20,2,C199&lt;P$20,3)</f>
        <v>2</v>
      </c>
      <c r="H199" s="43"/>
      <c r="I199" s="29"/>
      <c r="Y199" s="26"/>
    </row>
    <row r="200" spans="1:25" ht="12" customHeight="1">
      <c r="A200" s="96" t="s">
        <v>1025</v>
      </c>
      <c r="B200" s="97" t="s">
        <v>1026</v>
      </c>
      <c r="C200" s="27">
        <v>72.2</v>
      </c>
      <c r="D200" s="27">
        <v>0.49059900000000001</v>
      </c>
      <c r="E200" s="43"/>
      <c r="F200" s="29" cm="1">
        <f t="array" ref="F200">_xlfn.IFS(C200=":",":",C200&gt;=P$19,1,C200&gt;=P$20,2,C200&lt;P$20,3)</f>
        <v>1</v>
      </c>
      <c r="H200" s="43"/>
      <c r="I200" s="29"/>
      <c r="Y200" s="26"/>
    </row>
    <row r="201" spans="1:25" ht="12" customHeight="1">
      <c r="A201" s="96" t="s">
        <v>1027</v>
      </c>
      <c r="B201" s="97" t="s">
        <v>1028</v>
      </c>
      <c r="C201" s="27">
        <v>85</v>
      </c>
      <c r="D201" s="27">
        <v>1.4548160000000001</v>
      </c>
      <c r="E201" s="43"/>
      <c r="F201" s="29" cm="1">
        <f t="array" ref="F201">_xlfn.IFS(C201=":",":",C201&gt;=P$19,1,C201&gt;=P$20,2,C201&lt;P$20,3)</f>
        <v>1</v>
      </c>
      <c r="H201" s="43"/>
      <c r="I201" s="29"/>
      <c r="Y201" s="26"/>
    </row>
    <row r="202" spans="1:25" ht="12" customHeight="1">
      <c r="A202" s="96" t="s">
        <v>1029</v>
      </c>
      <c r="B202" s="97" t="s">
        <v>1030</v>
      </c>
      <c r="C202" s="27">
        <v>85.5</v>
      </c>
      <c r="D202" s="27">
        <v>3.3983759999999998</v>
      </c>
      <c r="E202" s="43"/>
      <c r="F202" s="29" cm="1">
        <f t="array" ref="F202">_xlfn.IFS(C202=":",":",C202&gt;=P$19,1,C202&gt;=P$20,2,C202&lt;P$20,3)</f>
        <v>1</v>
      </c>
      <c r="H202" s="43"/>
      <c r="I202" s="29"/>
      <c r="Y202" s="26"/>
    </row>
    <row r="203" spans="1:25" ht="12" customHeight="1">
      <c r="A203" s="96" t="s">
        <v>1031</v>
      </c>
      <c r="B203" s="97" t="s">
        <v>1032</v>
      </c>
      <c r="C203" s="27">
        <v>83</v>
      </c>
      <c r="D203" s="27">
        <v>0.82943699999999998</v>
      </c>
      <c r="E203" s="43"/>
      <c r="F203" s="29" cm="1">
        <f t="array" ref="F203">_xlfn.IFS(C203=":",":",C203&gt;=P$19,1,C203&gt;=P$20,2,C203&lt;P$20,3)</f>
        <v>1</v>
      </c>
      <c r="H203" s="43"/>
      <c r="I203" s="29"/>
      <c r="Y203" s="26"/>
    </row>
    <row r="204" spans="1:25" ht="12" customHeight="1">
      <c r="A204" s="96" t="s">
        <v>1033</v>
      </c>
      <c r="B204" s="97" t="s">
        <v>1034</v>
      </c>
      <c r="C204" s="27">
        <v>81.099999999999994</v>
      </c>
      <c r="D204" s="27">
        <v>0.35260000000000002</v>
      </c>
      <c r="E204" s="43"/>
      <c r="F204" s="29" cm="1">
        <f t="array" ref="F204">_xlfn.IFS(C204=":",":",C204&gt;=P$19,1,C204&gt;=P$20,2,C204&lt;P$20,3)</f>
        <v>1</v>
      </c>
      <c r="H204" s="43"/>
      <c r="I204" s="29"/>
      <c r="Y204" s="26"/>
    </row>
    <row r="205" spans="1:25" ht="12" customHeight="1">
      <c r="A205" s="96" t="s">
        <v>1035</v>
      </c>
      <c r="B205" s="97" t="s">
        <v>1036</v>
      </c>
      <c r="C205" s="27">
        <v>91.2</v>
      </c>
      <c r="D205" s="27">
        <v>5.4221209999999997</v>
      </c>
      <c r="E205" s="43"/>
      <c r="F205" s="29" cm="1">
        <f t="array" ref="F205">_xlfn.IFS(C205=":",":",C205&gt;=P$19,1,C205&gt;=P$20,2,C205&lt;P$20,3)</f>
        <v>1</v>
      </c>
      <c r="H205" s="43"/>
      <c r="I205" s="29"/>
      <c r="Y205" s="26"/>
    </row>
    <row r="206" spans="1:25" ht="12" customHeight="1">
      <c r="A206" s="96" t="s">
        <v>1037</v>
      </c>
      <c r="B206" s="97" t="s">
        <v>106</v>
      </c>
      <c r="C206" s="27">
        <v>57.9</v>
      </c>
      <c r="D206" s="27">
        <v>30.394843999999999</v>
      </c>
      <c r="E206" s="43"/>
      <c r="F206" s="29" cm="1">
        <f t="array" ref="F206">_xlfn.IFS(C206=":",":",C206&gt;=P$19,1,C206&gt;=P$20,2,C206&lt;P$20,3)</f>
        <v>2</v>
      </c>
      <c r="H206" s="43"/>
      <c r="I206" s="29"/>
      <c r="Y206" s="26"/>
    </row>
    <row r="207" spans="1:25" ht="12" customHeight="1">
      <c r="A207" s="96" t="s">
        <v>1038</v>
      </c>
      <c r="B207" s="97" t="s">
        <v>1039</v>
      </c>
      <c r="C207" s="27" t="s">
        <v>546</v>
      </c>
      <c r="D207" s="27">
        <v>0.25106499999999998</v>
      </c>
      <c r="E207" s="43"/>
      <c r="F207" s="29" t="str" cm="1">
        <f t="array" ref="F207">_xlfn.IFS(C207=":",":",C207&gt;=P$19,1,C207&gt;=P$20,2,C207&lt;P$20,3)</f>
        <v>:</v>
      </c>
      <c r="H207" s="43"/>
      <c r="I207" s="29"/>
      <c r="Y207" s="26"/>
    </row>
    <row r="208" spans="1:25" ht="12" customHeight="1">
      <c r="A208" s="96" t="s">
        <v>1040</v>
      </c>
      <c r="B208" s="97" t="s">
        <v>1041</v>
      </c>
      <c r="C208" s="27">
        <v>91.5</v>
      </c>
      <c r="D208" s="27">
        <v>0.29382599999999998</v>
      </c>
      <c r="E208" s="43"/>
      <c r="F208" s="29" cm="1">
        <f t="array" ref="F208">_xlfn.IFS(C208=":",":",C208&gt;=P$19,1,C208&gt;=P$20,2,C208&lt;P$20,3)</f>
        <v>1</v>
      </c>
      <c r="H208" s="43"/>
      <c r="I208" s="29"/>
      <c r="Y208" s="26"/>
    </row>
    <row r="209" spans="1:25" ht="12" customHeight="1">
      <c r="A209" s="96" t="s">
        <v>1042</v>
      </c>
      <c r="B209" s="97" t="s">
        <v>1043</v>
      </c>
      <c r="C209" s="27" t="s">
        <v>546</v>
      </c>
      <c r="D209" s="27">
        <v>0.129881</v>
      </c>
      <c r="E209" s="43"/>
      <c r="F209" s="29" t="str" cm="1">
        <f t="array" ref="F209">_xlfn.IFS(C209=":",":",C209&gt;=P$19,1,C209&gt;=P$20,2,C209&lt;P$20,3)</f>
        <v>:</v>
      </c>
      <c r="H209" s="43"/>
      <c r="I209" s="29"/>
      <c r="Y209" s="26"/>
    </row>
    <row r="210" spans="1:25" ht="12" customHeight="1">
      <c r="A210" s="96" t="s">
        <v>1044</v>
      </c>
      <c r="B210" s="97" t="s">
        <v>1045</v>
      </c>
      <c r="C210" s="27" t="s">
        <v>546</v>
      </c>
      <c r="D210" s="27">
        <v>1.3183499999999999</v>
      </c>
      <c r="E210" s="43"/>
      <c r="F210" s="29" t="str" cm="1">
        <f t="array" ref="F210">_xlfn.IFS(C210=":",":",C210&gt;=P$19,1,C210&gt;=P$20,2,C210&lt;P$20,3)</f>
        <v>:</v>
      </c>
      <c r="H210" s="43"/>
      <c r="I210" s="29"/>
      <c r="Y210" s="26"/>
    </row>
    <row r="211" spans="1:25" ht="12" customHeight="1">
      <c r="A211" s="96" t="s">
        <v>1046</v>
      </c>
      <c r="B211" s="97" t="s">
        <v>1047</v>
      </c>
      <c r="C211" s="27">
        <v>93.5</v>
      </c>
      <c r="D211" s="27">
        <v>0.68748600000000004</v>
      </c>
      <c r="E211" s="43"/>
      <c r="F211" s="29" cm="1">
        <f t="array" ref="F211">_xlfn.IFS(C211=":",":",C211&gt;=P$19,1,C211&gt;=P$20,2,C211&lt;P$20,3)</f>
        <v>1</v>
      </c>
      <c r="H211" s="43"/>
      <c r="I211" s="29"/>
      <c r="Y211" s="26"/>
    </row>
    <row r="212" spans="1:25" ht="12" customHeight="1">
      <c r="A212" s="96" t="s">
        <v>1048</v>
      </c>
      <c r="B212" s="97" t="s">
        <v>1049</v>
      </c>
      <c r="C212" s="27" t="s">
        <v>546</v>
      </c>
      <c r="D212" s="27">
        <v>2.2544569999999999</v>
      </c>
      <c r="E212" s="43"/>
      <c r="F212" s="29" t="str" cm="1">
        <f t="array" ref="F212">_xlfn.IFS(C212=":",":",C212&gt;=P$19,1,C212&gt;=P$20,2,C212&lt;P$20,3)</f>
        <v>:</v>
      </c>
      <c r="H212" s="43"/>
      <c r="I212" s="29"/>
      <c r="Y212" s="26"/>
    </row>
    <row r="213" spans="1:25" ht="12" customHeight="1">
      <c r="A213" s="96" t="s">
        <v>1050</v>
      </c>
      <c r="B213" s="97" t="s">
        <v>1051</v>
      </c>
      <c r="C213" s="27">
        <v>96.6</v>
      </c>
      <c r="D213" s="27">
        <v>0.145653</v>
      </c>
      <c r="E213" s="43"/>
      <c r="F213" s="29" cm="1">
        <f t="array" ref="F213">_xlfn.IFS(C213=":",":",C213&gt;=P$19,1,C213&gt;=P$20,2,C213&lt;P$20,3)</f>
        <v>1</v>
      </c>
      <c r="H213" s="43"/>
      <c r="I213" s="29"/>
      <c r="Y213" s="26"/>
    </row>
    <row r="214" spans="1:25" ht="12" customHeight="1">
      <c r="A214" s="96" t="s">
        <v>1052</v>
      </c>
      <c r="B214" s="97" t="s">
        <v>1053</v>
      </c>
      <c r="C214" s="27">
        <v>91.7</v>
      </c>
      <c r="D214" s="27">
        <v>0.26311499999999999</v>
      </c>
      <c r="E214" s="43"/>
      <c r="F214" s="29" cm="1">
        <f t="array" ref="F214">_xlfn.IFS(C214=":",":",C214&gt;=P$19,1,C214&gt;=P$20,2,C214&lt;P$20,3)</f>
        <v>1</v>
      </c>
      <c r="H214" s="43"/>
      <c r="I214" s="29"/>
      <c r="Y214" s="26"/>
    </row>
    <row r="215" spans="1:25" ht="12" customHeight="1">
      <c r="A215" s="96" t="s">
        <v>1054</v>
      </c>
      <c r="B215" s="97" t="s">
        <v>1055</v>
      </c>
      <c r="C215" s="27">
        <v>93.6</v>
      </c>
      <c r="D215" s="27">
        <v>0.30067700000000003</v>
      </c>
      <c r="E215" s="43"/>
      <c r="F215" s="29" cm="1">
        <f t="array" ref="F215">_xlfn.IFS(C215=":",":",C215&gt;=P$19,1,C215&gt;=P$20,2,C215&lt;P$20,3)</f>
        <v>1</v>
      </c>
      <c r="H215" s="43"/>
      <c r="I215" s="29"/>
      <c r="Y215" s="26"/>
    </row>
    <row r="216" spans="1:25" ht="12" customHeight="1">
      <c r="A216" s="96" t="s">
        <v>1056</v>
      </c>
      <c r="B216" s="97" t="s">
        <v>1057</v>
      </c>
      <c r="C216" s="27" t="s">
        <v>546</v>
      </c>
      <c r="D216" s="27">
        <v>0.50960000000000005</v>
      </c>
      <c r="E216" s="43"/>
      <c r="F216" s="29" t="str" cm="1">
        <f t="array" ref="F216">_xlfn.IFS(C216=":",":",C216&gt;=P$19,1,C216&gt;=P$20,2,C216&lt;P$20,3)</f>
        <v>:</v>
      </c>
      <c r="H216" s="43"/>
      <c r="I216" s="29"/>
      <c r="Y216" s="26"/>
    </row>
    <row r="217" spans="1:25" ht="12" customHeight="1">
      <c r="A217" s="96" t="s">
        <v>1058</v>
      </c>
      <c r="B217" s="97" t="s">
        <v>1059</v>
      </c>
      <c r="C217" s="27" t="s">
        <v>546</v>
      </c>
      <c r="D217" s="27">
        <v>0.92325699999999999</v>
      </c>
      <c r="E217" s="43"/>
      <c r="F217" s="29" t="str" cm="1">
        <f t="array" ref="F217">_xlfn.IFS(C217=":",":",C217&gt;=P$19,1,C217&gt;=P$20,2,C217&lt;P$20,3)</f>
        <v>:</v>
      </c>
      <c r="H217" s="43"/>
      <c r="I217" s="29"/>
      <c r="Y217" s="26"/>
    </row>
    <row r="218" spans="1:25" ht="12" customHeight="1">
      <c r="A218" s="96" t="s">
        <v>1060</v>
      </c>
      <c r="B218" s="97" t="s">
        <v>1061</v>
      </c>
      <c r="C218" s="27" t="s">
        <v>546</v>
      </c>
      <c r="D218" s="27">
        <v>1.180437</v>
      </c>
      <c r="E218" s="43"/>
      <c r="F218" s="29" t="str" cm="1">
        <f t="array" ref="F218">_xlfn.IFS(C218=":",":",C218&gt;=P$19,1,C218&gt;=P$20,2,C218&lt;P$20,3)</f>
        <v>:</v>
      </c>
      <c r="H218" s="43"/>
      <c r="I218" s="29"/>
      <c r="Y218" s="26"/>
    </row>
    <row r="219" spans="1:25" ht="12" customHeight="1">
      <c r="A219" s="96" t="s">
        <v>1062</v>
      </c>
      <c r="B219" s="97" t="s">
        <v>1063</v>
      </c>
      <c r="C219" s="27">
        <v>95.7</v>
      </c>
      <c r="D219" s="27">
        <v>0.88668499999999995</v>
      </c>
      <c r="E219" s="43"/>
      <c r="F219" s="29" cm="1">
        <f t="array" ref="F219">_xlfn.IFS(C219=":",":",C219&gt;=P$19,1,C219&gt;=P$20,2,C219&lt;P$20,3)</f>
        <v>1</v>
      </c>
      <c r="H219" s="43"/>
      <c r="I219" s="29"/>
      <c r="Y219" s="26"/>
    </row>
    <row r="220" spans="1:25" ht="12" customHeight="1">
      <c r="A220" s="96" t="s">
        <v>1064</v>
      </c>
      <c r="B220" s="97" t="s">
        <v>1065</v>
      </c>
      <c r="C220" s="27">
        <v>91.3</v>
      </c>
      <c r="D220" s="27">
        <v>0.95470900000000003</v>
      </c>
      <c r="E220" s="43"/>
      <c r="F220" s="29" cm="1">
        <f t="array" ref="F220">_xlfn.IFS(C220=":",":",C220&gt;=P$19,1,C220&gt;=P$20,2,C220&lt;P$20,3)</f>
        <v>1</v>
      </c>
      <c r="H220" s="43"/>
      <c r="I220" s="29"/>
      <c r="Y220" s="26"/>
    </row>
    <row r="221" spans="1:25" ht="12" customHeight="1">
      <c r="A221" s="96" t="s">
        <v>1066</v>
      </c>
      <c r="B221" s="97" t="s">
        <v>1067</v>
      </c>
      <c r="C221" s="27">
        <v>96.1</v>
      </c>
      <c r="D221" s="27">
        <v>0.310865</v>
      </c>
      <c r="E221" s="43"/>
      <c r="F221" s="29" cm="1">
        <f t="array" ref="F221">_xlfn.IFS(C221=":",":",C221&gt;=P$19,1,C221&gt;=P$20,2,C221&lt;P$20,3)</f>
        <v>1</v>
      </c>
      <c r="H221" s="43"/>
      <c r="I221" s="29"/>
      <c r="Y221" s="26"/>
    </row>
    <row r="222" spans="1:25" ht="12" customHeight="1">
      <c r="A222" s="96" t="s">
        <v>1068</v>
      </c>
      <c r="B222" s="97" t="s">
        <v>1069</v>
      </c>
      <c r="C222" s="27" t="s">
        <v>546</v>
      </c>
      <c r="D222" s="27">
        <v>0.73823499999999997</v>
      </c>
      <c r="E222" s="43"/>
      <c r="F222" s="29" t="str" cm="1">
        <f t="array" ref="F222">_xlfn.IFS(C222=":",":",C222&gt;=P$19,1,C222&gt;=P$20,2,C222&lt;P$20,3)</f>
        <v>:</v>
      </c>
      <c r="H222" s="43"/>
      <c r="I222" s="29"/>
      <c r="Y222" s="26"/>
    </row>
    <row r="223" spans="1:25" ht="12" customHeight="1">
      <c r="A223" s="96" t="s">
        <v>1070</v>
      </c>
      <c r="B223" s="97" t="s">
        <v>1071</v>
      </c>
      <c r="C223" s="27" t="s">
        <v>546</v>
      </c>
      <c r="D223" s="27">
        <v>0.60177999999999998</v>
      </c>
      <c r="E223" s="43"/>
      <c r="F223" s="29" t="str" cm="1">
        <f t="array" ref="F223">_xlfn.IFS(C223=":",":",C223&gt;=P$19,1,C223&gt;=P$20,2,C223&lt;P$20,3)</f>
        <v>:</v>
      </c>
      <c r="H223" s="43"/>
      <c r="I223" s="29"/>
      <c r="Y223" s="26"/>
    </row>
    <row r="224" spans="1:25" ht="12" customHeight="1">
      <c r="A224" s="96" t="s">
        <v>1072</v>
      </c>
      <c r="B224" s="97" t="s">
        <v>1073</v>
      </c>
      <c r="C224" s="27" t="s">
        <v>546</v>
      </c>
      <c r="D224" s="27">
        <v>0.90747500000000003</v>
      </c>
      <c r="E224" s="43"/>
      <c r="F224" s="29" t="str" cm="1">
        <f t="array" ref="F224">_xlfn.IFS(C224=":",":",C224&gt;=P$19,1,C224&gt;=P$20,2,C224&lt;P$20,3)</f>
        <v>:</v>
      </c>
      <c r="H224" s="43"/>
      <c r="I224" s="29"/>
      <c r="Y224" s="26"/>
    </row>
    <row r="225" spans="1:25" ht="12" customHeight="1">
      <c r="A225" s="96" t="s">
        <v>1074</v>
      </c>
      <c r="B225" s="97" t="s">
        <v>1075</v>
      </c>
      <c r="C225" s="27">
        <v>79.3</v>
      </c>
      <c r="D225" s="27">
        <v>2.3858510000000002</v>
      </c>
      <c r="E225" s="43"/>
      <c r="F225" s="29" cm="1">
        <f t="array" ref="F225">_xlfn.IFS(C225=":",":",C225&gt;=P$19,1,C225&gt;=P$20,2,C225&lt;P$20,3)</f>
        <v>1</v>
      </c>
      <c r="H225" s="43"/>
      <c r="I225" s="29"/>
      <c r="Y225" s="26"/>
    </row>
    <row r="226" spans="1:25" ht="12" customHeight="1">
      <c r="A226" s="96" t="s">
        <v>1076</v>
      </c>
      <c r="B226" s="97" t="s">
        <v>1077</v>
      </c>
      <c r="C226" s="27">
        <v>89.1</v>
      </c>
      <c r="D226" s="27">
        <v>0.42953999999999998</v>
      </c>
      <c r="E226" s="43"/>
      <c r="F226" s="29" cm="1">
        <f t="array" ref="F226">_xlfn.IFS(C226=":",":",C226&gt;=P$19,1,C226&gt;=P$20,2,C226&lt;P$20,3)</f>
        <v>1</v>
      </c>
      <c r="H226" s="43"/>
      <c r="I226" s="29"/>
      <c r="Y226" s="26"/>
    </row>
    <row r="227" spans="1:25" ht="12" customHeight="1">
      <c r="A227" s="96" t="s">
        <v>1078</v>
      </c>
      <c r="B227" s="97" t="s">
        <v>112</v>
      </c>
      <c r="C227" s="61">
        <v>76.5</v>
      </c>
      <c r="D227" s="27">
        <v>16.068104999999999</v>
      </c>
      <c r="E227" s="43"/>
      <c r="F227" s="29" cm="1">
        <f t="array" ref="F227">_xlfn.IFS(C227=":",":",C227&gt;=P$19,1,C227&gt;=P$20,2,C227&lt;P$20,3)</f>
        <v>1</v>
      </c>
      <c r="H227" s="43"/>
      <c r="I227" s="29"/>
      <c r="Y227" s="26"/>
    </row>
    <row r="228" spans="1:25" ht="12" customHeight="1">
      <c r="A228" s="96" t="s">
        <v>1079</v>
      </c>
      <c r="B228" s="97" t="s">
        <v>1080</v>
      </c>
      <c r="C228" s="61">
        <v>74.7</v>
      </c>
      <c r="D228" s="27">
        <v>0.78078700000000001</v>
      </c>
      <c r="E228" s="43"/>
      <c r="F228" s="29" cm="1">
        <f t="array" ref="F228">_xlfn.IFS(C228=":",":",C228&gt;=P$19,1,C228&gt;=P$20,2,C228&lt;P$20,3)</f>
        <v>1</v>
      </c>
      <c r="H228" s="43"/>
      <c r="I228" s="29"/>
      <c r="Y228" s="26"/>
    </row>
    <row r="229" spans="1:25" ht="12" customHeight="1">
      <c r="A229" s="96" t="s">
        <v>1081</v>
      </c>
      <c r="B229" s="97" t="s">
        <v>1082</v>
      </c>
      <c r="C229" s="27">
        <v>60.3</v>
      </c>
      <c r="D229" s="27">
        <v>11.125495000000001</v>
      </c>
      <c r="E229" s="43"/>
      <c r="F229" s="29" cm="1">
        <f t="array" ref="F229">_xlfn.IFS(C229=":",":",C229&gt;=P$19,1,C229&gt;=P$20,2,C229&lt;P$20,3)</f>
        <v>2</v>
      </c>
      <c r="H229" s="43"/>
      <c r="I229" s="29"/>
      <c r="Y229" s="26"/>
    </row>
    <row r="230" spans="1:25" ht="12" customHeight="1">
      <c r="A230" s="96" t="s">
        <v>1083</v>
      </c>
      <c r="B230" s="97" t="s">
        <v>1084</v>
      </c>
      <c r="C230" s="61">
        <v>68.3</v>
      </c>
      <c r="D230" s="27">
        <v>0.624996</v>
      </c>
      <c r="E230" s="43"/>
      <c r="F230" s="29" cm="1">
        <f t="array" ref="F230">_xlfn.IFS(C230=":",":",C230&gt;=P$19,1,C230&gt;=P$20,2,C230&lt;P$20,3)</f>
        <v>1</v>
      </c>
      <c r="H230" s="43"/>
      <c r="I230" s="29"/>
      <c r="Y230" s="26"/>
    </row>
    <row r="231" spans="1:25" ht="12" customHeight="1">
      <c r="A231" s="96" t="s">
        <v>1085</v>
      </c>
      <c r="B231" s="97" t="s">
        <v>1086</v>
      </c>
      <c r="C231" s="27">
        <v>76.599999999999994</v>
      </c>
      <c r="D231" s="27">
        <v>1.1758550000000001</v>
      </c>
      <c r="E231" s="43"/>
      <c r="F231" s="29" cm="1">
        <f t="array" ref="F231">_xlfn.IFS(C231=":",":",C231&gt;=P$19,1,C231&gt;=P$20,2,C231&lt;P$20,3)</f>
        <v>1</v>
      </c>
      <c r="H231" s="43"/>
      <c r="I231" s="29"/>
      <c r="Y231" s="26"/>
    </row>
    <row r="232" spans="1:25" ht="12" customHeight="1">
      <c r="A232" s="96" t="s">
        <v>1087</v>
      </c>
      <c r="B232" s="97" t="s">
        <v>1088</v>
      </c>
      <c r="C232" s="27">
        <v>83</v>
      </c>
      <c r="D232" s="27">
        <v>0.59685200000000005</v>
      </c>
      <c r="E232" s="43"/>
      <c r="F232" s="29" cm="1">
        <f t="array" ref="F232">_xlfn.IFS(C232=":",":",C232&gt;=P$19,1,C232&gt;=P$20,2,C232&lt;P$20,3)</f>
        <v>1</v>
      </c>
      <c r="H232" s="43"/>
      <c r="I232" s="29"/>
      <c r="Y232" s="26"/>
    </row>
    <row r="233" spans="1:25" ht="12" customHeight="1">
      <c r="A233" s="96" t="s">
        <v>1089</v>
      </c>
      <c r="B233" s="97" t="s">
        <v>1090</v>
      </c>
      <c r="C233" s="27">
        <v>82.3</v>
      </c>
      <c r="D233" s="27">
        <v>0.50696799999999997</v>
      </c>
      <c r="E233" s="43"/>
      <c r="F233" s="29" cm="1">
        <f t="array" ref="F233">_xlfn.IFS(C233=":",":",C233&gt;=P$19,1,C233&gt;=P$20,2,C233&lt;P$20,3)</f>
        <v>1</v>
      </c>
      <c r="H233" s="43"/>
      <c r="I233" s="29"/>
      <c r="Y233" s="26"/>
    </row>
    <row r="234" spans="1:25" ht="12" customHeight="1">
      <c r="A234" s="96" t="s">
        <v>1091</v>
      </c>
      <c r="B234" s="97" t="s">
        <v>1092</v>
      </c>
      <c r="C234" s="27">
        <v>72.7</v>
      </c>
      <c r="D234" s="27">
        <v>1.06341</v>
      </c>
      <c r="E234" s="43"/>
      <c r="F234" s="29" cm="1">
        <f t="array" ref="F234">_xlfn.IFS(C234=":",":",C234&gt;=P$19,1,C234&gt;=P$20,2,C234&lt;P$20,3)</f>
        <v>1</v>
      </c>
      <c r="H234" s="43"/>
      <c r="I234" s="29"/>
      <c r="Y234" s="26"/>
    </row>
    <row r="235" spans="1:25" ht="12" customHeight="1">
      <c r="A235" s="96" t="s">
        <v>1093</v>
      </c>
      <c r="B235" s="97" t="s">
        <v>1094</v>
      </c>
      <c r="C235" s="27">
        <v>79.3</v>
      </c>
      <c r="D235" s="27">
        <v>0.82801000000000002</v>
      </c>
      <c r="E235" s="43"/>
      <c r="F235" s="29" cm="1">
        <f t="array" ref="F235">_xlfn.IFS(C235=":",":",C235&gt;=P$19,1,C235&gt;=P$20,2,C235&lt;P$20,3)</f>
        <v>1</v>
      </c>
      <c r="H235" s="43"/>
      <c r="I235" s="29"/>
      <c r="Y235" s="26"/>
    </row>
    <row r="236" spans="1:25" ht="12" customHeight="1">
      <c r="A236" s="96" t="s">
        <v>1095</v>
      </c>
      <c r="B236" s="97" t="s">
        <v>1096</v>
      </c>
      <c r="C236" s="27">
        <v>87.3</v>
      </c>
      <c r="D236" s="27">
        <v>0.82169800000000004</v>
      </c>
      <c r="E236" s="43"/>
      <c r="F236" s="29" cm="1">
        <f t="array" ref="F236">_xlfn.IFS(C236=":",":",C236&gt;=P$19,1,C236&gt;=P$20,2,C236&lt;P$20,3)</f>
        <v>1</v>
      </c>
      <c r="H236" s="43"/>
      <c r="I236" s="29"/>
      <c r="Y236" s="26"/>
    </row>
    <row r="237" spans="1:25" ht="12" customHeight="1">
      <c r="A237" s="96" t="s">
        <v>1097</v>
      </c>
      <c r="B237" s="97" t="s">
        <v>1098</v>
      </c>
      <c r="C237" s="27">
        <v>72.900000000000006</v>
      </c>
      <c r="D237" s="27">
        <v>0.95490900000000001</v>
      </c>
      <c r="E237" s="43"/>
      <c r="F237" s="29" cm="1">
        <f t="array" ref="F237">_xlfn.IFS(C237=":",":",C237&gt;=P$19,1,C237&gt;=P$20,2,C237&lt;P$20,3)</f>
        <v>1</v>
      </c>
      <c r="H237" s="43"/>
      <c r="I237" s="29"/>
      <c r="Y237" s="26"/>
    </row>
    <row r="238" spans="1:25" ht="12" customHeight="1">
      <c r="A238" s="96" t="s">
        <v>1099</v>
      </c>
      <c r="B238" s="97" t="s">
        <v>1100</v>
      </c>
      <c r="C238" s="27">
        <v>94.1</v>
      </c>
      <c r="D238" s="27">
        <v>0.32353199999999999</v>
      </c>
      <c r="E238" s="43"/>
      <c r="F238" s="29" cm="1">
        <f t="array" ref="F238">_xlfn.IFS(C238=":",":",C238&gt;=P$19,1,C238&gt;=P$20,2,C238&lt;P$20,3)</f>
        <v>1</v>
      </c>
      <c r="H238" s="43"/>
      <c r="I238" s="29"/>
      <c r="Y238" s="26"/>
    </row>
    <row r="239" spans="1:25" ht="12" customHeight="1">
      <c r="A239" s="96" t="s">
        <v>1101</v>
      </c>
      <c r="B239" s="97" t="s">
        <v>1102</v>
      </c>
      <c r="C239" s="27">
        <v>75.400000000000006</v>
      </c>
      <c r="D239" s="27">
        <v>0.85650000000000004</v>
      </c>
      <c r="E239" s="43"/>
      <c r="F239" s="29" cm="1">
        <f t="array" ref="F239">_xlfn.IFS(C239=":",":",C239&gt;=P$19,1,C239&gt;=P$20,2,C239&lt;P$20,3)</f>
        <v>1</v>
      </c>
      <c r="H239" s="43"/>
      <c r="I239" s="29"/>
      <c r="Y239" s="26"/>
    </row>
    <row r="240" spans="1:25" ht="12" customHeight="1">
      <c r="A240" s="96" t="s">
        <v>1103</v>
      </c>
      <c r="B240" s="97" t="s">
        <v>1104</v>
      </c>
      <c r="C240" s="27">
        <v>80.400000000000006</v>
      </c>
      <c r="D240" s="27">
        <v>0.75144900000000003</v>
      </c>
      <c r="E240" s="43"/>
      <c r="F240" s="29" cm="1">
        <f t="array" ref="F240">_xlfn.IFS(C240=":",":",C240&gt;=P$19,1,C240&gt;=P$20,2,C240&lt;P$20,3)</f>
        <v>1</v>
      </c>
      <c r="H240" s="43"/>
      <c r="I240" s="29"/>
      <c r="Y240" s="26"/>
    </row>
    <row r="241" spans="1:25" ht="12" customHeight="1">
      <c r="A241" s="96" t="s">
        <v>1105</v>
      </c>
      <c r="B241" s="97" t="s">
        <v>1106</v>
      </c>
      <c r="C241" s="27">
        <v>90</v>
      </c>
      <c r="D241" s="27">
        <v>0.50837200000000005</v>
      </c>
      <c r="E241" s="43"/>
      <c r="F241" s="29" cm="1">
        <f t="array" ref="F241">_xlfn.IFS(C241=":",":",C241&gt;=P$19,1,C241&gt;=P$20,2,C241&lt;P$20,3)</f>
        <v>1</v>
      </c>
      <c r="H241" s="43"/>
      <c r="I241" s="29"/>
      <c r="Y241" s="26"/>
    </row>
    <row r="242" spans="1:25" ht="12" customHeight="1">
      <c r="A242" s="96" t="s">
        <v>1107</v>
      </c>
      <c r="B242" s="97" t="s">
        <v>1108</v>
      </c>
      <c r="C242" s="27">
        <v>89.5</v>
      </c>
      <c r="D242" s="27">
        <v>0.41806500000000002</v>
      </c>
      <c r="E242" s="43"/>
      <c r="F242" s="29" cm="1">
        <f t="array" ref="F242">_xlfn.IFS(C242=":",":",C242&gt;=P$19,1,C242&gt;=P$20,2,C242&lt;P$20,3)</f>
        <v>1</v>
      </c>
      <c r="H242" s="43"/>
      <c r="I242" s="29"/>
      <c r="Y242" s="26"/>
    </row>
    <row r="243" spans="1:25" ht="12" customHeight="1">
      <c r="A243" s="96" t="s">
        <v>1109</v>
      </c>
      <c r="B243" s="97" t="s">
        <v>1110</v>
      </c>
      <c r="C243" s="27">
        <v>83.7</v>
      </c>
      <c r="D243" s="27">
        <v>0.45452300000000001</v>
      </c>
      <c r="E243" s="43"/>
      <c r="F243" s="29" cm="1">
        <f t="array" ref="F243">_xlfn.IFS(C243=":",":",C243&gt;=P$19,1,C243&gt;=P$20,2,C243&lt;P$20,3)</f>
        <v>1</v>
      </c>
      <c r="H243" s="43"/>
      <c r="I243" s="29"/>
      <c r="Y243" s="26"/>
    </row>
    <row r="244" spans="1:25" ht="12" customHeight="1">
      <c r="A244" s="96" t="s">
        <v>1111</v>
      </c>
      <c r="B244" s="97" t="s">
        <v>1112</v>
      </c>
      <c r="C244" s="27">
        <v>87.3</v>
      </c>
      <c r="D244" s="27">
        <v>0.43953500000000001</v>
      </c>
      <c r="E244" s="43"/>
      <c r="F244" s="29" cm="1">
        <f t="array" ref="F244">_xlfn.IFS(C244=":",":",C244&gt;=P$19,1,C244&gt;=P$20,2,C244&lt;P$20,3)</f>
        <v>1</v>
      </c>
      <c r="H244" s="43"/>
      <c r="I244" s="29"/>
      <c r="Y244" s="26"/>
    </row>
    <row r="245" spans="1:25" ht="12" customHeight="1">
      <c r="A245" s="96" t="s">
        <v>1113</v>
      </c>
      <c r="B245" s="97" t="s">
        <v>1114</v>
      </c>
      <c r="C245" s="27">
        <v>87.8</v>
      </c>
      <c r="D245" s="27">
        <v>0.53814700000000004</v>
      </c>
      <c r="E245" s="43"/>
      <c r="F245" s="29" cm="1">
        <f t="array" ref="F245">_xlfn.IFS(C245=":",":",C245&gt;=P$19,1,C245&gt;=P$20,2,C245&lt;P$20,3)</f>
        <v>1</v>
      </c>
      <c r="H245" s="43"/>
      <c r="I245" s="29"/>
      <c r="Y245" s="26"/>
    </row>
    <row r="246" spans="1:25" ht="12" customHeight="1">
      <c r="A246" s="96" t="s">
        <v>1115</v>
      </c>
      <c r="B246" s="97" t="s">
        <v>1116</v>
      </c>
      <c r="C246" s="27">
        <v>94.3</v>
      </c>
      <c r="D246" s="27">
        <v>0.40800700000000001</v>
      </c>
      <c r="E246" s="43"/>
      <c r="F246" s="29" cm="1">
        <f t="array" ref="F246">_xlfn.IFS(C246=":",":",C246&gt;=P$19,1,C246&gt;=P$20,2,C246&lt;P$20,3)</f>
        <v>1</v>
      </c>
      <c r="H246" s="43"/>
      <c r="I246" s="29"/>
      <c r="Y246" s="26"/>
    </row>
    <row r="247" spans="1:25" ht="12" customHeight="1">
      <c r="A247" s="96" t="s">
        <v>1117</v>
      </c>
      <c r="B247" s="97" t="s">
        <v>1118</v>
      </c>
      <c r="C247" s="27">
        <v>86.2</v>
      </c>
      <c r="D247" s="27">
        <v>0.859039</v>
      </c>
      <c r="E247" s="43"/>
      <c r="F247" s="29" cm="1">
        <f t="array" ref="F247">_xlfn.IFS(C247=":",":",C247&gt;=P$19,1,C247&gt;=P$20,2,C247&lt;P$20,3)</f>
        <v>1</v>
      </c>
      <c r="H247" s="43"/>
      <c r="I247" s="29"/>
      <c r="J247" s="63"/>
      <c r="Y247" s="26"/>
    </row>
    <row r="248" spans="1:25" ht="12" customHeight="1">
      <c r="A248" s="96" t="s">
        <v>1119</v>
      </c>
      <c r="B248" s="97" t="s">
        <v>1120</v>
      </c>
      <c r="C248" s="27">
        <v>91.9</v>
      </c>
      <c r="D248" s="27">
        <v>1.551296</v>
      </c>
      <c r="E248" s="43"/>
      <c r="F248" s="29" cm="1">
        <f t="array" ref="F248">_xlfn.IFS(C248=":",":",C248&gt;=P$19,1,C248&gt;=P$20,2,C248&lt;P$20,3)</f>
        <v>1</v>
      </c>
      <c r="H248" s="43"/>
      <c r="I248" s="29"/>
      <c r="J248" s="63"/>
      <c r="Y248" s="26"/>
    </row>
    <row r="249" spans="1:25" ht="12" customHeight="1">
      <c r="A249" s="96" t="s">
        <v>1121</v>
      </c>
      <c r="B249" s="97" t="s">
        <v>1122</v>
      </c>
      <c r="C249" s="27">
        <v>87.8</v>
      </c>
      <c r="D249" s="27">
        <v>0.61176799999999998</v>
      </c>
      <c r="E249" s="43"/>
      <c r="F249" s="29" cm="1">
        <f t="array" ref="F249">_xlfn.IFS(C249=":",":",C249&gt;=P$19,1,C249&gt;=P$20,2,C249&lt;P$20,3)</f>
        <v>1</v>
      </c>
      <c r="H249" s="43"/>
      <c r="I249" s="29"/>
      <c r="J249" s="56"/>
      <c r="Y249" s="26"/>
    </row>
    <row r="250" spans="1:25" ht="12" customHeight="1">
      <c r="A250" s="96" t="s">
        <v>1123</v>
      </c>
      <c r="B250" s="97" t="s">
        <v>1124</v>
      </c>
      <c r="C250" s="27">
        <v>91.3</v>
      </c>
      <c r="D250" s="27">
        <v>0.68134399999999995</v>
      </c>
      <c r="E250" s="43"/>
      <c r="F250" s="29" cm="1">
        <f t="array" ref="F250">_xlfn.IFS(C250=":",":",C250&gt;=P$19,1,C250&gt;=P$20,2,C250&lt;P$20,3)</f>
        <v>1</v>
      </c>
      <c r="H250" s="43"/>
      <c r="I250" s="29"/>
      <c r="J250" s="56"/>
      <c r="Y250" s="26"/>
    </row>
    <row r="251" spans="1:25" ht="12" customHeight="1">
      <c r="A251" s="96" t="s">
        <v>1125</v>
      </c>
      <c r="B251" s="97" t="s">
        <v>1126</v>
      </c>
      <c r="C251" s="27">
        <v>88</v>
      </c>
      <c r="D251" s="27">
        <v>0.44984299999999999</v>
      </c>
      <c r="E251" s="43"/>
      <c r="F251" s="29" cm="1">
        <f t="array" ref="F251">_xlfn.IFS(C251=":",":",C251&gt;=P$19,1,C251&gt;=P$20,2,C251&lt;P$20,3)</f>
        <v>1</v>
      </c>
      <c r="H251" s="43"/>
      <c r="I251" s="29"/>
      <c r="J251" s="56"/>
      <c r="Y251" s="26"/>
    </row>
    <row r="252" spans="1:25" ht="12" customHeight="1">
      <c r="A252" s="96" t="s">
        <v>1127</v>
      </c>
      <c r="B252" s="97" t="s">
        <v>1128</v>
      </c>
      <c r="C252" s="27">
        <v>93</v>
      </c>
      <c r="D252" s="27">
        <v>2.0475810000000001</v>
      </c>
      <c r="E252" s="43"/>
      <c r="F252" s="29" cm="1">
        <f t="array" ref="F252">_xlfn.IFS(C252=":",":",C252&gt;=P$19,1,C252&gt;=P$20,2,C252&lt;P$20,3)</f>
        <v>1</v>
      </c>
      <c r="H252" s="43"/>
      <c r="I252" s="29"/>
      <c r="J252" s="56"/>
      <c r="Y252" s="26"/>
    </row>
    <row r="253" spans="1:25" ht="12" customHeight="1">
      <c r="A253" s="96" t="s">
        <v>1129</v>
      </c>
      <c r="B253" s="97" t="s">
        <v>1130</v>
      </c>
      <c r="C253" s="27">
        <v>95</v>
      </c>
      <c r="D253" s="27">
        <v>0.34932800000000003</v>
      </c>
      <c r="E253" s="43"/>
      <c r="F253" s="29" cm="1">
        <f t="array" ref="F253">_xlfn.IFS(C253=":",":",C253&gt;=P$19,1,C253&gt;=P$20,2,C253&lt;P$20,3)</f>
        <v>1</v>
      </c>
      <c r="H253" s="43"/>
      <c r="I253" s="29"/>
      <c r="J253" s="56"/>
      <c r="Y253" s="26"/>
    </row>
    <row r="254" spans="1:25" ht="12" customHeight="1">
      <c r="A254" s="96" t="s">
        <v>1131</v>
      </c>
      <c r="B254" s="97" t="s">
        <v>1132</v>
      </c>
      <c r="C254" s="27">
        <v>93.2</v>
      </c>
      <c r="D254" s="27">
        <v>2.1966640000000002</v>
      </c>
      <c r="E254" s="43"/>
      <c r="F254" s="29" cm="1">
        <f t="array" ref="F254">_xlfn.IFS(C254=":",":",C254&gt;=P$19,1,C254&gt;=P$20,2,C254&lt;P$20,3)</f>
        <v>1</v>
      </c>
      <c r="H254" s="43"/>
      <c r="I254" s="29"/>
      <c r="J254" s="56"/>
      <c r="Y254" s="26"/>
    </row>
    <row r="255" spans="1:25" ht="12" customHeight="1">
      <c r="A255" s="96" t="s">
        <v>1133</v>
      </c>
      <c r="B255" s="97" t="s">
        <v>1134</v>
      </c>
      <c r="C255" s="27">
        <v>92.7</v>
      </c>
      <c r="D255" s="27">
        <v>0.42769000000000001</v>
      </c>
      <c r="E255" s="43"/>
      <c r="F255" s="29" cm="1">
        <f t="array" ref="F255">_xlfn.IFS(C255=":",":",C255&gt;=P$19,1,C255&gt;=P$20,2,C255&lt;P$20,3)</f>
        <v>1</v>
      </c>
      <c r="H255" s="43"/>
      <c r="I255" s="29"/>
      <c r="J255" s="56"/>
      <c r="Y255" s="26"/>
    </row>
    <row r="256" spans="1:25" ht="12" customHeight="1">
      <c r="A256" s="96" t="s">
        <v>1135</v>
      </c>
      <c r="B256" s="97" t="s">
        <v>1136</v>
      </c>
      <c r="C256" s="27">
        <v>97.7</v>
      </c>
      <c r="D256" s="27">
        <v>3.4156909999999998</v>
      </c>
      <c r="E256" s="43"/>
      <c r="F256" s="29" cm="1">
        <f t="array" ref="F256">_xlfn.IFS(C256=":",":",C256&gt;=P$19,1,C256&gt;=P$20,2,C256&lt;P$20,3)</f>
        <v>1</v>
      </c>
      <c r="H256" s="43"/>
      <c r="I256" s="29"/>
      <c r="J256" s="56"/>
      <c r="Y256" s="26"/>
    </row>
    <row r="257" spans="1:25" ht="12" customHeight="1">
      <c r="A257" s="96" t="s">
        <v>1137</v>
      </c>
      <c r="B257" s="97" t="s">
        <v>1138</v>
      </c>
      <c r="C257" s="27">
        <v>98.1</v>
      </c>
      <c r="D257" s="27">
        <v>4.5705559999999998</v>
      </c>
      <c r="E257" s="43"/>
      <c r="F257" s="29" cm="1">
        <f t="array" ref="F257">_xlfn.IFS(C257=":",":",C257&gt;=P$19,1,C257&gt;=P$20,2,C257&lt;P$20,3)</f>
        <v>1</v>
      </c>
      <c r="H257" s="43"/>
      <c r="I257" s="29"/>
      <c r="J257" s="56"/>
      <c r="Y257" s="26"/>
    </row>
    <row r="258" spans="1:25" ht="12" customHeight="1">
      <c r="A258" s="96" t="s">
        <v>1139</v>
      </c>
      <c r="B258" s="97" t="s">
        <v>1140</v>
      </c>
      <c r="C258" s="27">
        <v>96.4</v>
      </c>
      <c r="D258" s="27">
        <v>9.7191720000000004</v>
      </c>
      <c r="E258" s="43"/>
      <c r="F258" s="29" cm="1">
        <f t="array" ref="F258">_xlfn.IFS(C258=":",":",C258&gt;=P$19,1,C258&gt;=P$20,2,C258&lt;P$20,3)</f>
        <v>1</v>
      </c>
      <c r="H258" s="43"/>
      <c r="I258" s="29"/>
      <c r="J258" s="56"/>
      <c r="Y258" s="26"/>
    </row>
    <row r="259" spans="1:25" ht="12" customHeight="1">
      <c r="A259" s="96" t="s">
        <v>1141</v>
      </c>
      <c r="B259" s="97" t="s">
        <v>1142</v>
      </c>
      <c r="C259" s="27">
        <v>95.3</v>
      </c>
      <c r="D259" s="27">
        <v>2.205273</v>
      </c>
      <c r="E259" s="43"/>
      <c r="F259" s="29" cm="1">
        <f t="array" ref="F259">_xlfn.IFS(C259=":",":",C259&gt;=P$19,1,C259&gt;=P$20,2,C259&lt;P$20,3)</f>
        <v>1</v>
      </c>
      <c r="H259" s="43"/>
      <c r="I259" s="29"/>
      <c r="J259" s="56"/>
      <c r="Y259" s="26"/>
    </row>
    <row r="260" spans="1:25" ht="12" customHeight="1">
      <c r="A260" s="96" t="s">
        <v>1143</v>
      </c>
      <c r="B260" s="97" t="s">
        <v>1144</v>
      </c>
      <c r="C260" s="27">
        <v>98.1</v>
      </c>
      <c r="D260" s="27">
        <v>6.1588380000000003</v>
      </c>
      <c r="E260" s="43"/>
      <c r="F260" s="29" cm="1">
        <f t="array" ref="F260">_xlfn.IFS(C260=":",":",C260&gt;=P$19,1,C260&gt;=P$20,2,C260&lt;P$20,3)</f>
        <v>1</v>
      </c>
      <c r="H260" s="43"/>
      <c r="I260" s="29"/>
      <c r="J260" s="56"/>
      <c r="Y260" s="26"/>
    </row>
    <row r="261" spans="1:25" ht="12" customHeight="1">
      <c r="A261" s="96" t="s">
        <v>1145</v>
      </c>
      <c r="B261" s="97" t="s">
        <v>1146</v>
      </c>
      <c r="C261" s="27">
        <v>92.9</v>
      </c>
      <c r="D261" s="27">
        <v>0.920682</v>
      </c>
      <c r="E261" s="43"/>
      <c r="F261" s="29" cm="1">
        <f t="array" ref="F261">_xlfn.IFS(C261=":",":",C261&gt;=P$19,1,C261&gt;=P$20,2,C261&lt;P$20,3)</f>
        <v>1</v>
      </c>
      <c r="H261" s="43"/>
      <c r="I261" s="29"/>
      <c r="J261" s="56"/>
      <c r="Y261" s="26"/>
    </row>
    <row r="262" spans="1:25" ht="12" customHeight="1">
      <c r="A262" s="96" t="s">
        <v>1147</v>
      </c>
      <c r="B262" s="97" t="s">
        <v>1148</v>
      </c>
      <c r="C262" s="27">
        <v>82.5</v>
      </c>
      <c r="D262" s="27">
        <v>0.713198</v>
      </c>
      <c r="E262" s="43"/>
      <c r="F262" s="29" cm="1">
        <f t="array" ref="F262">_xlfn.IFS(C262=":",":",C262&gt;=P$19,1,C262&gt;=P$20,2,C262&lt;P$20,3)</f>
        <v>1</v>
      </c>
      <c r="H262" s="43"/>
      <c r="I262" s="29"/>
      <c r="J262" s="56"/>
      <c r="Y262" s="26"/>
    </row>
    <row r="263" spans="1:25" ht="12" customHeight="1">
      <c r="A263" s="96" t="s">
        <v>1149</v>
      </c>
      <c r="B263" s="97" t="s">
        <v>1150</v>
      </c>
      <c r="C263" s="27">
        <v>77.900000000000006</v>
      </c>
      <c r="D263" s="27">
        <v>0.18421699999999999</v>
      </c>
      <c r="E263" s="43"/>
      <c r="F263" s="29" cm="1">
        <f t="array" ref="F263">_xlfn.IFS(C263=":",":",C263&gt;=P$19,1,C263&gt;=P$20,2,C263&lt;P$20,3)</f>
        <v>1</v>
      </c>
      <c r="H263" s="43"/>
      <c r="I263" s="29"/>
      <c r="J263" s="56"/>
      <c r="Y263" s="26"/>
    </row>
    <row r="264" spans="1:25" ht="12" customHeight="1">
      <c r="A264" s="96" t="s">
        <v>1151</v>
      </c>
      <c r="B264" s="97" t="s">
        <v>1152</v>
      </c>
      <c r="C264" s="27">
        <v>79.7</v>
      </c>
      <c r="D264" s="27">
        <v>0.626058</v>
      </c>
      <c r="E264" s="43"/>
      <c r="F264" s="29" cm="1">
        <f t="array" ref="F264">_xlfn.IFS(C264=":",":",C264&gt;=P$19,1,C264&gt;=P$20,2,C264&lt;P$20,3)</f>
        <v>1</v>
      </c>
      <c r="H264" s="43"/>
      <c r="I264" s="29"/>
      <c r="J264" s="56"/>
      <c r="Y264" s="26"/>
    </row>
    <row r="265" spans="1:25" ht="12" customHeight="1">
      <c r="A265" s="96" t="s">
        <v>1153</v>
      </c>
      <c r="B265" s="97" t="s">
        <v>1154</v>
      </c>
      <c r="C265" s="27">
        <v>89.1</v>
      </c>
      <c r="D265" s="27">
        <v>0.29665799999999998</v>
      </c>
      <c r="E265" s="43"/>
      <c r="F265" s="29" cm="1">
        <f t="array" ref="F265">_xlfn.IFS(C265=":",":",C265&gt;=P$19,1,C265&gt;=P$20,2,C265&lt;P$20,3)</f>
        <v>1</v>
      </c>
      <c r="H265" s="43"/>
      <c r="I265" s="29"/>
      <c r="J265" s="56"/>
      <c r="Y265" s="26"/>
    </row>
    <row r="266" spans="1:25" ht="12" customHeight="1">
      <c r="A266" s="96" t="s">
        <v>1155</v>
      </c>
      <c r="B266" s="97" t="s">
        <v>1156</v>
      </c>
      <c r="C266" s="27">
        <v>90</v>
      </c>
      <c r="D266" s="27">
        <v>2.2911800000000002</v>
      </c>
      <c r="E266" s="43"/>
      <c r="F266" s="29" cm="1">
        <f t="array" ref="F266">_xlfn.IFS(C266=":",":",C266&gt;=P$19,1,C266&gt;=P$20,2,C266&lt;P$20,3)</f>
        <v>1</v>
      </c>
      <c r="H266" s="43"/>
      <c r="I266" s="29"/>
      <c r="J266" s="56"/>
      <c r="Y266" s="26"/>
    </row>
    <row r="267" spans="1:25" ht="12" customHeight="1">
      <c r="A267" s="96" t="s">
        <v>1157</v>
      </c>
      <c r="B267" s="97" t="s">
        <v>1158</v>
      </c>
      <c r="C267" s="27">
        <v>85</v>
      </c>
      <c r="D267" s="27">
        <v>0.118698</v>
      </c>
      <c r="E267" s="43"/>
      <c r="F267" s="29" cm="1">
        <f t="array" ref="F267">_xlfn.IFS(C267=":",":",C267&gt;=P$19,1,C267&gt;=P$20,2,C267&lt;P$20,3)</f>
        <v>1</v>
      </c>
      <c r="H267" s="43"/>
      <c r="I267" s="29"/>
      <c r="J267" s="56"/>
      <c r="Y267" s="26"/>
    </row>
    <row r="268" spans="1:25" ht="12" customHeight="1">
      <c r="A268" s="96" t="s">
        <v>1159</v>
      </c>
      <c r="B268" s="97" t="s">
        <v>1160</v>
      </c>
      <c r="C268" s="27">
        <v>91.2</v>
      </c>
      <c r="D268" s="27">
        <v>0.30497600000000002</v>
      </c>
      <c r="E268" s="43"/>
      <c r="F268" s="29" cm="1">
        <f t="array" ref="F268">_xlfn.IFS(C268=":",":",C268&gt;=P$19,1,C268&gt;=P$20,2,C268&lt;P$20,3)</f>
        <v>1</v>
      </c>
      <c r="H268" s="43"/>
      <c r="I268" s="29"/>
      <c r="J268" s="56"/>
      <c r="Y268" s="26"/>
    </row>
    <row r="269" spans="1:25" ht="12" customHeight="1">
      <c r="A269" s="96" t="s">
        <v>1161</v>
      </c>
      <c r="B269" s="97" t="s">
        <v>1162</v>
      </c>
      <c r="C269" s="27">
        <v>83.3</v>
      </c>
      <c r="D269" s="27">
        <v>0.105572</v>
      </c>
      <c r="E269" s="43"/>
      <c r="F269" s="29" cm="1">
        <f t="array" ref="F269">_xlfn.IFS(C269=":",":",C269&gt;=P$19,1,C269&gt;=P$20,2,C269&lt;P$20,3)</f>
        <v>1</v>
      </c>
      <c r="H269" s="43"/>
      <c r="I269" s="29"/>
      <c r="J269" s="56"/>
      <c r="Y269" s="26"/>
    </row>
    <row r="270" spans="1:25" ht="12" customHeight="1">
      <c r="A270" s="96" t="s">
        <v>1163</v>
      </c>
      <c r="B270" s="97" t="s">
        <v>1164</v>
      </c>
      <c r="C270" s="27">
        <v>92</v>
      </c>
      <c r="D270" s="27">
        <v>9.7364000000000006E-2</v>
      </c>
      <c r="E270" s="43"/>
      <c r="F270" s="29" cm="1">
        <f t="array" ref="F270">_xlfn.IFS(C270=":",":",C270&gt;=P$19,1,C270&gt;=P$20,2,C270&lt;P$20,3)</f>
        <v>1</v>
      </c>
      <c r="H270" s="43"/>
      <c r="I270" s="29"/>
      <c r="J270" s="56"/>
      <c r="Y270" s="26"/>
    </row>
    <row r="271" spans="1:25" ht="12" customHeight="1">
      <c r="A271" s="96" t="s">
        <v>1165</v>
      </c>
      <c r="B271" s="97" t="s">
        <v>1166</v>
      </c>
      <c r="C271" s="27">
        <v>85.5</v>
      </c>
      <c r="D271" s="27">
        <v>1.7471239999999999</v>
      </c>
      <c r="E271" s="43"/>
      <c r="F271" s="29" cm="1">
        <f t="array" ref="F271">_xlfn.IFS(C271=":",":",C271&gt;=P$19,1,C271&gt;=P$20,2,C271&lt;P$20,3)</f>
        <v>1</v>
      </c>
      <c r="H271" s="43"/>
      <c r="I271" s="29"/>
      <c r="J271" s="56"/>
      <c r="Y271" s="26"/>
    </row>
    <row r="272" spans="1:25" ht="12" customHeight="1">
      <c r="A272" s="96" t="s">
        <v>1167</v>
      </c>
      <c r="B272" s="97" t="s">
        <v>1168</v>
      </c>
      <c r="C272" s="27">
        <v>90.1</v>
      </c>
      <c r="D272" s="27">
        <v>0.684894</v>
      </c>
      <c r="E272" s="43"/>
      <c r="F272" s="29" cm="1">
        <f t="array" ref="F272">_xlfn.IFS(C272=":",":",C272&gt;=P$19,1,C272&gt;=P$20,2,C272&lt;P$20,3)</f>
        <v>1</v>
      </c>
      <c r="H272" s="43"/>
      <c r="I272" s="29"/>
      <c r="J272" s="56"/>
      <c r="Y272" s="26"/>
    </row>
    <row r="273" spans="1:25" ht="12" customHeight="1">
      <c r="A273" s="96" t="s">
        <v>1169</v>
      </c>
      <c r="B273" s="97" t="s">
        <v>1170</v>
      </c>
      <c r="C273" s="27">
        <v>90.3</v>
      </c>
      <c r="D273" s="27">
        <v>0.56444799999999995</v>
      </c>
      <c r="E273" s="43"/>
      <c r="F273" s="29" cm="1">
        <f t="array" ref="F273">_xlfn.IFS(C273=":",":",C273&gt;=P$19,1,C273&gt;=P$20,2,C273&lt;P$20,3)</f>
        <v>1</v>
      </c>
      <c r="H273" s="43"/>
      <c r="I273" s="29"/>
      <c r="Y273" s="26"/>
    </row>
    <row r="274" spans="1:25" ht="12" customHeight="1">
      <c r="A274" s="96" t="s">
        <v>1171</v>
      </c>
      <c r="B274" s="97" t="s">
        <v>1172</v>
      </c>
      <c r="C274" s="27">
        <v>83.1</v>
      </c>
      <c r="D274" s="27">
        <v>0.47872900000000002</v>
      </c>
      <c r="E274" s="43"/>
      <c r="F274" s="29" cm="1">
        <f t="array" ref="F274">_xlfn.IFS(C274=":",":",C274&gt;=P$19,1,C274&gt;=P$20,2,C274&lt;P$20,3)</f>
        <v>1</v>
      </c>
      <c r="H274" s="43"/>
      <c r="I274" s="29"/>
      <c r="Y274" s="26"/>
    </row>
    <row r="275" spans="1:25" ht="12" customHeight="1">
      <c r="A275" s="96" t="s">
        <v>1173</v>
      </c>
      <c r="B275" s="97" t="s">
        <v>1174</v>
      </c>
      <c r="C275" s="27">
        <v>88.3</v>
      </c>
      <c r="D275" s="27">
        <v>0.196571</v>
      </c>
      <c r="E275" s="43"/>
      <c r="F275" s="29" cm="1">
        <f t="array" ref="F275">_xlfn.IFS(C275=":",":",C275&gt;=P$19,1,C275&gt;=P$20,2,C275&lt;P$20,3)</f>
        <v>1</v>
      </c>
      <c r="H275" s="43"/>
      <c r="I275" s="29"/>
      <c r="Y275" s="26"/>
    </row>
    <row r="276" spans="1:25" ht="12" customHeight="1">
      <c r="A276" s="96" t="s">
        <v>1175</v>
      </c>
      <c r="B276" s="97" t="s">
        <v>1176</v>
      </c>
      <c r="C276" s="27">
        <v>88.6</v>
      </c>
      <c r="D276" s="27">
        <v>0.23860899999999999</v>
      </c>
      <c r="E276" s="43"/>
      <c r="F276" s="29" cm="1">
        <f t="array" ref="F276">_xlfn.IFS(C276=":",":",C276&gt;=P$19,1,C276&gt;=P$20,2,C276&lt;P$20,3)</f>
        <v>1</v>
      </c>
      <c r="H276" s="43"/>
      <c r="I276" s="29"/>
      <c r="Y276" s="26"/>
    </row>
    <row r="277" spans="1:25" ht="12" customHeight="1">
      <c r="A277" s="96" t="s">
        <v>1177</v>
      </c>
      <c r="B277" s="97" t="s">
        <v>1178</v>
      </c>
      <c r="C277" s="27">
        <v>93</v>
      </c>
      <c r="D277" s="27">
        <v>0.34948899999999999</v>
      </c>
      <c r="E277" s="43"/>
      <c r="F277" s="29" cm="1">
        <f t="array" ref="F277">_xlfn.IFS(C277=":",":",C277&gt;=P$19,1,C277&gt;=P$20,2,C277&lt;P$20,3)</f>
        <v>1</v>
      </c>
      <c r="H277" s="43"/>
      <c r="I277" s="29"/>
      <c r="Y277" s="26"/>
    </row>
    <row r="278" spans="1:25" ht="12" customHeight="1">
      <c r="A278" s="96" t="s">
        <v>1179</v>
      </c>
      <c r="B278" s="97" t="s">
        <v>1180</v>
      </c>
      <c r="C278" s="27">
        <v>82</v>
      </c>
      <c r="D278" s="27">
        <v>3.929764</v>
      </c>
      <c r="E278" s="43"/>
      <c r="F278" s="29" cm="1">
        <f t="array" ref="F278">_xlfn.IFS(C278=":",":",C278&gt;=P$19,1,C278&gt;=P$20,2,C278&lt;P$20,3)</f>
        <v>1</v>
      </c>
      <c r="H278" s="43"/>
      <c r="I278" s="29"/>
      <c r="Y278" s="26"/>
    </row>
    <row r="279" spans="1:25" ht="12" customHeight="1">
      <c r="A279" s="96" t="s">
        <v>1181</v>
      </c>
      <c r="B279" s="97" t="s">
        <v>1182</v>
      </c>
      <c r="C279" s="27">
        <v>88.4</v>
      </c>
      <c r="D279" s="27">
        <v>0.79709700000000006</v>
      </c>
      <c r="E279" s="43"/>
      <c r="F279" s="29" cm="1">
        <f t="array" ref="F279">_xlfn.IFS(C279=":",":",C279&gt;=P$19,1,C279&gt;=P$20,2,C279&lt;P$20,3)</f>
        <v>1</v>
      </c>
      <c r="H279" s="43"/>
      <c r="I279" s="29"/>
      <c r="Y279" s="26"/>
    </row>
    <row r="280" spans="1:25" ht="12" customHeight="1">
      <c r="A280" s="96" t="s">
        <v>1183</v>
      </c>
      <c r="B280" s="97" t="s">
        <v>1184</v>
      </c>
      <c r="C280" s="27">
        <v>97.3</v>
      </c>
      <c r="D280" s="27">
        <v>2.2691439999999998</v>
      </c>
      <c r="F280" s="29" cm="1">
        <f t="array" ref="F280">_xlfn.IFS(C280=":",":",C280&gt;=P$19,1,C280&gt;=P$20,2,C280&lt;P$20,3)</f>
        <v>1</v>
      </c>
      <c r="H280" s="43"/>
      <c r="I280" s="29"/>
      <c r="Y280" s="26"/>
    </row>
    <row r="281" spans="1:25" ht="12" customHeight="1">
      <c r="A281" s="96" t="s">
        <v>1185</v>
      </c>
      <c r="B281" s="97" t="s">
        <v>1186</v>
      </c>
      <c r="C281" s="27">
        <v>89.2</v>
      </c>
      <c r="D281" s="27">
        <v>0.75189300000000003</v>
      </c>
      <c r="F281" s="29" cm="1">
        <f t="array" ref="F281">_xlfn.IFS(C281=":",":",C281&gt;=P$19,1,C281&gt;=P$20,2,C281&lt;P$20,3)</f>
        <v>1</v>
      </c>
      <c r="H281" s="28"/>
      <c r="I281" s="29"/>
      <c r="Y281" s="26"/>
    </row>
    <row r="282" spans="1:25" ht="12" customHeight="1">
      <c r="A282" s="96" t="s">
        <v>1187</v>
      </c>
      <c r="B282" s="97" t="s">
        <v>1188</v>
      </c>
      <c r="C282" s="27">
        <v>97.1</v>
      </c>
      <c r="D282" s="27">
        <v>0.25368499999999999</v>
      </c>
      <c r="F282" s="29" cm="1">
        <f t="array" ref="F282">_xlfn.IFS(C282=":",":",C282&gt;=P$19,1,C282&gt;=P$20,2,C282&lt;P$20,3)</f>
        <v>1</v>
      </c>
      <c r="H282" s="28"/>
      <c r="I282" s="29"/>
      <c r="Y282" s="26"/>
    </row>
    <row r="283" spans="1:25" ht="12" customHeight="1">
      <c r="A283" s="96" t="s">
        <v>1189</v>
      </c>
      <c r="B283" s="97" t="s">
        <v>1190</v>
      </c>
      <c r="C283" s="27">
        <v>92.3</v>
      </c>
      <c r="D283" s="27">
        <v>0.71913899999999997</v>
      </c>
      <c r="F283" s="29" cm="1">
        <f t="array" ref="F283">_xlfn.IFS(C283=":",":",C283&gt;=P$19,1,C283&gt;=P$20,2,C283&lt;P$20,3)</f>
        <v>1</v>
      </c>
      <c r="H283" s="28"/>
      <c r="I283" s="29"/>
      <c r="Y283" s="26"/>
    </row>
    <row r="284" spans="1:25" ht="12" customHeight="1">
      <c r="A284" s="96" t="s">
        <v>1191</v>
      </c>
      <c r="B284" s="97" t="s">
        <v>1192</v>
      </c>
      <c r="C284" s="27">
        <v>92.4</v>
      </c>
      <c r="D284" s="27">
        <v>0.162463</v>
      </c>
      <c r="F284" s="29" cm="1">
        <f t="array" ref="F284">_xlfn.IFS(C284=":",":",C284&gt;=P$19,1,C284&gt;=P$20,2,C284&lt;P$20,3)</f>
        <v>1</v>
      </c>
      <c r="H284" s="28"/>
      <c r="I284" s="29"/>
      <c r="Y284" s="26"/>
    </row>
    <row r="285" spans="1:25" ht="12" customHeight="1">
      <c r="A285" s="96" t="s">
        <v>1193</v>
      </c>
      <c r="B285" s="97" t="s">
        <v>1194</v>
      </c>
      <c r="C285" s="27">
        <v>90.7</v>
      </c>
      <c r="D285" s="27">
        <v>0.46168399999999998</v>
      </c>
      <c r="F285" s="29" cm="1">
        <f t="array" ref="F285">_xlfn.IFS(C285=":",":",C285&gt;=P$19,1,C285&gt;=P$20,2,C285&lt;P$20,3)</f>
        <v>1</v>
      </c>
      <c r="H285" s="28"/>
      <c r="I285" s="29"/>
      <c r="Y285" s="26"/>
    </row>
    <row r="286" spans="1:25" ht="12" customHeight="1">
      <c r="A286" s="96" t="s">
        <v>1195</v>
      </c>
      <c r="B286" s="97" t="s">
        <v>1196</v>
      </c>
      <c r="C286" s="27">
        <v>92</v>
      </c>
      <c r="D286" s="27">
        <v>2.9655619999999998</v>
      </c>
      <c r="F286" s="29" cm="1">
        <f t="array" ref="F286">_xlfn.IFS(C286=":",":",C286&gt;=P$19,1,C286&gt;=P$20,2,C286&lt;P$20,3)</f>
        <v>1</v>
      </c>
      <c r="H286" s="28"/>
      <c r="I286" s="29"/>
      <c r="Y286" s="26"/>
    </row>
    <row r="287" spans="1:25" ht="12" customHeight="1">
      <c r="A287" s="96" t="s">
        <v>1197</v>
      </c>
      <c r="B287" s="97" t="s">
        <v>1198</v>
      </c>
      <c r="C287" s="27">
        <v>92</v>
      </c>
      <c r="D287" s="27">
        <v>0.61918700000000004</v>
      </c>
      <c r="F287" s="29" cm="1">
        <f t="array" ref="F287">_xlfn.IFS(C287=":",":",C287&gt;=P$19,1,C287&gt;=P$20,2,C287&lt;P$20,3)</f>
        <v>1</v>
      </c>
      <c r="H287" s="28"/>
      <c r="I287" s="29"/>
      <c r="Y287" s="26"/>
    </row>
    <row r="288" spans="1:25" ht="12" customHeight="1">
      <c r="A288" s="96" t="s">
        <v>1199</v>
      </c>
      <c r="B288" s="97" t="s">
        <v>1200</v>
      </c>
      <c r="C288" s="27">
        <v>95.5</v>
      </c>
      <c r="D288" s="27">
        <v>0.37600299999999998</v>
      </c>
      <c r="F288" s="29" cm="1">
        <f t="array" ref="F288">_xlfn.IFS(C288=":",":",C288&gt;=P$19,1,C288&gt;=P$20,2,C288&lt;P$20,3)</f>
        <v>1</v>
      </c>
      <c r="H288" s="28"/>
      <c r="I288" s="29"/>
      <c r="Y288" s="26"/>
    </row>
    <row r="289" spans="1:25" ht="12" customHeight="1">
      <c r="A289" s="96" t="s">
        <v>1201</v>
      </c>
      <c r="B289" s="99" t="s">
        <v>1202</v>
      </c>
      <c r="C289" s="27">
        <v>87</v>
      </c>
      <c r="D289" s="27">
        <v>0.33126</v>
      </c>
      <c r="F289" s="29" cm="1">
        <f t="array" ref="F289">_xlfn.IFS(C289=":",":",C289&gt;=P$19,1,C289&gt;=P$20,2,C289&lt;P$20,3)</f>
        <v>1</v>
      </c>
      <c r="H289" s="28"/>
      <c r="I289" s="29"/>
      <c r="Y289" s="26"/>
    </row>
    <row r="290" spans="1:25" ht="12" customHeight="1">
      <c r="A290" s="96" t="s">
        <v>1203</v>
      </c>
      <c r="B290" s="97" t="s">
        <v>1204</v>
      </c>
      <c r="C290" s="27">
        <v>83.1</v>
      </c>
      <c r="D290" s="27">
        <v>6.8160999999999999E-2</v>
      </c>
      <c r="F290" s="29" cm="1">
        <f t="array" ref="F290">_xlfn.IFS(C290=":",":",C290&gt;=P$19,1,C290&gt;=P$20,2,C290&lt;P$20,3)</f>
        <v>1</v>
      </c>
      <c r="H290" s="28"/>
      <c r="I290" s="29"/>
      <c r="Y290" s="26"/>
    </row>
    <row r="291" spans="1:25" ht="12" customHeight="1">
      <c r="A291" s="96" t="s">
        <v>1205</v>
      </c>
      <c r="B291" s="97" t="s">
        <v>1206</v>
      </c>
      <c r="C291" s="27">
        <v>91.3</v>
      </c>
      <c r="D291" s="27">
        <v>0.26320700000000002</v>
      </c>
      <c r="F291" s="29" cm="1">
        <f t="array" ref="F291">_xlfn.IFS(C291=":",":",C291&gt;=P$19,1,C291&gt;=P$20,2,C291&lt;P$20,3)</f>
        <v>1</v>
      </c>
      <c r="H291" s="28"/>
      <c r="I291" s="29"/>
      <c r="Y291" s="26"/>
    </row>
    <row r="292" spans="1:25" ht="12" customHeight="1">
      <c r="A292" s="96" t="s">
        <v>1207</v>
      </c>
      <c r="B292" s="97" t="s">
        <v>1208</v>
      </c>
      <c r="C292" s="27">
        <v>89.8</v>
      </c>
      <c r="D292" s="27">
        <v>0.27197199999999999</v>
      </c>
      <c r="F292" s="29" cm="1">
        <f t="array" ref="F292">_xlfn.IFS(C292=":",":",C292&gt;=P$19,1,C292&gt;=P$20,2,C292&lt;P$20,3)</f>
        <v>1</v>
      </c>
      <c r="H292" s="28"/>
      <c r="I292" s="29"/>
      <c r="Y292" s="26"/>
    </row>
    <row r="293" spans="1:25" ht="12" customHeight="1">
      <c r="A293" s="96" t="s">
        <v>1209</v>
      </c>
      <c r="B293" s="97" t="s">
        <v>1210</v>
      </c>
      <c r="C293" s="27">
        <v>83.7</v>
      </c>
      <c r="D293" s="27">
        <v>0.48802499999999999</v>
      </c>
      <c r="F293" s="29" cm="1">
        <f t="array" ref="F293">_xlfn.IFS(C293=":",":",C293&gt;=P$19,1,C293&gt;=P$20,2,C293&lt;P$20,3)</f>
        <v>1</v>
      </c>
      <c r="H293" s="28"/>
      <c r="I293" s="29"/>
      <c r="Y293" s="26"/>
    </row>
    <row r="294" spans="1:25" ht="12" customHeight="1">
      <c r="A294" s="96" t="s">
        <v>1211</v>
      </c>
      <c r="B294" s="97" t="s">
        <v>1212</v>
      </c>
      <c r="C294" s="64">
        <v>92.8</v>
      </c>
      <c r="D294" s="27">
        <v>0.302089</v>
      </c>
      <c r="F294" s="29" cm="1">
        <f t="array" ref="F294">_xlfn.IFS(C294=":",":",C294&gt;=P$19,1,C294&gt;=P$20,2,C294&lt;P$20,3)</f>
        <v>1</v>
      </c>
      <c r="H294" s="28"/>
      <c r="I294" s="29"/>
      <c r="Y294" s="26"/>
    </row>
    <row r="295" spans="1:25" ht="12" customHeight="1">
      <c r="A295" s="96" t="s">
        <v>1213</v>
      </c>
      <c r="B295" s="97" t="s">
        <v>1214</v>
      </c>
      <c r="C295" s="64">
        <v>95.9</v>
      </c>
      <c r="D295" s="27">
        <v>0.61366600000000004</v>
      </c>
      <c r="F295" s="29" cm="1">
        <f t="array" ref="F295">_xlfn.IFS(C295=":",":",C295&gt;=P$19,1,C295&gt;=P$20,2,C295&lt;P$20,3)</f>
        <v>1</v>
      </c>
      <c r="H295" s="28"/>
      <c r="I295" s="29"/>
      <c r="Y295" s="26"/>
    </row>
    <row r="296" spans="1:25" ht="12" customHeight="1">
      <c r="A296" s="96" t="s">
        <v>1215</v>
      </c>
      <c r="B296" s="97" t="s">
        <v>1216</v>
      </c>
      <c r="C296" s="27">
        <v>98.1</v>
      </c>
      <c r="D296" s="27">
        <v>3.987879</v>
      </c>
      <c r="E296" s="59"/>
      <c r="F296" s="29" cm="1">
        <f t="array" ref="F296">_xlfn.IFS(C296=":",":",C296&gt;=P$19,1,C296&gt;=P$20,2,C296&lt;P$20,3)</f>
        <v>1</v>
      </c>
      <c r="H296" s="28"/>
      <c r="I296" s="29"/>
      <c r="Y296" s="26"/>
    </row>
    <row r="297" spans="1:25" ht="12" customHeight="1">
      <c r="A297" s="96" t="s">
        <v>1217</v>
      </c>
      <c r="B297" s="97" t="s">
        <v>1218</v>
      </c>
      <c r="C297" s="27">
        <v>74.099999999999994</v>
      </c>
      <c r="D297" s="27">
        <v>0.493703</v>
      </c>
      <c r="E297" s="59"/>
      <c r="F297" s="29" cm="1">
        <f t="array" ref="F297">_xlfn.IFS(C297=":",":",C297&gt;=P$19,1,C297&gt;=P$20,2,C297&lt;P$20,3)</f>
        <v>1</v>
      </c>
      <c r="H297" s="59"/>
      <c r="I297" s="29"/>
      <c r="Y297" s="26"/>
    </row>
    <row r="298" spans="1:25" ht="12" customHeight="1">
      <c r="A298" s="96" t="s">
        <v>1219</v>
      </c>
      <c r="B298" s="97" t="s">
        <v>1220</v>
      </c>
      <c r="C298" s="64">
        <v>91.6</v>
      </c>
      <c r="D298" s="27">
        <v>2.2512110000000001</v>
      </c>
      <c r="E298" s="59"/>
      <c r="F298" s="29" cm="1">
        <f t="array" ref="F298">_xlfn.IFS(C298=":",":",C298&gt;=P$19,1,C298&gt;=P$20,2,C298&lt;P$20,3)</f>
        <v>1</v>
      </c>
      <c r="H298" s="59"/>
      <c r="I298" s="29"/>
      <c r="Y298" s="26"/>
    </row>
    <row r="299" spans="1:25" ht="12" customHeight="1">
      <c r="A299" s="96" t="s">
        <v>1221</v>
      </c>
      <c r="B299" s="97" t="s">
        <v>2819</v>
      </c>
      <c r="C299" s="64">
        <v>98.9</v>
      </c>
      <c r="D299" s="27">
        <v>1.6932959999999999</v>
      </c>
      <c r="E299" s="59"/>
      <c r="F299" s="29" cm="1">
        <f t="array" ref="F299">_xlfn.IFS(C299=":",":",C299&gt;=P$19,1,C299&gt;=P$20,2,C299&lt;P$20,3)</f>
        <v>1</v>
      </c>
      <c r="H299" s="59"/>
      <c r="I299" s="29"/>
      <c r="Y299" s="26"/>
    </row>
    <row r="300" spans="1:25" ht="12" customHeight="1">
      <c r="A300" s="96" t="s">
        <v>1222</v>
      </c>
      <c r="B300" s="97" t="s">
        <v>1223</v>
      </c>
      <c r="C300" s="64">
        <v>55.4</v>
      </c>
      <c r="D300" s="27">
        <v>0.69238100000000002</v>
      </c>
      <c r="E300" s="59"/>
      <c r="F300" s="29" cm="1">
        <f t="array" ref="F300">_xlfn.IFS(C300=":",":",C300&gt;=P$19,1,C300&gt;=P$20,2,C300&lt;P$20,3)</f>
        <v>2</v>
      </c>
      <c r="H300" s="59"/>
      <c r="I300" s="29"/>
      <c r="Y300" s="26"/>
    </row>
    <row r="301" spans="1:25" ht="12" customHeight="1">
      <c r="A301" s="96" t="s">
        <v>1224</v>
      </c>
      <c r="B301" s="97" t="s">
        <v>1225</v>
      </c>
      <c r="C301" s="27">
        <v>97.6</v>
      </c>
      <c r="D301" s="27">
        <v>1.48854</v>
      </c>
      <c r="E301" s="43"/>
      <c r="F301" s="29" cm="1">
        <f t="array" ref="F301">_xlfn.IFS(C301=":",":",C301&gt;=P$19,1,C301&gt;=P$20,2,C301&lt;P$20,3)</f>
        <v>1</v>
      </c>
      <c r="H301" s="59"/>
      <c r="I301" s="29"/>
      <c r="Y301" s="26"/>
    </row>
    <row r="302" spans="1:25" ht="12" customHeight="1">
      <c r="A302" s="96" t="s">
        <v>1226</v>
      </c>
      <c r="B302" s="97" t="s">
        <v>1227</v>
      </c>
      <c r="C302" s="64">
        <v>84.7</v>
      </c>
      <c r="D302" s="27">
        <v>0.42620200000000003</v>
      </c>
      <c r="E302" s="43"/>
      <c r="F302" s="29" cm="1">
        <f t="array" ref="F302">_xlfn.IFS(C302=":",":",C302&gt;=P$19,1,C302&gt;=P$20,2,C302&lt;P$20,3)</f>
        <v>1</v>
      </c>
      <c r="H302" s="43"/>
      <c r="I302" s="29"/>
      <c r="Y302" s="26"/>
    </row>
    <row r="303" spans="1:25" ht="12" customHeight="1">
      <c r="A303" s="96" t="s">
        <v>1228</v>
      </c>
      <c r="B303" s="97" t="s">
        <v>1229</v>
      </c>
      <c r="C303" s="64">
        <v>91</v>
      </c>
      <c r="D303" s="27">
        <v>0.96699100000000004</v>
      </c>
      <c r="E303" s="43"/>
      <c r="F303" s="29" cm="1">
        <f t="array" ref="F303">_xlfn.IFS(C303=":",":",C303&gt;=P$19,1,C303&gt;=P$20,2,C303&lt;P$20,3)</f>
        <v>1</v>
      </c>
      <c r="H303" s="43"/>
      <c r="I303" s="29"/>
      <c r="Y303" s="26"/>
    </row>
    <row r="304" spans="1:25" ht="12" customHeight="1">
      <c r="A304" s="96" t="s">
        <v>1230</v>
      </c>
      <c r="B304" s="97" t="s">
        <v>1231</v>
      </c>
      <c r="C304" s="64">
        <v>90.4</v>
      </c>
      <c r="D304" s="27">
        <v>0.35758699999999999</v>
      </c>
      <c r="E304" s="43"/>
      <c r="F304" s="29" cm="1">
        <f t="array" ref="F304">_xlfn.IFS(C304=":",":",C304&gt;=P$19,1,C304&gt;=P$20,2,C304&lt;P$20,3)</f>
        <v>1</v>
      </c>
      <c r="H304" s="43"/>
      <c r="I304" s="29"/>
      <c r="Y304" s="26"/>
    </row>
    <row r="305" spans="1:25" ht="12" customHeight="1">
      <c r="A305" s="96" t="s">
        <v>1232</v>
      </c>
      <c r="B305" s="97" t="s">
        <v>1233</v>
      </c>
      <c r="C305" s="64">
        <v>92.8</v>
      </c>
      <c r="D305" s="27">
        <v>0.74452300000000005</v>
      </c>
      <c r="E305" s="43"/>
      <c r="F305" s="29" cm="1">
        <f t="array" ref="F305">_xlfn.IFS(C305=":",":",C305&gt;=P$19,1,C305&gt;=P$20,2,C305&lt;P$20,3)</f>
        <v>1</v>
      </c>
      <c r="H305" s="43"/>
      <c r="I305" s="29"/>
      <c r="Y305" s="26"/>
    </row>
    <row r="306" spans="1:25" ht="12" customHeight="1">
      <c r="A306" s="96" t="s">
        <v>1234</v>
      </c>
      <c r="B306" s="97" t="s">
        <v>1235</v>
      </c>
      <c r="C306" s="64">
        <v>98.4</v>
      </c>
      <c r="D306" s="27">
        <v>2.4573160000000001</v>
      </c>
      <c r="E306" s="43"/>
      <c r="F306" s="29" cm="1">
        <f t="array" ref="F306">_xlfn.IFS(C306=":",":",C306&gt;=P$19,1,C306&gt;=P$20,2,C306&lt;P$20,3)</f>
        <v>1</v>
      </c>
      <c r="H306" s="43"/>
      <c r="I306" s="29"/>
      <c r="Y306" s="26"/>
    </row>
    <row r="307" spans="1:25" ht="12" customHeight="1">
      <c r="A307" s="96" t="s">
        <v>1236</v>
      </c>
      <c r="B307" s="97" t="s">
        <v>1237</v>
      </c>
      <c r="C307" s="64">
        <v>62</v>
      </c>
      <c r="D307" s="27">
        <v>5.5452630000000003</v>
      </c>
      <c r="E307" s="43"/>
      <c r="F307" s="29" cm="1">
        <f t="array" ref="F307">_xlfn.IFS(C307=":",":",C307&gt;=P$19,1,C307&gt;=P$20,2,C307&lt;P$20,3)</f>
        <v>2</v>
      </c>
      <c r="H307" s="43"/>
      <c r="I307" s="29"/>
      <c r="Y307" s="26"/>
    </row>
    <row r="308" spans="1:25" ht="12" customHeight="1">
      <c r="A308" s="96" t="s">
        <v>1238</v>
      </c>
      <c r="B308" s="97" t="s">
        <v>1239</v>
      </c>
      <c r="C308" s="27">
        <v>76</v>
      </c>
      <c r="D308" s="27">
        <v>0.48467199999999999</v>
      </c>
      <c r="E308" s="43"/>
      <c r="F308" s="29" cm="1">
        <f t="array" ref="F308">_xlfn.IFS(C308=":",":",C308&gt;=P$19,1,C308&gt;=P$20,2,C308&lt;P$20,3)</f>
        <v>1</v>
      </c>
      <c r="H308" s="43"/>
      <c r="I308" s="29"/>
      <c r="Y308" s="26"/>
    </row>
    <row r="309" spans="1:25" ht="12" customHeight="1">
      <c r="A309" s="96" t="s">
        <v>1240</v>
      </c>
      <c r="B309" s="97" t="s">
        <v>1241</v>
      </c>
      <c r="C309" s="27">
        <v>72.599999999999994</v>
      </c>
      <c r="D309" s="27">
        <v>1.6483890000000001</v>
      </c>
      <c r="E309" s="43"/>
      <c r="F309" s="29" cm="1">
        <f t="array" ref="F309">_xlfn.IFS(C309=":",":",C309&gt;=P$19,1,C309&gt;=P$20,2,C309&lt;P$20,3)</f>
        <v>1</v>
      </c>
      <c r="H309" s="43"/>
      <c r="I309" s="29"/>
      <c r="Y309" s="26"/>
    </row>
    <row r="310" spans="1:25" ht="12" customHeight="1">
      <c r="A310" s="96" t="s">
        <v>1242</v>
      </c>
      <c r="B310" s="97" t="s">
        <v>1243</v>
      </c>
      <c r="C310" s="27">
        <v>78.599999999999994</v>
      </c>
      <c r="D310" s="27">
        <v>0.266461</v>
      </c>
      <c r="E310" s="43"/>
      <c r="F310" s="29" cm="1">
        <f t="array" ref="F310">_xlfn.IFS(C310=":",":",C310&gt;=P$19,1,C310&gt;=P$20,2,C310&lt;P$20,3)</f>
        <v>1</v>
      </c>
      <c r="H310" s="43"/>
      <c r="I310" s="29"/>
      <c r="Y310" s="26"/>
    </row>
    <row r="311" spans="1:25" ht="12" customHeight="1">
      <c r="A311" s="96" t="s">
        <v>1244</v>
      </c>
      <c r="B311" s="97" t="s">
        <v>1245</v>
      </c>
      <c r="C311" s="27">
        <v>79.3</v>
      </c>
      <c r="D311" s="27">
        <v>0.31492300000000001</v>
      </c>
      <c r="E311" s="43"/>
      <c r="F311" s="29" cm="1">
        <f t="array" ref="F311">_xlfn.IFS(C311=":",":",C311&gt;=P$19,1,C311&gt;=P$20,2,C311&lt;P$20,3)</f>
        <v>1</v>
      </c>
      <c r="H311" s="43"/>
      <c r="I311" s="29"/>
      <c r="Y311" s="26"/>
    </row>
    <row r="312" spans="1:25" ht="12" customHeight="1">
      <c r="A312" s="96" t="s">
        <v>1246</v>
      </c>
      <c r="B312" s="97" t="s">
        <v>1247</v>
      </c>
      <c r="C312" s="27">
        <v>73.5</v>
      </c>
      <c r="D312" s="27">
        <v>0.166627</v>
      </c>
      <c r="E312" s="43"/>
      <c r="F312" s="29" cm="1">
        <f t="array" ref="F312">_xlfn.IFS(C312=":",":",C312&gt;=P$19,1,C312&gt;=P$20,2,C312&lt;P$20,3)</f>
        <v>1</v>
      </c>
      <c r="H312" s="43"/>
      <c r="I312" s="29"/>
      <c r="Y312" s="26"/>
    </row>
    <row r="313" spans="1:25" ht="12" customHeight="1">
      <c r="A313" s="96" t="s">
        <v>1248</v>
      </c>
      <c r="B313" s="97" t="s">
        <v>1249</v>
      </c>
      <c r="C313" s="27">
        <v>74.900000000000006</v>
      </c>
      <c r="D313" s="27">
        <v>0.48086400000000001</v>
      </c>
      <c r="E313" s="59"/>
      <c r="F313" s="29" cm="1">
        <f t="array" ref="F313">_xlfn.IFS(C313=":",":",C313&gt;=P$19,1,C313&gt;=P$20,2,C313&lt;P$20,3)</f>
        <v>1</v>
      </c>
      <c r="H313" s="43"/>
      <c r="I313" s="29"/>
      <c r="Y313" s="26"/>
    </row>
    <row r="314" spans="1:25" ht="12" customHeight="1">
      <c r="A314" s="96" t="s">
        <v>1250</v>
      </c>
      <c r="B314" s="97" t="s">
        <v>1251</v>
      </c>
      <c r="C314" s="27">
        <v>82.8</v>
      </c>
      <c r="D314" s="27">
        <v>6.8876000000000007E-2</v>
      </c>
      <c r="E314" s="59"/>
      <c r="F314" s="29" cm="1">
        <f t="array" ref="F314">_xlfn.IFS(C314=":",":",C314&gt;=P$19,1,C314&gt;=P$20,2,C314&lt;P$20,3)</f>
        <v>1</v>
      </c>
      <c r="H314" s="43"/>
      <c r="I314" s="29"/>
      <c r="Y314" s="26"/>
    </row>
    <row r="315" spans="1:25" ht="12" customHeight="1">
      <c r="A315" s="96" t="s">
        <v>1252</v>
      </c>
      <c r="B315" s="97" t="s">
        <v>1253</v>
      </c>
      <c r="C315" s="27">
        <v>74.900000000000006</v>
      </c>
      <c r="D315" s="27">
        <v>9.6374000000000001E-2</v>
      </c>
      <c r="E315" s="59"/>
      <c r="F315" s="29" cm="1">
        <f t="array" ref="F315">_xlfn.IFS(C315=":",":",C315&gt;=P$19,1,C315&gt;=P$20,2,C315&lt;P$20,3)</f>
        <v>1</v>
      </c>
      <c r="H315" s="43"/>
      <c r="I315" s="29"/>
      <c r="Y315" s="26"/>
    </row>
    <row r="316" spans="1:25" ht="12" customHeight="1">
      <c r="A316" s="96" t="s">
        <v>1254</v>
      </c>
      <c r="B316" s="97" t="s">
        <v>1255</v>
      </c>
      <c r="C316" s="27">
        <v>75.5</v>
      </c>
      <c r="D316" s="27">
        <v>0.41083799999999998</v>
      </c>
      <c r="E316" s="59"/>
      <c r="F316" s="29" cm="1">
        <f t="array" ref="F316">_xlfn.IFS(C316=":",":",C316&gt;=P$19,1,C316&gt;=P$20,2,C316&lt;P$20,3)</f>
        <v>1</v>
      </c>
      <c r="H316" s="59"/>
      <c r="I316" s="29"/>
      <c r="Y316" s="26"/>
    </row>
    <row r="317" spans="1:25" ht="12" customHeight="1">
      <c r="A317" s="96" t="s">
        <v>1256</v>
      </c>
      <c r="B317" s="97" t="s">
        <v>1257</v>
      </c>
      <c r="C317" s="27">
        <v>82.2</v>
      </c>
      <c r="D317" s="27">
        <v>0.76916399999999996</v>
      </c>
      <c r="E317" s="59"/>
      <c r="F317" s="29" cm="1">
        <f t="array" ref="F317">_xlfn.IFS(C317=":",":",C317&gt;=P$19,1,C317&gt;=P$20,2,C317&lt;P$20,3)</f>
        <v>1</v>
      </c>
      <c r="H317" s="59"/>
      <c r="I317" s="29"/>
      <c r="Y317" s="26"/>
    </row>
    <row r="318" spans="1:25" ht="12" customHeight="1">
      <c r="A318" s="96" t="s">
        <v>1258</v>
      </c>
      <c r="B318" s="97" t="s">
        <v>1259</v>
      </c>
      <c r="C318" s="27">
        <v>73.8</v>
      </c>
      <c r="D318" s="27">
        <v>0.82559899999999997</v>
      </c>
      <c r="E318" s="59"/>
      <c r="F318" s="29" cm="1">
        <f t="array" ref="F318">_xlfn.IFS(C318=":",":",C318&gt;=P$19,1,C318&gt;=P$20,2,C318&lt;P$20,3)</f>
        <v>1</v>
      </c>
      <c r="H318" s="59"/>
      <c r="I318" s="29"/>
      <c r="Y318" s="26"/>
    </row>
    <row r="319" spans="1:25" ht="12" customHeight="1">
      <c r="A319" s="96" t="s">
        <v>1260</v>
      </c>
      <c r="B319" s="97" t="s">
        <v>1261</v>
      </c>
      <c r="C319" s="27">
        <v>76.400000000000006</v>
      </c>
      <c r="D319" s="27">
        <v>0.61127299999999996</v>
      </c>
      <c r="E319" s="59"/>
      <c r="F319" s="29" cm="1">
        <f t="array" ref="F319">_xlfn.IFS(C319=":",":",C319&gt;=P$19,1,C319&gt;=P$20,2,C319&lt;P$20,3)</f>
        <v>1</v>
      </c>
      <c r="H319" s="59"/>
      <c r="I319" s="29"/>
      <c r="Y319" s="26"/>
    </row>
    <row r="320" spans="1:25" ht="12" customHeight="1">
      <c r="A320" s="96" t="s">
        <v>1262</v>
      </c>
      <c r="B320" s="97" t="s">
        <v>1263</v>
      </c>
      <c r="C320" s="27">
        <v>89.8</v>
      </c>
      <c r="D320" s="27">
        <v>0.34935300000000002</v>
      </c>
      <c r="E320" s="59"/>
      <c r="F320" s="29" cm="1">
        <f t="array" ref="F320">_xlfn.IFS(C320=":",":",C320&gt;=P$19,1,C320&gt;=P$20,2,C320&lt;P$20,3)</f>
        <v>1</v>
      </c>
      <c r="H320" s="59"/>
      <c r="I320" s="29"/>
      <c r="Y320" s="26"/>
    </row>
    <row r="321" spans="1:25" ht="12" customHeight="1">
      <c r="A321" s="96" t="s">
        <v>1264</v>
      </c>
      <c r="B321" s="97" t="s">
        <v>1265</v>
      </c>
      <c r="C321" s="27">
        <v>84.3</v>
      </c>
      <c r="D321" s="27">
        <v>0.76831000000000005</v>
      </c>
      <c r="E321" s="59"/>
      <c r="F321" s="29" cm="1">
        <f t="array" ref="F321">_xlfn.IFS(C321=":",":",C321&gt;=P$19,1,C321&gt;=P$20,2,C321&lt;P$20,3)</f>
        <v>1</v>
      </c>
      <c r="H321" s="59"/>
      <c r="I321" s="29"/>
      <c r="Y321" s="26"/>
    </row>
    <row r="322" spans="1:25" ht="12" customHeight="1">
      <c r="A322" s="96" t="s">
        <v>1266</v>
      </c>
      <c r="B322" s="97" t="s">
        <v>1267</v>
      </c>
      <c r="C322" s="27">
        <v>77.3</v>
      </c>
      <c r="D322" s="27">
        <v>1.5197499999999999</v>
      </c>
      <c r="E322" s="59"/>
      <c r="F322" s="29" cm="1">
        <f t="array" ref="F322">_xlfn.IFS(C322=":",":",C322&gt;=P$19,1,C322&gt;=P$20,2,C322&lt;P$20,3)</f>
        <v>1</v>
      </c>
      <c r="H322" s="59"/>
      <c r="I322" s="29"/>
      <c r="Y322" s="26"/>
    </row>
    <row r="323" spans="1:25" ht="12" customHeight="1">
      <c r="A323" s="96" t="s">
        <v>1268</v>
      </c>
      <c r="B323" s="97" t="s">
        <v>1269</v>
      </c>
      <c r="C323" s="27">
        <v>63.6</v>
      </c>
      <c r="D323" s="27">
        <v>7.0048979999999998</v>
      </c>
      <c r="E323" s="59"/>
      <c r="F323" s="29" cm="1">
        <f t="array" ref="F323">_xlfn.IFS(C323=":",":",C323&gt;=P$19,1,C323&gt;=P$20,2,C323&lt;P$20,3)</f>
        <v>2</v>
      </c>
      <c r="H323" s="59"/>
      <c r="I323" s="29"/>
      <c r="Y323" s="26"/>
    </row>
    <row r="324" spans="1:25" ht="12" customHeight="1">
      <c r="A324" s="96" t="s">
        <v>1270</v>
      </c>
      <c r="B324" s="97" t="s">
        <v>1271</v>
      </c>
      <c r="C324" s="27">
        <v>73.5</v>
      </c>
      <c r="D324" s="27">
        <v>0.20662</v>
      </c>
      <c r="E324" s="59"/>
      <c r="F324" s="29" cm="1">
        <f t="array" ref="F324">_xlfn.IFS(C324=":",":",C324&gt;=P$19,1,C324&gt;=P$20,2,C324&lt;P$20,3)</f>
        <v>1</v>
      </c>
      <c r="H324" s="59"/>
      <c r="I324" s="29"/>
      <c r="Y324" s="26"/>
    </row>
    <row r="325" spans="1:25" ht="12" customHeight="1">
      <c r="A325" s="96" t="s">
        <v>1272</v>
      </c>
      <c r="B325" s="97" t="s">
        <v>1273</v>
      </c>
      <c r="C325" s="27">
        <v>66.599999999999994</v>
      </c>
      <c r="D325" s="27">
        <v>0.57023000000000001</v>
      </c>
      <c r="E325" s="59"/>
      <c r="F325" s="29" cm="1">
        <f t="array" ref="F325">_xlfn.IFS(C325=":",":",C325&gt;=P$19,1,C325&gt;=P$20,2,C325&lt;P$20,3)</f>
        <v>1</v>
      </c>
      <c r="H325" s="59"/>
      <c r="I325" s="29"/>
      <c r="Y325" s="26"/>
    </row>
    <row r="326" spans="1:25" ht="12" customHeight="1">
      <c r="A326" s="96" t="s">
        <v>1274</v>
      </c>
      <c r="B326" s="97" t="s">
        <v>1275</v>
      </c>
      <c r="C326" s="27">
        <v>70.2</v>
      </c>
      <c r="D326" s="27">
        <v>0.94749300000000003</v>
      </c>
      <c r="E326" s="59"/>
      <c r="F326" s="29" cm="1">
        <f t="array" ref="F326">_xlfn.IFS(C326=":",":",C326&gt;=P$19,1,C326&gt;=P$20,2,C326&lt;P$20,3)</f>
        <v>1</v>
      </c>
      <c r="H326" s="59"/>
      <c r="I326" s="29"/>
      <c r="Y326" s="26"/>
    </row>
    <row r="327" spans="1:25" s="44" customFormat="1" ht="12" customHeight="1">
      <c r="A327" s="96" t="s">
        <v>1276</v>
      </c>
      <c r="B327" s="97" t="s">
        <v>1277</v>
      </c>
      <c r="C327" s="27">
        <v>78.900000000000006</v>
      </c>
      <c r="D327" s="27">
        <v>0.69184800000000002</v>
      </c>
      <c r="E327" s="59"/>
      <c r="F327" s="29" cm="1">
        <f t="array" ref="F327">_xlfn.IFS(C327=":",":",C327&gt;=P$19,1,C327&gt;=P$20,2,C327&lt;P$20,3)</f>
        <v>1</v>
      </c>
      <c r="H327" s="59"/>
      <c r="Y327" s="26"/>
    </row>
    <row r="328" spans="1:25" s="44" customFormat="1" ht="12" customHeight="1">
      <c r="A328" s="96" t="s">
        <v>1278</v>
      </c>
      <c r="B328" s="97" t="s">
        <v>1279</v>
      </c>
      <c r="C328" s="27">
        <v>82.2</v>
      </c>
      <c r="D328" s="27">
        <v>0.25923600000000002</v>
      </c>
      <c r="E328" s="59"/>
      <c r="F328" s="29" cm="1">
        <f t="array" ref="F328">_xlfn.IFS(C328=":",":",C328&gt;=P$19,1,C328&gt;=P$20,2,C328&lt;P$20,3)</f>
        <v>1</v>
      </c>
      <c r="H328" s="59"/>
      <c r="Y328" s="26"/>
    </row>
    <row r="329" spans="1:25" s="44" customFormat="1" ht="12" customHeight="1">
      <c r="A329" s="96" t="s">
        <v>1280</v>
      </c>
      <c r="B329" s="97" t="s">
        <v>1281</v>
      </c>
      <c r="C329" s="27">
        <v>91.1</v>
      </c>
      <c r="D329" s="27">
        <v>0.457173</v>
      </c>
      <c r="E329" s="59"/>
      <c r="F329" s="29" cm="1">
        <f t="array" ref="F329">_xlfn.IFS(C329=":",":",C329&gt;=P$19,1,C329&gt;=P$20,2,C329&lt;P$20,3)</f>
        <v>1</v>
      </c>
      <c r="H329" s="59"/>
      <c r="Y329" s="26"/>
    </row>
    <row r="330" spans="1:25" s="44" customFormat="1" ht="12" customHeight="1">
      <c r="A330" s="96" t="s">
        <v>1282</v>
      </c>
      <c r="B330" s="97" t="s">
        <v>1283</v>
      </c>
      <c r="C330" s="27">
        <v>82.8</v>
      </c>
      <c r="D330" s="27">
        <v>0.252502</v>
      </c>
      <c r="E330" s="59"/>
      <c r="F330" s="29" cm="1">
        <f t="array" ref="F330">_xlfn.IFS(C330=":",":",C330&gt;=P$19,1,C330&gt;=P$20,2,C330&lt;P$20,3)</f>
        <v>1</v>
      </c>
      <c r="H330" s="59"/>
      <c r="Y330" s="26"/>
    </row>
    <row r="331" spans="1:25" s="44" customFormat="1" ht="12" customHeight="1">
      <c r="A331" s="96" t="s">
        <v>1284</v>
      </c>
      <c r="B331" s="97" t="s">
        <v>1285</v>
      </c>
      <c r="C331" s="27">
        <v>85.1</v>
      </c>
      <c r="D331" s="27">
        <v>1.0520799999999999</v>
      </c>
      <c r="E331" s="59"/>
      <c r="F331" s="29" cm="1">
        <f t="array" ref="F331">_xlfn.IFS(C331=":",":",C331&gt;=P$19,1,C331&gt;=P$20,2,C331&lt;P$20,3)</f>
        <v>1</v>
      </c>
      <c r="H331" s="59"/>
      <c r="Y331" s="26"/>
    </row>
    <row r="332" spans="1:25" s="44" customFormat="1" ht="12" customHeight="1">
      <c r="A332" s="96" t="s">
        <v>1286</v>
      </c>
      <c r="B332" s="97" t="s">
        <v>1287</v>
      </c>
      <c r="C332" s="27">
        <v>67.2</v>
      </c>
      <c r="D332" s="27">
        <v>1.4911019999999999</v>
      </c>
      <c r="E332" s="59"/>
      <c r="F332" s="29" cm="1">
        <f t="array" ref="F332">_xlfn.IFS(C332=":",":",C332&gt;=P$19,1,C332&gt;=P$20,2,C332&lt;P$20,3)</f>
        <v>1</v>
      </c>
      <c r="H332" s="59"/>
      <c r="Y332" s="26"/>
    </row>
    <row r="333" spans="1:25" s="44" customFormat="1" ht="12" customHeight="1">
      <c r="A333" s="96" t="s">
        <v>1288</v>
      </c>
      <c r="B333" s="97" t="s">
        <v>1289</v>
      </c>
      <c r="C333" s="27">
        <v>76.8</v>
      </c>
      <c r="D333" s="27">
        <v>6.9519999999999998E-2</v>
      </c>
      <c r="E333" s="59"/>
      <c r="F333" s="29" cm="1">
        <f t="array" ref="F333">_xlfn.IFS(C333=":",":",C333&gt;=P$19,1,C333&gt;=P$20,2,C333&lt;P$20,3)</f>
        <v>1</v>
      </c>
      <c r="H333" s="59"/>
      <c r="Y333" s="26"/>
    </row>
    <row r="334" spans="1:25" s="44" customFormat="1" ht="12" customHeight="1">
      <c r="A334" s="96" t="s">
        <v>1290</v>
      </c>
      <c r="B334" s="97" t="s">
        <v>1291</v>
      </c>
      <c r="C334" s="27">
        <v>82.3</v>
      </c>
      <c r="D334" s="27">
        <v>0.30846299999999999</v>
      </c>
      <c r="E334" s="59"/>
      <c r="F334" s="29" cm="1">
        <f t="array" ref="F334">_xlfn.IFS(C334=":",":",C334&gt;=P$19,1,C334&gt;=P$20,2,C334&lt;P$20,3)</f>
        <v>1</v>
      </c>
      <c r="H334" s="59"/>
      <c r="Y334" s="26"/>
    </row>
    <row r="335" spans="1:25" s="44" customFormat="1" ht="12" customHeight="1">
      <c r="A335" s="96" t="s">
        <v>1292</v>
      </c>
      <c r="B335" s="97" t="s">
        <v>1293</v>
      </c>
      <c r="C335" s="27">
        <v>84.6</v>
      </c>
      <c r="D335" s="27">
        <v>1.252704</v>
      </c>
      <c r="E335" s="59"/>
      <c r="F335" s="29" cm="1">
        <f t="array" ref="F335">_xlfn.IFS(C335=":",":",C335&gt;=P$19,1,C335&gt;=P$20,2,C335&lt;P$20,3)</f>
        <v>1</v>
      </c>
      <c r="H335" s="59"/>
      <c r="Y335" s="26"/>
    </row>
    <row r="336" spans="1:25" s="44" customFormat="1" ht="12" customHeight="1">
      <c r="A336" s="96" t="s">
        <v>1294</v>
      </c>
      <c r="B336" s="97" t="s">
        <v>1295</v>
      </c>
      <c r="C336" s="27">
        <v>76.400000000000006</v>
      </c>
      <c r="D336" s="27">
        <v>0.63772799999999996</v>
      </c>
      <c r="E336" s="59"/>
      <c r="F336" s="29" cm="1">
        <f t="array" ref="F336">_xlfn.IFS(C336=":",":",C336&gt;=P$19,1,C336&gt;=P$20,2,C336&lt;P$20,3)</f>
        <v>1</v>
      </c>
      <c r="H336" s="59"/>
      <c r="Y336" s="26"/>
    </row>
    <row r="337" spans="1:25" s="44" customFormat="1" ht="12" customHeight="1">
      <c r="A337" s="96" t="s">
        <v>1296</v>
      </c>
      <c r="B337" s="97" t="s">
        <v>1297</v>
      </c>
      <c r="C337" s="27">
        <v>93.7</v>
      </c>
      <c r="D337" s="27">
        <v>0.65626399999999996</v>
      </c>
      <c r="E337" s="59"/>
      <c r="F337" s="29" cm="1">
        <f t="array" ref="F337">_xlfn.IFS(C337=":",":",C337&gt;=P$19,1,C337&gt;=P$20,2,C337&lt;P$20,3)</f>
        <v>1</v>
      </c>
      <c r="H337" s="59"/>
      <c r="Y337" s="26"/>
    </row>
    <row r="338" spans="1:25" s="44" customFormat="1" ht="12" customHeight="1">
      <c r="A338" s="96" t="s">
        <v>1298</v>
      </c>
      <c r="B338" s="97" t="s">
        <v>1299</v>
      </c>
      <c r="C338" s="27">
        <v>81.7</v>
      </c>
      <c r="D338" s="27">
        <v>0.64207499999999995</v>
      </c>
      <c r="E338" s="59"/>
      <c r="F338" s="29" cm="1">
        <f t="array" ref="F338">_xlfn.IFS(C338=":",":",C338&gt;=P$19,1,C338&gt;=P$20,2,C338&lt;P$20,3)</f>
        <v>1</v>
      </c>
      <c r="H338" s="59"/>
      <c r="Y338" s="26"/>
    </row>
    <row r="339" spans="1:25" s="44" customFormat="1" ht="12" customHeight="1">
      <c r="A339" s="96" t="s">
        <v>1300</v>
      </c>
      <c r="B339" s="97" t="s">
        <v>1301</v>
      </c>
      <c r="C339" s="27">
        <v>84.3</v>
      </c>
      <c r="D339" s="27">
        <v>0.75098600000000004</v>
      </c>
      <c r="E339" s="59"/>
      <c r="F339" s="29" cm="1">
        <f t="array" ref="F339">_xlfn.IFS(C339=":",":",C339&gt;=P$19,1,C339&gt;=P$20,2,C339&lt;P$20,3)</f>
        <v>1</v>
      </c>
      <c r="H339" s="59"/>
      <c r="Y339" s="26"/>
    </row>
    <row r="340" spans="1:25" s="44" customFormat="1" ht="12" customHeight="1">
      <c r="A340" s="96" t="s">
        <v>1302</v>
      </c>
      <c r="B340" s="97" t="s">
        <v>1303</v>
      </c>
      <c r="C340" s="27">
        <v>88.1</v>
      </c>
      <c r="D340" s="27">
        <v>0.39904800000000001</v>
      </c>
      <c r="E340" s="59"/>
      <c r="F340" s="29" cm="1">
        <f t="array" ref="F340">_xlfn.IFS(C340=":",":",C340&gt;=P$19,1,C340&gt;=P$20,2,C340&lt;P$20,3)</f>
        <v>1</v>
      </c>
      <c r="H340" s="59"/>
      <c r="Y340" s="26"/>
    </row>
    <row r="341" spans="1:25" s="44" customFormat="1" ht="12" customHeight="1">
      <c r="A341" s="96" t="s">
        <v>1304</v>
      </c>
      <c r="B341" s="97" t="s">
        <v>1305</v>
      </c>
      <c r="C341" s="27">
        <v>85.4</v>
      </c>
      <c r="D341" s="27">
        <v>0.57273200000000002</v>
      </c>
      <c r="E341" s="59"/>
      <c r="F341" s="29" cm="1">
        <f t="array" ref="F341">_xlfn.IFS(C341=":",":",C341&gt;=P$19,1,C341&gt;=P$20,2,C341&lt;P$20,3)</f>
        <v>1</v>
      </c>
      <c r="H341" s="59"/>
      <c r="Y341" s="26"/>
    </row>
    <row r="342" spans="1:25" s="44" customFormat="1" ht="12" customHeight="1">
      <c r="A342" s="96" t="s">
        <v>1306</v>
      </c>
      <c r="B342" s="97" t="s">
        <v>1307</v>
      </c>
      <c r="C342" s="27">
        <v>86.7</v>
      </c>
      <c r="D342" s="27">
        <v>0.52744000000000002</v>
      </c>
      <c r="E342" s="59"/>
      <c r="F342" s="29" cm="1">
        <f t="array" ref="F342">_xlfn.IFS(C342=":",":",C342&gt;=P$19,1,C342&gt;=P$20,2,C342&lt;P$20,3)</f>
        <v>1</v>
      </c>
      <c r="H342" s="59"/>
      <c r="Y342" s="26"/>
    </row>
    <row r="343" spans="1:25" s="29" customFormat="1" ht="12" customHeight="1">
      <c r="A343" s="96" t="s">
        <v>1308</v>
      </c>
      <c r="B343" s="97" t="s">
        <v>1309</v>
      </c>
      <c r="C343" s="27">
        <v>85.6</v>
      </c>
      <c r="D343" s="27">
        <v>0.225658</v>
      </c>
      <c r="E343" s="59"/>
      <c r="F343" s="29" cm="1">
        <f t="array" ref="F343">_xlfn.IFS(C343=":",":",C343&gt;=P$19,1,C343&gt;=P$20,2,C343&lt;P$20,3)</f>
        <v>1</v>
      </c>
      <c r="H343" s="59"/>
      <c r="I343" s="44"/>
      <c r="Y343" s="26"/>
    </row>
    <row r="344" spans="1:25" s="29" customFormat="1" ht="12" customHeight="1">
      <c r="A344" s="96" t="s">
        <v>1310</v>
      </c>
      <c r="B344" s="97" t="s">
        <v>1311</v>
      </c>
      <c r="C344" s="27">
        <v>87.8</v>
      </c>
      <c r="D344" s="27">
        <v>0.48377700000000001</v>
      </c>
      <c r="E344" s="59"/>
      <c r="F344" s="29" cm="1">
        <f t="array" ref="F344">_xlfn.IFS(C344=":",":",C344&gt;=P$19,1,C344&gt;=P$20,2,C344&lt;P$20,3)</f>
        <v>1</v>
      </c>
      <c r="H344" s="59"/>
      <c r="Y344" s="26"/>
    </row>
    <row r="345" spans="1:25" s="29" customFormat="1" ht="12" customHeight="1">
      <c r="A345" s="96" t="s">
        <v>1312</v>
      </c>
      <c r="B345" s="97" t="s">
        <v>1313</v>
      </c>
      <c r="C345" s="27">
        <v>87.8</v>
      </c>
      <c r="D345" s="27">
        <v>0.95186599999999999</v>
      </c>
      <c r="E345" s="59"/>
      <c r="F345" s="29" cm="1">
        <f t="array" ref="F345">_xlfn.IFS(C345=":",":",C345&gt;=P$19,1,C345&gt;=P$20,2,C345&lt;P$20,3)</f>
        <v>1</v>
      </c>
      <c r="H345" s="59"/>
      <c r="Y345" s="26"/>
    </row>
    <row r="346" spans="1:25" s="29" customFormat="1" ht="12" customHeight="1">
      <c r="A346" s="96" t="s">
        <v>1314</v>
      </c>
      <c r="B346" s="97" t="s">
        <v>1315</v>
      </c>
      <c r="C346" s="27">
        <v>91.7</v>
      </c>
      <c r="D346" s="27">
        <v>0.534439</v>
      </c>
      <c r="E346" s="59"/>
      <c r="F346" s="29" cm="1">
        <f t="array" ref="F346">_xlfn.IFS(C346=":",":",C346&gt;=P$19,1,C346&gt;=P$20,2,C346&lt;P$20,3)</f>
        <v>1</v>
      </c>
      <c r="H346" s="59"/>
      <c r="Y346" s="26"/>
    </row>
    <row r="347" spans="1:25" s="29" customFormat="1" ht="12" customHeight="1">
      <c r="A347" s="96" t="s">
        <v>1316</v>
      </c>
      <c r="B347" s="97" t="s">
        <v>1317</v>
      </c>
      <c r="C347" s="27">
        <v>86.7</v>
      </c>
      <c r="D347" s="27">
        <v>0.69956600000000002</v>
      </c>
      <c r="E347" s="59"/>
      <c r="F347" s="29" cm="1">
        <f t="array" ref="F347">_xlfn.IFS(C347=":",":",C347&gt;=P$19,1,C347&gt;=P$20,2,C347&lt;P$20,3)</f>
        <v>1</v>
      </c>
      <c r="H347" s="59"/>
      <c r="Y347" s="26"/>
    </row>
    <row r="348" spans="1:25" ht="12" customHeight="1">
      <c r="A348" s="96" t="s">
        <v>1318</v>
      </c>
      <c r="B348" s="97" t="s">
        <v>1319</v>
      </c>
      <c r="C348" s="27">
        <v>85.5</v>
      </c>
      <c r="D348" s="27">
        <v>0.74667399999999995</v>
      </c>
      <c r="E348" s="59"/>
      <c r="F348" s="29" cm="1">
        <f t="array" ref="F348">_xlfn.IFS(C348=":",":",C348&gt;=P$19,1,C348&gt;=P$20,2,C348&lt;P$20,3)</f>
        <v>1</v>
      </c>
      <c r="H348" s="59"/>
      <c r="Y348" s="26"/>
    </row>
    <row r="349" spans="1:25" ht="12" customHeight="1">
      <c r="A349" s="96" t="s">
        <v>1320</v>
      </c>
      <c r="B349" s="97" t="s">
        <v>1321</v>
      </c>
      <c r="C349" s="27">
        <v>71</v>
      </c>
      <c r="D349" s="27">
        <v>1.503036</v>
      </c>
      <c r="E349" s="59"/>
      <c r="F349" s="29" cm="1">
        <f t="array" ref="F349">_xlfn.IFS(C349=":",":",C349&gt;=P$19,1,C349&gt;=P$20,2,C349&lt;P$20,3)</f>
        <v>1</v>
      </c>
      <c r="H349" s="59"/>
      <c r="Y349" s="26"/>
    </row>
    <row r="350" spans="1:25" ht="12" customHeight="1">
      <c r="A350" s="96" t="s">
        <v>1322</v>
      </c>
      <c r="B350" s="97" t="s">
        <v>1323</v>
      </c>
      <c r="C350" s="27">
        <v>82.6</v>
      </c>
      <c r="D350" s="27">
        <v>0.20198099999999999</v>
      </c>
      <c r="E350" s="59"/>
      <c r="F350" s="29" cm="1">
        <f t="array" ref="F350">_xlfn.IFS(C350=":",":",C350&gt;=P$19,1,C350&gt;=P$20,2,C350&lt;P$20,3)</f>
        <v>1</v>
      </c>
      <c r="H350" s="59"/>
      <c r="Y350" s="26"/>
    </row>
    <row r="351" spans="1:25" ht="12" customHeight="1">
      <c r="A351" s="96" t="s">
        <v>1324</v>
      </c>
      <c r="B351" s="97" t="s">
        <v>1325</v>
      </c>
      <c r="C351" s="27">
        <v>89.7</v>
      </c>
      <c r="D351" s="27">
        <v>0.16775000000000001</v>
      </c>
      <c r="E351" s="59"/>
      <c r="F351" s="29" cm="1">
        <f t="array" ref="F351">_xlfn.IFS(C351=":",":",C351&gt;=P$19,1,C351&gt;=P$20,2,C351&lt;P$20,3)</f>
        <v>1</v>
      </c>
      <c r="H351" s="59"/>
      <c r="Y351" s="26"/>
    </row>
    <row r="352" spans="1:25" ht="12" customHeight="1">
      <c r="A352" s="96" t="s">
        <v>1326</v>
      </c>
      <c r="B352" s="97" t="s">
        <v>1327</v>
      </c>
      <c r="C352" s="27">
        <v>90.5</v>
      </c>
      <c r="D352" s="27">
        <v>6.1679999999999999E-2</v>
      </c>
      <c r="E352" s="59"/>
      <c r="F352" s="29" cm="1">
        <f t="array" ref="F352">_xlfn.IFS(C352=":",":",C352&gt;=P$19,1,C352&gt;=P$20,2,C352&lt;P$20,3)</f>
        <v>1</v>
      </c>
      <c r="H352" s="59"/>
      <c r="Y352" s="26"/>
    </row>
    <row r="353" spans="1:25" ht="12" customHeight="1">
      <c r="A353" s="96" t="s">
        <v>1328</v>
      </c>
      <c r="B353" s="97" t="s">
        <v>1329</v>
      </c>
      <c r="C353" s="27">
        <v>89.2</v>
      </c>
      <c r="D353" s="27">
        <v>0.29202800000000001</v>
      </c>
      <c r="E353" s="59"/>
      <c r="F353" s="29" cm="1">
        <f t="array" ref="F353">_xlfn.IFS(C353=":",":",C353&gt;=P$19,1,C353&gt;=P$20,2,C353&lt;P$20,3)</f>
        <v>1</v>
      </c>
      <c r="H353" s="59"/>
      <c r="Y353" s="26"/>
    </row>
    <row r="354" spans="1:25" ht="12" customHeight="1">
      <c r="A354" s="96" t="s">
        <v>1330</v>
      </c>
      <c r="B354" s="97" t="s">
        <v>1331</v>
      </c>
      <c r="C354" s="27">
        <v>74.400000000000006</v>
      </c>
      <c r="D354" s="27">
        <v>3.5697190000000001</v>
      </c>
      <c r="E354" s="59"/>
      <c r="F354" s="29" cm="1">
        <f t="array" ref="F354">_xlfn.IFS(C354=":",":",C354&gt;=P$19,1,C354&gt;=P$20,2,C354&lt;P$20,3)</f>
        <v>1</v>
      </c>
      <c r="H354" s="59"/>
      <c r="Y354" s="26"/>
    </row>
    <row r="355" spans="1:25" ht="12" customHeight="1">
      <c r="A355" s="96" t="s">
        <v>1332</v>
      </c>
      <c r="B355" s="97" t="s">
        <v>1333</v>
      </c>
      <c r="C355" s="27">
        <v>89.5</v>
      </c>
      <c r="D355" s="27">
        <v>0.34837400000000002</v>
      </c>
      <c r="E355" s="59"/>
      <c r="F355" s="29" cm="1">
        <f t="array" ref="F355">_xlfn.IFS(C355=":",":",C355&gt;=P$19,1,C355&gt;=P$20,2,C355&lt;P$20,3)</f>
        <v>1</v>
      </c>
      <c r="H355" s="59"/>
      <c r="Y355" s="26"/>
    </row>
    <row r="356" spans="1:25" ht="12" customHeight="1">
      <c r="A356" s="96" t="s">
        <v>1334</v>
      </c>
      <c r="B356" s="97" t="s">
        <v>1335</v>
      </c>
      <c r="C356" s="27">
        <v>80.8</v>
      </c>
      <c r="D356" s="27">
        <v>0.53522700000000001</v>
      </c>
      <c r="E356" s="59"/>
      <c r="F356" s="29" cm="1">
        <f t="array" ref="F356">_xlfn.IFS(C356=":",":",C356&gt;=P$19,1,C356&gt;=P$20,2,C356&lt;P$20,3)</f>
        <v>1</v>
      </c>
      <c r="H356" s="59"/>
      <c r="Y356" s="26"/>
    </row>
    <row r="357" spans="1:25" ht="12" customHeight="1">
      <c r="A357" s="96" t="s">
        <v>1336</v>
      </c>
      <c r="B357" s="97" t="s">
        <v>1337</v>
      </c>
      <c r="C357" s="27">
        <v>80.099999999999994</v>
      </c>
      <c r="D357" s="27">
        <v>0.44307200000000002</v>
      </c>
      <c r="E357" s="59"/>
      <c r="F357" s="29" cm="1">
        <f t="array" ref="F357">_xlfn.IFS(C357=":",":",C357&gt;=P$19,1,C357&gt;=P$20,2,C357&lt;P$20,3)</f>
        <v>1</v>
      </c>
      <c r="H357" s="59"/>
      <c r="Y357" s="26"/>
    </row>
    <row r="358" spans="1:25" ht="12" customHeight="1">
      <c r="A358" s="96" t="s">
        <v>1338</v>
      </c>
      <c r="B358" s="97" t="s">
        <v>1339</v>
      </c>
      <c r="C358" s="27">
        <v>89.6</v>
      </c>
      <c r="D358" s="27">
        <v>0.76576599999999995</v>
      </c>
      <c r="E358" s="59"/>
      <c r="F358" s="29" cm="1">
        <f t="array" ref="F358">_xlfn.IFS(C358=":",":",C358&gt;=P$19,1,C358&gt;=P$20,2,C358&lt;P$20,3)</f>
        <v>1</v>
      </c>
      <c r="H358" s="59"/>
      <c r="Y358" s="26"/>
    </row>
    <row r="359" spans="1:25" ht="12" customHeight="1">
      <c r="A359" s="96" t="s">
        <v>1340</v>
      </c>
      <c r="B359" s="97" t="s">
        <v>1341</v>
      </c>
      <c r="C359" s="27">
        <v>87.9</v>
      </c>
      <c r="D359" s="27">
        <v>0.37653300000000001</v>
      </c>
      <c r="E359" s="59"/>
      <c r="F359" s="29" cm="1">
        <f t="array" ref="F359">_xlfn.IFS(C359=":",":",C359&gt;=P$19,1,C359&gt;=P$20,2,C359&lt;P$20,3)</f>
        <v>1</v>
      </c>
      <c r="H359" s="59"/>
      <c r="Y359" s="26"/>
    </row>
    <row r="360" spans="1:25" s="29" customFormat="1" ht="12" customHeight="1">
      <c r="A360" s="96" t="s">
        <v>1342</v>
      </c>
      <c r="B360" s="97" t="s">
        <v>1343</v>
      </c>
      <c r="C360" s="27">
        <v>82.2</v>
      </c>
      <c r="D360" s="27">
        <v>0.84573600000000004</v>
      </c>
      <c r="E360" s="59"/>
      <c r="F360" s="29" cm="1">
        <f t="array" ref="F360">_xlfn.IFS(C360=":",":",C360&gt;=P$19,1,C360&gt;=P$20,2,C360&lt;P$20,3)</f>
        <v>1</v>
      </c>
      <c r="H360" s="59"/>
      <c r="I360" s="44"/>
      <c r="Y360" s="26"/>
    </row>
    <row r="361" spans="1:25" s="29" customFormat="1" ht="12" customHeight="1">
      <c r="A361" s="96" t="s">
        <v>1344</v>
      </c>
      <c r="B361" s="97" t="s">
        <v>1345</v>
      </c>
      <c r="C361" s="27">
        <v>84.9</v>
      </c>
      <c r="D361" s="27">
        <v>0.83694400000000002</v>
      </c>
      <c r="E361" s="59"/>
      <c r="F361" s="29" cm="1">
        <f t="array" ref="F361">_xlfn.IFS(C361=":",":",C361&gt;=P$19,1,C361&gt;=P$20,2,C361&lt;P$20,3)</f>
        <v>1</v>
      </c>
      <c r="H361" s="59"/>
      <c r="I361" s="44"/>
      <c r="Y361" s="26"/>
    </row>
    <row r="362" spans="1:25" s="29" customFormat="1" ht="12" customHeight="1">
      <c r="A362" s="96" t="s">
        <v>1346</v>
      </c>
      <c r="B362" s="97" t="s">
        <v>1347</v>
      </c>
      <c r="C362" s="27">
        <v>87</v>
      </c>
      <c r="D362" s="27">
        <v>0.178457</v>
      </c>
      <c r="E362" s="59"/>
      <c r="F362" s="29" cm="1">
        <f t="array" ref="F362">_xlfn.IFS(C362=":",":",C362&gt;=P$19,1,C362&gt;=P$20,2,C362&lt;P$20,3)</f>
        <v>1</v>
      </c>
      <c r="H362" s="59"/>
      <c r="I362" s="44"/>
      <c r="Y362" s="26"/>
    </row>
    <row r="363" spans="1:25" s="29" customFormat="1" ht="12" customHeight="1">
      <c r="A363" s="96" t="s">
        <v>1348</v>
      </c>
      <c r="B363" s="97" t="s">
        <v>1349</v>
      </c>
      <c r="C363" s="27">
        <v>87.7</v>
      </c>
      <c r="D363" s="27">
        <v>0.57584100000000005</v>
      </c>
      <c r="E363" s="59"/>
      <c r="F363" s="29" cm="1">
        <f t="array" ref="F363">_xlfn.IFS(C363=":",":",C363&gt;=P$19,1,C363&gt;=P$20,2,C363&lt;P$20,3)</f>
        <v>1</v>
      </c>
      <c r="H363" s="59"/>
      <c r="I363" s="44"/>
      <c r="Y363" s="26"/>
    </row>
    <row r="364" spans="1:25" s="29" customFormat="1" ht="12" customHeight="1">
      <c r="A364" s="96" t="s">
        <v>1350</v>
      </c>
      <c r="B364" s="97" t="s">
        <v>1351</v>
      </c>
      <c r="C364" s="27">
        <v>71</v>
      </c>
      <c r="D364" s="27">
        <v>0.34243400000000002</v>
      </c>
      <c r="E364" s="59"/>
      <c r="F364" s="29" cm="1">
        <f t="array" ref="F364">_xlfn.IFS(C364=":",":",C364&gt;=P$19,1,C364&gt;=P$20,2,C364&lt;P$20,3)</f>
        <v>1</v>
      </c>
      <c r="H364" s="59"/>
      <c r="I364" s="44"/>
      <c r="Y364" s="26"/>
    </row>
    <row r="365" spans="1:25" s="29" customFormat="1" ht="12" customHeight="1">
      <c r="A365" s="96" t="s">
        <v>1352</v>
      </c>
      <c r="B365" s="97" t="s">
        <v>1353</v>
      </c>
      <c r="C365" s="27">
        <v>79.400000000000006</v>
      </c>
      <c r="D365" s="27">
        <v>0.81977299999999997</v>
      </c>
      <c r="E365" s="59"/>
      <c r="F365" s="29" cm="1">
        <f t="array" ref="F365">_xlfn.IFS(C365=":",":",C365&gt;=P$19,1,C365&gt;=P$20,2,C365&lt;P$20,3)</f>
        <v>1</v>
      </c>
      <c r="H365" s="59"/>
      <c r="I365" s="44"/>
      <c r="Y365" s="26"/>
    </row>
    <row r="366" spans="1:25" s="29" customFormat="1" ht="12" customHeight="1">
      <c r="A366" s="96" t="s">
        <v>1354</v>
      </c>
      <c r="B366" s="97" t="s">
        <v>1355</v>
      </c>
      <c r="C366" s="27">
        <v>88.2</v>
      </c>
      <c r="D366" s="27">
        <v>0.33238699999999999</v>
      </c>
      <c r="E366" s="59"/>
      <c r="F366" s="29" cm="1">
        <f t="array" ref="F366">_xlfn.IFS(C366=":",":",C366&gt;=P$19,1,C366&gt;=P$20,2,C366&lt;P$20,3)</f>
        <v>1</v>
      </c>
      <c r="H366" s="59"/>
      <c r="I366" s="44"/>
      <c r="Y366" s="26"/>
    </row>
    <row r="367" spans="1:25" s="29" customFormat="1" ht="12" customHeight="1">
      <c r="A367" s="96" t="s">
        <v>1356</v>
      </c>
      <c r="B367" s="97" t="s">
        <v>1357</v>
      </c>
      <c r="C367" s="27">
        <v>83.3</v>
      </c>
      <c r="D367" s="27">
        <v>0.60245400000000005</v>
      </c>
      <c r="E367" s="59"/>
      <c r="F367" s="29" cm="1">
        <f t="array" ref="F367">_xlfn.IFS(C367=":",":",C367&gt;=P$19,1,C367&gt;=P$20,2,C367&lt;P$20,3)</f>
        <v>1</v>
      </c>
      <c r="H367" s="59"/>
      <c r="I367" s="44"/>
      <c r="Y367" s="26"/>
    </row>
    <row r="368" spans="1:25" s="29" customFormat="1" ht="12" customHeight="1">
      <c r="A368" s="96" t="s">
        <v>1358</v>
      </c>
      <c r="B368" s="97" t="s">
        <v>1359</v>
      </c>
      <c r="C368" s="27">
        <v>90.1</v>
      </c>
      <c r="D368" s="27">
        <v>0.62977499999999997</v>
      </c>
      <c r="E368" s="59"/>
      <c r="F368" s="29" cm="1">
        <f t="array" ref="F368">_xlfn.IFS(C368=":",":",C368&gt;=P$19,1,C368&gt;=P$20,2,C368&lt;P$20,3)</f>
        <v>1</v>
      </c>
      <c r="H368" s="59"/>
      <c r="I368" s="44"/>
      <c r="Y368" s="26"/>
    </row>
    <row r="369" spans="1:25" s="29" customFormat="1" ht="12" customHeight="1">
      <c r="A369" s="96" t="s">
        <v>1360</v>
      </c>
      <c r="B369" s="97" t="s">
        <v>1361</v>
      </c>
      <c r="C369" s="27">
        <v>64</v>
      </c>
      <c r="D369" s="27">
        <v>1.7580340000000001</v>
      </c>
      <c r="E369" s="59"/>
      <c r="F369" s="29" cm="1">
        <f t="array" ref="F369">_xlfn.IFS(C369=":",":",C369&gt;=P$19,1,C369&gt;=P$20,2,C369&lt;P$20,3)</f>
        <v>2</v>
      </c>
      <c r="H369" s="59"/>
      <c r="I369" s="44"/>
      <c r="Y369" s="26"/>
    </row>
    <row r="370" spans="1:25" s="29" customFormat="1" ht="12" customHeight="1">
      <c r="A370" s="96" t="s">
        <v>1362</v>
      </c>
      <c r="B370" s="97" t="s">
        <v>1363</v>
      </c>
      <c r="C370" s="27">
        <v>77.7</v>
      </c>
      <c r="D370" s="27">
        <v>0.77044500000000005</v>
      </c>
      <c r="E370" s="59"/>
      <c r="F370" s="29" cm="1">
        <f t="array" ref="F370">_xlfn.IFS(C370=":",":",C370&gt;=P$19,1,C370&gt;=P$20,2,C370&lt;P$20,3)</f>
        <v>1</v>
      </c>
      <c r="H370" s="59"/>
      <c r="I370" s="44"/>
      <c r="Y370" s="26"/>
    </row>
    <row r="371" spans="1:25" s="29" customFormat="1" ht="12" customHeight="1">
      <c r="A371" s="96" t="s">
        <v>1364</v>
      </c>
      <c r="B371" s="97" t="s">
        <v>1365</v>
      </c>
      <c r="C371" s="27">
        <v>75.7</v>
      </c>
      <c r="D371" s="27">
        <v>0.85280699999999998</v>
      </c>
      <c r="E371" s="59"/>
      <c r="F371" s="29" cm="1">
        <f t="array" ref="F371">_xlfn.IFS(C371=":",":",C371&gt;=P$19,1,C371&gt;=P$20,2,C371&lt;P$20,3)</f>
        <v>1</v>
      </c>
      <c r="H371" s="59"/>
      <c r="I371" s="44"/>
      <c r="Y371" s="26"/>
    </row>
    <row r="372" spans="1:25" s="29" customFormat="1" ht="12" customHeight="1">
      <c r="A372" s="96" t="s">
        <v>1366</v>
      </c>
      <c r="B372" s="97" t="s">
        <v>1367</v>
      </c>
      <c r="C372" s="27">
        <v>71.2</v>
      </c>
      <c r="D372" s="27">
        <v>1.6505890000000001</v>
      </c>
      <c r="E372" s="59"/>
      <c r="F372" s="29" cm="1">
        <f t="array" ref="F372">_xlfn.IFS(C372=":",":",C372&gt;=P$19,1,C372&gt;=P$20,2,C372&lt;P$20,3)</f>
        <v>1</v>
      </c>
      <c r="H372" s="59"/>
      <c r="I372" s="44"/>
      <c r="Y372" s="26"/>
    </row>
    <row r="373" spans="1:25" s="29" customFormat="1" ht="12" customHeight="1">
      <c r="A373" s="96" t="s">
        <v>1368</v>
      </c>
      <c r="B373" s="97" t="s">
        <v>1369</v>
      </c>
      <c r="C373" s="27">
        <v>60.3</v>
      </c>
      <c r="D373" s="27">
        <v>0.85458000000000001</v>
      </c>
      <c r="E373" s="59"/>
      <c r="F373" s="29" cm="1">
        <f t="array" ref="F373">_xlfn.IFS(C373=":",":",C373&gt;=P$19,1,C373&gt;=P$20,2,C373&lt;P$20,3)</f>
        <v>2</v>
      </c>
      <c r="H373" s="59"/>
      <c r="I373" s="44"/>
      <c r="Y373" s="26"/>
    </row>
    <row r="374" spans="1:25" s="29" customFormat="1" ht="12" customHeight="1">
      <c r="A374" s="96" t="s">
        <v>1370</v>
      </c>
      <c r="B374" s="97" t="s">
        <v>1371</v>
      </c>
      <c r="C374" s="27">
        <v>65.3</v>
      </c>
      <c r="D374" s="27">
        <v>1.385526</v>
      </c>
      <c r="E374" s="59"/>
      <c r="F374" s="29" cm="1">
        <f t="array" ref="F374">_xlfn.IFS(C374=":",":",C374&gt;=P$19,1,C374&gt;=P$20,2,C374&lt;P$20,3)</f>
        <v>1</v>
      </c>
      <c r="H374" s="59"/>
      <c r="I374" s="44"/>
      <c r="Y374" s="26"/>
    </row>
    <row r="375" spans="1:25" s="29" customFormat="1" ht="12" customHeight="1">
      <c r="A375" s="96" t="s">
        <v>1372</v>
      </c>
      <c r="B375" s="97" t="s">
        <v>1373</v>
      </c>
      <c r="C375" s="27">
        <v>60.2</v>
      </c>
      <c r="D375" s="27">
        <v>1.281779</v>
      </c>
      <c r="E375" s="59"/>
      <c r="F375" s="29" cm="1">
        <f t="array" ref="F375">_xlfn.IFS(C375=":",":",C375&gt;=P$19,1,C375&gt;=P$20,2,C375&lt;P$20,3)</f>
        <v>2</v>
      </c>
      <c r="H375" s="59"/>
      <c r="I375" s="44"/>
      <c r="Y375" s="26"/>
    </row>
    <row r="376" spans="1:25" s="29" customFormat="1" ht="12" customHeight="1">
      <c r="A376" s="96" t="s">
        <v>1374</v>
      </c>
      <c r="B376" s="97" t="s">
        <v>1375</v>
      </c>
      <c r="C376" s="27">
        <v>68.8</v>
      </c>
      <c r="D376" s="27">
        <v>9.3770000000000006E-2</v>
      </c>
      <c r="E376" s="59"/>
      <c r="F376" s="29" cm="1">
        <f t="array" ref="F376">_xlfn.IFS(C376=":",":",C376&gt;=P$19,1,C376&gt;=P$20,2,C376&lt;P$20,3)</f>
        <v>1</v>
      </c>
      <c r="H376" s="59"/>
      <c r="I376" s="44"/>
      <c r="Y376" s="26"/>
    </row>
    <row r="377" spans="1:25" s="29" customFormat="1" ht="12" customHeight="1">
      <c r="A377" s="96" t="s">
        <v>1376</v>
      </c>
      <c r="B377" s="97" t="s">
        <v>1377</v>
      </c>
      <c r="C377" s="27">
        <v>56.9</v>
      </c>
      <c r="D377" s="27">
        <v>0.35440300000000002</v>
      </c>
      <c r="E377" s="59"/>
      <c r="F377" s="29" cm="1">
        <f t="array" ref="F377">_xlfn.IFS(C377=":",":",C377&gt;=P$19,1,C377&gt;=P$20,2,C377&lt;P$20,3)</f>
        <v>2</v>
      </c>
      <c r="H377" s="59"/>
      <c r="I377" s="44"/>
      <c r="Y377" s="26"/>
    </row>
    <row r="378" spans="1:25" s="29" customFormat="1" ht="12" customHeight="1">
      <c r="A378" s="96" t="s">
        <v>1378</v>
      </c>
      <c r="B378" s="97" t="s">
        <v>1379</v>
      </c>
      <c r="C378" s="27">
        <v>88.6</v>
      </c>
      <c r="D378" s="27">
        <v>0.11684700000000001</v>
      </c>
      <c r="E378" s="59"/>
      <c r="F378" s="29" cm="1">
        <f t="array" ref="F378">_xlfn.IFS(C378=":",":",C378&gt;=P$19,1,C378&gt;=P$20,2,C378&lt;P$20,3)</f>
        <v>1</v>
      </c>
      <c r="H378" s="59"/>
      <c r="I378" s="44"/>
      <c r="Y378" s="26"/>
    </row>
    <row r="379" spans="1:25" s="29" customFormat="1" ht="12" customHeight="1">
      <c r="A379" s="96" t="s">
        <v>1380</v>
      </c>
      <c r="B379" s="97" t="s">
        <v>1381</v>
      </c>
      <c r="C379" s="27">
        <v>70.900000000000006</v>
      </c>
      <c r="D379" s="27">
        <v>0.31650299999999998</v>
      </c>
      <c r="E379" s="59"/>
      <c r="F379" s="29" cm="1">
        <f t="array" ref="F379">_xlfn.IFS(C379=":",":",C379&gt;=P$19,1,C379&gt;=P$20,2,C379&lt;P$20,3)</f>
        <v>1</v>
      </c>
      <c r="H379" s="59"/>
      <c r="I379" s="44"/>
      <c r="Y379" s="26"/>
    </row>
    <row r="380" spans="1:25" s="29" customFormat="1" ht="12" customHeight="1">
      <c r="A380" s="96" t="s">
        <v>1382</v>
      </c>
      <c r="B380" s="97" t="s">
        <v>1383</v>
      </c>
      <c r="C380" s="27">
        <v>76.900000000000006</v>
      </c>
      <c r="D380" s="27">
        <v>1.159125</v>
      </c>
      <c r="E380" s="59"/>
      <c r="F380" s="29" cm="1">
        <f t="array" ref="F380">_xlfn.IFS(C380=":",":",C380&gt;=P$19,1,C380&gt;=P$20,2,C380&lt;P$20,3)</f>
        <v>1</v>
      </c>
      <c r="H380" s="59"/>
      <c r="I380" s="44"/>
      <c r="Y380" s="26"/>
    </row>
    <row r="381" spans="1:25" s="29" customFormat="1" ht="12" customHeight="1">
      <c r="A381" s="96" t="s">
        <v>1384</v>
      </c>
      <c r="B381" s="97" t="s">
        <v>1385</v>
      </c>
      <c r="C381" s="27">
        <v>92.2</v>
      </c>
      <c r="D381" s="27">
        <v>0.18701000000000001</v>
      </c>
      <c r="E381" s="59"/>
      <c r="F381" s="29" cm="1">
        <f t="array" ref="F381">_xlfn.IFS(C381=":",":",C381&gt;=P$19,1,C381&gt;=P$20,2,C381&lt;P$20,3)</f>
        <v>1</v>
      </c>
      <c r="H381" s="59"/>
      <c r="I381" s="44"/>
      <c r="Y381" s="26"/>
    </row>
    <row r="382" spans="1:25" s="29" customFormat="1" ht="12" customHeight="1">
      <c r="A382" s="96" t="s">
        <v>1386</v>
      </c>
      <c r="B382" s="97" t="s">
        <v>1387</v>
      </c>
      <c r="C382" s="27">
        <v>86</v>
      </c>
      <c r="D382" s="27">
        <v>9.6578999999999998E-2</v>
      </c>
      <c r="E382" s="59"/>
      <c r="F382" s="29" cm="1">
        <f t="array" ref="F382">_xlfn.IFS(C382=":",":",C382&gt;=P$19,1,C382&gt;=P$20,2,C382&lt;P$20,3)</f>
        <v>1</v>
      </c>
      <c r="H382" s="59"/>
      <c r="I382" s="44"/>
      <c r="Y382" s="26"/>
    </row>
    <row r="383" spans="1:25" s="29" customFormat="1" ht="12" customHeight="1">
      <c r="A383" s="96" t="s">
        <v>1388</v>
      </c>
      <c r="B383" s="97" t="s">
        <v>1389</v>
      </c>
      <c r="C383" s="27">
        <v>84.7</v>
      </c>
      <c r="D383" s="27">
        <v>0.28696199999999999</v>
      </c>
      <c r="E383" s="59"/>
      <c r="F383" s="29" cm="1">
        <f t="array" ref="F383">_xlfn.IFS(C383=":",":",C383&gt;=P$19,1,C383&gt;=P$20,2,C383&lt;P$20,3)</f>
        <v>1</v>
      </c>
      <c r="H383" s="59"/>
      <c r="I383" s="44"/>
      <c r="Y383" s="26"/>
    </row>
    <row r="384" spans="1:25" s="29" customFormat="1" ht="12" customHeight="1">
      <c r="A384" s="96" t="s">
        <v>1390</v>
      </c>
      <c r="B384" s="97" t="s">
        <v>1391</v>
      </c>
      <c r="C384" s="27">
        <v>83.8</v>
      </c>
      <c r="D384" s="27">
        <v>0.153256</v>
      </c>
      <c r="E384" s="59"/>
      <c r="F384" s="29" cm="1">
        <f t="array" ref="F384">_xlfn.IFS(C384=":",":",C384&gt;=P$19,1,C384&gt;=P$20,2,C384&lt;P$20,3)</f>
        <v>1</v>
      </c>
      <c r="H384" s="59"/>
      <c r="I384" s="44"/>
      <c r="Y384" s="26"/>
    </row>
    <row r="385" spans="1:25" s="29" customFormat="1" ht="12" customHeight="1">
      <c r="A385" s="96" t="s">
        <v>1392</v>
      </c>
      <c r="B385" s="97" t="s">
        <v>1393</v>
      </c>
      <c r="C385" s="27">
        <v>75.400000000000006</v>
      </c>
      <c r="D385" s="27">
        <v>4.7749E-2</v>
      </c>
      <c r="E385" s="59"/>
      <c r="F385" s="29" cm="1">
        <f t="array" ref="F385">_xlfn.IFS(C385=":",":",C385&gt;=P$19,1,C385&gt;=P$20,2,C385&lt;P$20,3)</f>
        <v>1</v>
      </c>
      <c r="H385" s="59"/>
      <c r="I385" s="44"/>
      <c r="Y385" s="26"/>
    </row>
    <row r="386" spans="1:25" s="29" customFormat="1" ht="12" customHeight="1">
      <c r="A386" s="96" t="s">
        <v>1394</v>
      </c>
      <c r="B386" s="97" t="s">
        <v>1395</v>
      </c>
      <c r="C386" s="27">
        <v>84.3</v>
      </c>
      <c r="D386" s="27">
        <v>0.14945600000000001</v>
      </c>
      <c r="E386" s="59"/>
      <c r="F386" s="29" cm="1">
        <f t="array" ref="F386">_xlfn.IFS(C386=":",":",C386&gt;=P$19,1,C386&gt;=P$20,2,C386&lt;P$20,3)</f>
        <v>1</v>
      </c>
      <c r="H386" s="59"/>
      <c r="I386" s="44"/>
      <c r="Y386" s="26"/>
    </row>
    <row r="387" spans="1:25" s="29" customFormat="1" ht="12" customHeight="1">
      <c r="A387" s="96" t="s">
        <v>1396</v>
      </c>
      <c r="B387" s="97" t="s">
        <v>1397</v>
      </c>
      <c r="C387" s="27">
        <v>92.9</v>
      </c>
      <c r="D387" s="27">
        <v>0.73117699999999997</v>
      </c>
      <c r="E387" s="59"/>
      <c r="F387" s="29" cm="1">
        <f t="array" ref="F387">_xlfn.IFS(C387=":",":",C387&gt;=P$19,1,C387&gt;=P$20,2,C387&lt;P$20,3)</f>
        <v>1</v>
      </c>
      <c r="H387" s="59"/>
      <c r="I387" s="44"/>
      <c r="Y387" s="26"/>
    </row>
    <row r="388" spans="1:25" s="29" customFormat="1" ht="12" customHeight="1">
      <c r="A388" s="96" t="s">
        <v>1398</v>
      </c>
      <c r="B388" s="97" t="s">
        <v>1399</v>
      </c>
      <c r="C388" s="27">
        <v>90.5</v>
      </c>
      <c r="D388" s="27">
        <v>0.15162600000000001</v>
      </c>
      <c r="E388" s="59"/>
      <c r="F388" s="29" cm="1">
        <f t="array" ref="F388">_xlfn.IFS(C388=":",":",C388&gt;=P$19,1,C388&gt;=P$20,2,C388&lt;P$20,3)</f>
        <v>1</v>
      </c>
      <c r="H388" s="59"/>
      <c r="I388" s="44"/>
      <c r="Y388" s="26"/>
    </row>
    <row r="389" spans="1:25" s="29" customFormat="1" ht="12" customHeight="1">
      <c r="A389" s="96" t="s">
        <v>1400</v>
      </c>
      <c r="B389" s="97" t="s">
        <v>1401</v>
      </c>
      <c r="C389" s="27">
        <v>84.4</v>
      </c>
      <c r="D389" s="27">
        <v>0.13950099999999999</v>
      </c>
      <c r="E389" s="59"/>
      <c r="F389" s="29" cm="1">
        <f t="array" ref="F389">_xlfn.IFS(C389=":",":",C389&gt;=P$19,1,C389&gt;=P$20,2,C389&lt;P$20,3)</f>
        <v>1</v>
      </c>
      <c r="H389" s="59"/>
      <c r="I389" s="44"/>
      <c r="Y389" s="26"/>
    </row>
    <row r="390" spans="1:25" s="29" customFormat="1" ht="12" customHeight="1">
      <c r="A390" s="96" t="s">
        <v>1402</v>
      </c>
      <c r="B390" s="97" t="s">
        <v>1403</v>
      </c>
      <c r="C390" s="27">
        <v>53.5</v>
      </c>
      <c r="D390" s="27">
        <v>0.25126799999999999</v>
      </c>
      <c r="E390" s="59"/>
      <c r="F390" s="29" cm="1">
        <f t="array" ref="F390">_xlfn.IFS(C390=":",":",C390&gt;=P$19,1,C390&gt;=P$20,2,C390&lt;P$20,3)</f>
        <v>2</v>
      </c>
      <c r="H390" s="59"/>
      <c r="I390" s="44"/>
      <c r="Y390" s="26"/>
    </row>
    <row r="391" spans="1:25" s="29" customFormat="1" ht="12" customHeight="1">
      <c r="A391" s="96" t="s">
        <v>1404</v>
      </c>
      <c r="B391" s="97" t="s">
        <v>1405</v>
      </c>
      <c r="C391" s="27">
        <v>81.5</v>
      </c>
      <c r="D391" s="27">
        <v>0.114616</v>
      </c>
      <c r="E391" s="59"/>
      <c r="F391" s="29" cm="1">
        <f t="array" ref="F391">_xlfn.IFS(C391=":",":",C391&gt;=P$19,1,C391&gt;=P$20,2,C391&lt;P$20,3)</f>
        <v>1</v>
      </c>
      <c r="H391" s="59"/>
      <c r="I391" s="44"/>
      <c r="Y391" s="26"/>
    </row>
    <row r="392" spans="1:25" s="29" customFormat="1" ht="12" customHeight="1">
      <c r="A392" s="96" t="s">
        <v>1406</v>
      </c>
      <c r="B392" s="97" t="s">
        <v>1407</v>
      </c>
      <c r="C392" s="27">
        <v>94.5</v>
      </c>
      <c r="D392" s="27">
        <v>0.661578</v>
      </c>
      <c r="E392" s="59"/>
      <c r="F392" s="29" cm="1">
        <f t="array" ref="F392">_xlfn.IFS(C392=":",":",C392&gt;=P$19,1,C392&gt;=P$20,2,C392&lt;P$20,3)</f>
        <v>1</v>
      </c>
      <c r="H392" s="59"/>
      <c r="I392" s="44"/>
      <c r="Y392" s="26"/>
    </row>
    <row r="393" spans="1:25" s="29" customFormat="1" ht="12" customHeight="1">
      <c r="A393" s="96" t="s">
        <v>1408</v>
      </c>
      <c r="B393" s="97" t="s">
        <v>1409</v>
      </c>
      <c r="C393" s="27">
        <v>75.8</v>
      </c>
      <c r="D393" s="27">
        <v>0.116255</v>
      </c>
      <c r="E393" s="59"/>
      <c r="F393" s="29" cm="1">
        <f t="array" ref="F393">_xlfn.IFS(C393=":",":",C393&gt;=P$19,1,C393&gt;=P$20,2,C393&lt;P$20,3)</f>
        <v>1</v>
      </c>
      <c r="H393" s="59"/>
      <c r="I393" s="44"/>
      <c r="Y393" s="26"/>
    </row>
    <row r="394" spans="1:25" s="29" customFormat="1" ht="12" customHeight="1">
      <c r="A394" s="96" t="s">
        <v>1410</v>
      </c>
      <c r="B394" s="97" t="s">
        <v>1411</v>
      </c>
      <c r="C394" s="27">
        <v>83.9</v>
      </c>
      <c r="D394" s="27">
        <v>0.62505999999999995</v>
      </c>
      <c r="E394" s="59"/>
      <c r="F394" s="29" cm="1">
        <f t="array" ref="F394">_xlfn.IFS(C394=":",":",C394&gt;=P$19,1,C394&gt;=P$20,2,C394&lt;P$20,3)</f>
        <v>1</v>
      </c>
      <c r="H394" s="59"/>
      <c r="I394" s="44"/>
      <c r="Y394" s="26"/>
    </row>
    <row r="395" spans="1:25" s="29" customFormat="1" ht="12" customHeight="1">
      <c r="A395" s="96" t="s">
        <v>1412</v>
      </c>
      <c r="B395" s="97" t="s">
        <v>1413</v>
      </c>
      <c r="C395" s="27">
        <v>93.9</v>
      </c>
      <c r="D395" s="27">
        <v>0.38464700000000002</v>
      </c>
      <c r="E395" s="59"/>
      <c r="F395" s="29" cm="1">
        <f t="array" ref="F395">_xlfn.IFS(C395=":",":",C395&gt;=P$19,1,C395&gt;=P$20,2,C395&lt;P$20,3)</f>
        <v>1</v>
      </c>
      <c r="H395" s="59"/>
      <c r="I395" s="44"/>
      <c r="Y395" s="26"/>
    </row>
    <row r="396" spans="1:25" s="29" customFormat="1" ht="12" customHeight="1">
      <c r="A396" s="96" t="s">
        <v>1414</v>
      </c>
      <c r="B396" s="97" t="s">
        <v>1415</v>
      </c>
      <c r="C396" s="27">
        <v>76.8</v>
      </c>
      <c r="D396" s="27">
        <v>0.78249500000000005</v>
      </c>
      <c r="E396" s="59"/>
      <c r="F396" s="29" cm="1">
        <f t="array" ref="F396">_xlfn.IFS(C396=":",":",C396&gt;=P$19,1,C396&gt;=P$20,2,C396&lt;P$20,3)</f>
        <v>1</v>
      </c>
      <c r="H396" s="59"/>
      <c r="I396" s="44"/>
      <c r="Y396" s="26"/>
    </row>
    <row r="397" spans="1:25" s="29" customFormat="1" ht="12" customHeight="1">
      <c r="A397" s="96" t="s">
        <v>1416</v>
      </c>
      <c r="B397" s="97" t="s">
        <v>1417</v>
      </c>
      <c r="C397" s="27">
        <v>79.900000000000006</v>
      </c>
      <c r="D397" s="27">
        <v>0.36748999999999998</v>
      </c>
      <c r="E397" s="59"/>
      <c r="F397" s="29" cm="1">
        <f t="array" ref="F397">_xlfn.IFS(C397=":",":",C397&gt;=P$19,1,C397&gt;=P$20,2,C397&lt;P$20,3)</f>
        <v>1</v>
      </c>
      <c r="H397" s="59"/>
      <c r="I397" s="44"/>
      <c r="Y397" s="26"/>
    </row>
    <row r="398" spans="1:25" s="29" customFormat="1" ht="12" customHeight="1">
      <c r="A398" s="96" t="s">
        <v>1418</v>
      </c>
      <c r="B398" s="97" t="s">
        <v>1419</v>
      </c>
      <c r="C398" s="27">
        <v>85.3</v>
      </c>
      <c r="D398" s="27">
        <v>6.9547999999999999E-2</v>
      </c>
      <c r="E398" s="59"/>
      <c r="F398" s="29" cm="1">
        <f t="array" ref="F398">_xlfn.IFS(C398=":",":",C398&gt;=P$19,1,C398&gt;=P$20,2,C398&lt;P$20,3)</f>
        <v>1</v>
      </c>
      <c r="H398" s="59"/>
      <c r="I398" s="44"/>
      <c r="Y398" s="26"/>
    </row>
    <row r="399" spans="1:25" s="29" customFormat="1" ht="12" customHeight="1">
      <c r="A399" s="96" t="s">
        <v>1420</v>
      </c>
      <c r="B399" s="97" t="s">
        <v>1421</v>
      </c>
      <c r="C399" s="27">
        <v>80.8</v>
      </c>
      <c r="D399" s="27">
        <v>0.17422000000000001</v>
      </c>
      <c r="E399" s="59"/>
      <c r="F399" s="29" cm="1">
        <f t="array" ref="F399">_xlfn.IFS(C399=":",":",C399&gt;=P$19,1,C399&gt;=P$20,2,C399&lt;P$20,3)</f>
        <v>1</v>
      </c>
      <c r="H399" s="59"/>
      <c r="I399" s="44"/>
      <c r="Y399" s="26"/>
    </row>
    <row r="400" spans="1:25" s="29" customFormat="1" ht="12" customHeight="1">
      <c r="A400" s="96" t="s">
        <v>1422</v>
      </c>
      <c r="B400" s="97" t="s">
        <v>1423</v>
      </c>
      <c r="C400" s="27">
        <v>86.6</v>
      </c>
      <c r="D400" s="27">
        <v>0.22128300000000001</v>
      </c>
      <c r="E400" s="59"/>
      <c r="F400" s="29" cm="1">
        <f t="array" ref="F400">_xlfn.IFS(C400=":",":",C400&gt;=P$19,1,C400&gt;=P$20,2,C400&lt;P$20,3)</f>
        <v>1</v>
      </c>
      <c r="H400" s="59"/>
      <c r="I400" s="44"/>
      <c r="Y400" s="26"/>
    </row>
    <row r="401" spans="1:25" s="29" customFormat="1" ht="12" customHeight="1">
      <c r="A401" s="96" t="s">
        <v>1424</v>
      </c>
      <c r="B401" s="97" t="s">
        <v>1425</v>
      </c>
      <c r="C401" s="27">
        <v>79</v>
      </c>
      <c r="D401" s="27">
        <v>0.77525500000000003</v>
      </c>
      <c r="E401" s="59"/>
      <c r="F401" s="29" cm="1">
        <f t="array" ref="F401">_xlfn.IFS(C401=":",":",C401&gt;=P$19,1,C401&gt;=P$20,2,C401&lt;P$20,3)</f>
        <v>1</v>
      </c>
      <c r="H401" s="59"/>
      <c r="I401" s="44"/>
      <c r="Y401" s="26"/>
    </row>
    <row r="402" spans="1:25" s="29" customFormat="1" ht="12" customHeight="1">
      <c r="A402" s="96" t="s">
        <v>1426</v>
      </c>
      <c r="B402" s="97" t="s">
        <v>1427</v>
      </c>
      <c r="C402" s="27">
        <v>80.8</v>
      </c>
      <c r="D402" s="27">
        <v>4.6068930000000003</v>
      </c>
      <c r="E402" s="59"/>
      <c r="F402" s="29" cm="1">
        <f t="array" ref="F402">_xlfn.IFS(C402=":",":",C402&gt;=P$19,1,C402&gt;=P$20,2,C402&lt;P$20,3)</f>
        <v>1</v>
      </c>
      <c r="H402" s="59"/>
      <c r="I402" s="44"/>
      <c r="Y402" s="26"/>
    </row>
    <row r="403" spans="1:25" s="29" customFormat="1" ht="12" customHeight="1">
      <c r="A403" s="96" t="s">
        <v>1428</v>
      </c>
      <c r="B403" s="97" t="s">
        <v>1429</v>
      </c>
      <c r="C403" s="27">
        <v>92.7</v>
      </c>
      <c r="D403" s="27">
        <v>0.64612499999999995</v>
      </c>
      <c r="E403" s="59"/>
      <c r="F403" s="29" cm="1">
        <f t="array" ref="F403">_xlfn.IFS(C403=":",":",C403&gt;=P$19,1,C403&gt;=P$20,2,C403&lt;P$20,3)</f>
        <v>1</v>
      </c>
      <c r="H403" s="59"/>
      <c r="I403" s="44"/>
      <c r="Y403" s="26"/>
    </row>
    <row r="404" spans="1:25" s="29" customFormat="1" ht="12" customHeight="1">
      <c r="A404" s="96" t="s">
        <v>1430</v>
      </c>
      <c r="B404" s="97" t="s">
        <v>1431</v>
      </c>
      <c r="C404" s="27">
        <v>95.2</v>
      </c>
      <c r="D404" s="27">
        <v>1.1890940000000001</v>
      </c>
      <c r="E404" s="59"/>
      <c r="F404" s="29" cm="1">
        <f t="array" ref="F404">_xlfn.IFS(C404=":",":",C404&gt;=P$19,1,C404&gt;=P$20,2,C404&lt;P$20,3)</f>
        <v>1</v>
      </c>
      <c r="H404" s="59"/>
      <c r="I404" s="44"/>
      <c r="Y404" s="26"/>
    </row>
    <row r="405" spans="1:25" s="29" customFormat="1" ht="12" customHeight="1">
      <c r="A405" s="96" t="s">
        <v>1432</v>
      </c>
      <c r="B405" s="97" t="s">
        <v>1433</v>
      </c>
      <c r="C405" s="27">
        <v>89.9</v>
      </c>
      <c r="D405" s="27">
        <v>0.65320800000000001</v>
      </c>
      <c r="E405" s="59"/>
      <c r="F405" s="29" cm="1">
        <f t="array" ref="F405">_xlfn.IFS(C405=":",":",C405&gt;=P$19,1,C405&gt;=P$20,2,C405&lt;P$20,3)</f>
        <v>1</v>
      </c>
      <c r="H405" s="59"/>
      <c r="I405" s="44"/>
      <c r="Y405" s="26"/>
    </row>
    <row r="406" spans="1:25" s="29" customFormat="1" ht="12" customHeight="1">
      <c r="A406" s="96" t="s">
        <v>1434</v>
      </c>
      <c r="B406" s="97" t="s">
        <v>1435</v>
      </c>
      <c r="C406" s="27">
        <v>92.5</v>
      </c>
      <c r="D406" s="27">
        <v>1.847761</v>
      </c>
      <c r="E406" s="59"/>
      <c r="F406" s="29" cm="1">
        <f t="array" ref="F406">_xlfn.IFS(C406=":",":",C406&gt;=P$19,1,C406&gt;=P$20,2,C406&lt;P$20,3)</f>
        <v>1</v>
      </c>
      <c r="H406" s="59"/>
      <c r="I406" s="44"/>
      <c r="Y406" s="26"/>
    </row>
    <row r="407" spans="1:25" s="29" customFormat="1" ht="12" customHeight="1">
      <c r="A407" s="96" t="s">
        <v>1436</v>
      </c>
      <c r="B407" s="97" t="s">
        <v>1437</v>
      </c>
      <c r="C407" s="27">
        <v>87.7</v>
      </c>
      <c r="D407" s="27">
        <v>0.44766099999999998</v>
      </c>
      <c r="E407" s="59"/>
      <c r="F407" s="29" cm="1">
        <f t="array" ref="F407">_xlfn.IFS(C407=":",":",C407&gt;=P$19,1,C407&gt;=P$20,2,C407&lt;P$20,3)</f>
        <v>1</v>
      </c>
      <c r="H407" s="59"/>
      <c r="I407" s="44"/>
      <c r="Y407" s="26"/>
    </row>
    <row r="408" spans="1:25" s="29" customFormat="1" ht="12" customHeight="1">
      <c r="A408" s="96" t="s">
        <v>1438</v>
      </c>
      <c r="B408" s="97" t="s">
        <v>1439</v>
      </c>
      <c r="C408" s="27">
        <v>97.5</v>
      </c>
      <c r="D408" s="27">
        <v>1.465363</v>
      </c>
      <c r="E408" s="59"/>
      <c r="F408" s="29" cm="1">
        <f t="array" ref="F408">_xlfn.IFS(C408=":",":",C408&gt;=P$19,1,C408&gt;=P$20,2,C408&lt;P$20,3)</f>
        <v>1</v>
      </c>
      <c r="H408" s="59"/>
      <c r="I408" s="44"/>
      <c r="Y408" s="26"/>
    </row>
    <row r="409" spans="1:25" s="29" customFormat="1" ht="12" customHeight="1">
      <c r="A409" s="96" t="s">
        <v>1440</v>
      </c>
      <c r="B409" s="97" t="s">
        <v>1441</v>
      </c>
      <c r="C409" s="27">
        <v>92.3</v>
      </c>
      <c r="D409" s="27">
        <v>0.53135699999999997</v>
      </c>
      <c r="E409" s="59"/>
      <c r="F409" s="29" cm="1">
        <f t="array" ref="F409">_xlfn.IFS(C409=":",":",C409&gt;=P$19,1,C409&gt;=P$20,2,C409&lt;P$20,3)</f>
        <v>1</v>
      </c>
      <c r="H409" s="59"/>
      <c r="I409" s="44"/>
      <c r="Y409" s="26"/>
    </row>
    <row r="410" spans="1:25" s="29" customFormat="1" ht="12" customHeight="1">
      <c r="A410" s="96" t="s">
        <v>1442</v>
      </c>
      <c r="B410" s="97" t="s">
        <v>1443</v>
      </c>
      <c r="C410" s="27">
        <v>95.6</v>
      </c>
      <c r="D410" s="27">
        <v>0.84057899999999997</v>
      </c>
      <c r="E410" s="59"/>
      <c r="F410" s="29" cm="1">
        <f t="array" ref="F410">_xlfn.IFS(C410=":",":",C410&gt;=P$19,1,C410&gt;=P$20,2,C410&lt;P$20,3)</f>
        <v>1</v>
      </c>
      <c r="H410" s="59"/>
      <c r="I410" s="44"/>
      <c r="Y410" s="26"/>
    </row>
    <row r="411" spans="1:25" s="29" customFormat="1" ht="12" customHeight="1">
      <c r="A411" s="96" t="s">
        <v>1444</v>
      </c>
      <c r="B411" s="97" t="s">
        <v>1445</v>
      </c>
      <c r="C411" s="27">
        <v>86.9</v>
      </c>
      <c r="D411" s="27">
        <v>0.48706700000000003</v>
      </c>
      <c r="E411" s="59"/>
      <c r="F411" s="29" cm="1">
        <f t="array" ref="F411">_xlfn.IFS(C411=":",":",C411&gt;=P$19,1,C411&gt;=P$20,2,C411&lt;P$20,3)</f>
        <v>1</v>
      </c>
      <c r="H411" s="59"/>
      <c r="I411" s="44"/>
      <c r="Y411" s="26"/>
    </row>
    <row r="412" spans="1:25" s="29" customFormat="1" ht="12" customHeight="1">
      <c r="A412" s="96" t="s">
        <v>1446</v>
      </c>
      <c r="B412" s="97" t="s">
        <v>1447</v>
      </c>
      <c r="C412" s="27">
        <v>84.5</v>
      </c>
      <c r="D412" s="27">
        <v>3.8188529999999998</v>
      </c>
      <c r="E412" s="59"/>
      <c r="F412" s="29" cm="1">
        <f t="array" ref="F412">_xlfn.IFS(C412=":",":",C412&gt;=P$19,1,C412&gt;=P$20,2,C412&lt;P$20,3)</f>
        <v>1</v>
      </c>
      <c r="H412" s="59"/>
      <c r="I412" s="44"/>
      <c r="Y412" s="26"/>
    </row>
    <row r="413" spans="1:25" s="29" customFormat="1" ht="12" customHeight="1">
      <c r="A413" s="96" t="s">
        <v>1448</v>
      </c>
      <c r="B413" s="97" t="s">
        <v>153</v>
      </c>
      <c r="C413" s="27">
        <v>91.6</v>
      </c>
      <c r="D413" s="27">
        <v>0.50539999999999996</v>
      </c>
      <c r="E413" s="59"/>
      <c r="F413" s="29" cm="1">
        <f t="array" ref="F413">_xlfn.IFS(C413=":",":",C413&gt;=P$19,1,C413&gt;=P$20,2,C413&lt;P$20,3)</f>
        <v>1</v>
      </c>
      <c r="H413" s="59"/>
      <c r="I413" s="44"/>
      <c r="Y413" s="26"/>
    </row>
    <row r="414" spans="1:25" s="29" customFormat="1" ht="12" customHeight="1">
      <c r="A414" s="96" t="s">
        <v>1449</v>
      </c>
      <c r="B414" s="97" t="s">
        <v>1450</v>
      </c>
      <c r="C414" s="27">
        <v>79.900000000000006</v>
      </c>
      <c r="D414" s="27">
        <v>0.580511</v>
      </c>
      <c r="E414" s="59"/>
      <c r="F414" s="29" cm="1">
        <f t="array" ref="F414">_xlfn.IFS(C414=":",":",C414&gt;=P$19,1,C414&gt;=P$20,2,C414&lt;P$20,3)</f>
        <v>1</v>
      </c>
      <c r="H414" s="59"/>
      <c r="I414" s="44"/>
      <c r="Y414" s="26"/>
    </row>
    <row r="415" spans="1:25" s="29" customFormat="1" ht="12" customHeight="1">
      <c r="A415" s="96" t="s">
        <v>1451</v>
      </c>
      <c r="B415" s="97" t="s">
        <v>1452</v>
      </c>
      <c r="C415" s="27">
        <v>87.4</v>
      </c>
      <c r="D415" s="27">
        <v>0.230959</v>
      </c>
      <c r="E415" s="59"/>
      <c r="F415" s="29" cm="1">
        <f t="array" ref="F415">_xlfn.IFS(C415=":",":",C415&gt;=P$19,1,C415&gt;=P$20,2,C415&lt;P$20,3)</f>
        <v>1</v>
      </c>
      <c r="H415" s="59"/>
      <c r="I415" s="44"/>
      <c r="Y415" s="26"/>
    </row>
    <row r="416" spans="1:25" s="29" customFormat="1" ht="12" customHeight="1">
      <c r="A416" s="96" t="s">
        <v>1453</v>
      </c>
      <c r="B416" s="97" t="s">
        <v>1454</v>
      </c>
      <c r="C416" s="27" t="s">
        <v>546</v>
      </c>
      <c r="D416" s="27">
        <v>0.42854799999999998</v>
      </c>
      <c r="E416" s="59"/>
      <c r="F416" s="29" t="str" cm="1">
        <f t="array" ref="F416">_xlfn.IFS(C416=":",":",C416&gt;=P$19,1,C416&gt;=P$20,2,C416&lt;P$20,3)</f>
        <v>:</v>
      </c>
      <c r="H416" s="59"/>
      <c r="I416" s="44"/>
      <c r="Y416" s="26"/>
    </row>
    <row r="417" spans="1:25" s="29" customFormat="1" ht="12" customHeight="1">
      <c r="A417" s="96" t="s">
        <v>1455</v>
      </c>
      <c r="B417" s="97" t="s">
        <v>1456</v>
      </c>
      <c r="C417" s="27" t="s">
        <v>546</v>
      </c>
      <c r="D417" s="27">
        <v>0.76777300000000004</v>
      </c>
      <c r="E417" s="59"/>
      <c r="F417" s="29" t="str" cm="1">
        <f t="array" ref="F417">_xlfn.IFS(C417=":",":",C417&gt;=P$19,1,C417&gt;=P$20,2,C417&lt;P$20,3)</f>
        <v>:</v>
      </c>
      <c r="H417" s="43"/>
      <c r="I417" s="44"/>
      <c r="Y417" s="26"/>
    </row>
    <row r="418" spans="1:25" s="29" customFormat="1" ht="12" customHeight="1">
      <c r="A418" s="96" t="s">
        <v>1457</v>
      </c>
      <c r="B418" s="97" t="s">
        <v>1458</v>
      </c>
      <c r="C418" s="27" t="s">
        <v>546</v>
      </c>
      <c r="D418" s="27">
        <v>0.21690200000000001</v>
      </c>
      <c r="E418" s="59"/>
      <c r="F418" s="29" t="str" cm="1">
        <f t="array" ref="F418">_xlfn.IFS(C418=":",":",C418&gt;=P$19,1,C418&gt;=P$20,2,C418&lt;P$20,3)</f>
        <v>:</v>
      </c>
      <c r="H418" s="43"/>
      <c r="I418" s="44"/>
      <c r="Y418" s="26"/>
    </row>
    <row r="419" spans="1:25" s="29" customFormat="1" ht="12" customHeight="1">
      <c r="A419" s="96" t="s">
        <v>1459</v>
      </c>
      <c r="B419" s="97" t="s">
        <v>1460</v>
      </c>
      <c r="C419" s="27">
        <v>91.3</v>
      </c>
      <c r="D419" s="27">
        <v>0.29676999999999998</v>
      </c>
      <c r="E419" s="59"/>
      <c r="F419" s="29" cm="1">
        <f t="array" ref="F419">_xlfn.IFS(C419=":",":",C419&gt;=P$19,1,C419&gt;=P$20,2,C419&lt;P$20,3)</f>
        <v>1</v>
      </c>
      <c r="H419" s="43"/>
      <c r="I419" s="44"/>
      <c r="Y419" s="26"/>
    </row>
    <row r="420" spans="1:25" s="29" customFormat="1" ht="12" customHeight="1">
      <c r="A420" s="96" t="s">
        <v>1461</v>
      </c>
      <c r="B420" s="97" t="s">
        <v>1462</v>
      </c>
      <c r="C420" s="27" t="s">
        <v>546</v>
      </c>
      <c r="D420" s="27">
        <v>0.15842400000000001</v>
      </c>
      <c r="E420" s="59"/>
      <c r="F420" s="29" t="str" cm="1">
        <f t="array" ref="F420">_xlfn.IFS(C420=":",":",C420&gt;=P$19,1,C420&gt;=P$20,2,C420&lt;P$20,3)</f>
        <v>:</v>
      </c>
      <c r="H420" s="43"/>
      <c r="I420" s="44"/>
      <c r="Y420" s="26"/>
    </row>
    <row r="421" spans="1:25" s="29" customFormat="1" ht="12" customHeight="1">
      <c r="A421" s="96" t="s">
        <v>1463</v>
      </c>
      <c r="B421" s="97" t="s">
        <v>1464</v>
      </c>
      <c r="C421" s="27" t="s">
        <v>546</v>
      </c>
      <c r="D421" s="27">
        <v>0.32044800000000001</v>
      </c>
      <c r="E421" s="59"/>
      <c r="F421" s="29" t="str" cm="1">
        <f t="array" ref="F421">_xlfn.IFS(C421=":",":",C421&gt;=P$19,1,C421&gt;=P$20,2,C421&lt;P$20,3)</f>
        <v>:</v>
      </c>
      <c r="H421" s="43"/>
      <c r="I421" s="44"/>
      <c r="Y421" s="26"/>
    </row>
    <row r="422" spans="1:25" s="29" customFormat="1" ht="12" customHeight="1">
      <c r="A422" s="96" t="s">
        <v>1465</v>
      </c>
      <c r="B422" s="97" t="s">
        <v>2869</v>
      </c>
      <c r="C422" s="27">
        <v>93.9</v>
      </c>
      <c r="D422" s="27">
        <v>0.50945499999999999</v>
      </c>
      <c r="E422" s="59"/>
      <c r="F422" s="29" cm="1">
        <f t="array" ref="F422">_xlfn.IFS(C422=":",":",C422&gt;=P$19,1,C422&gt;=P$20,2,C422&lt;P$20,3)</f>
        <v>1</v>
      </c>
      <c r="H422" s="43"/>
      <c r="I422" s="44"/>
      <c r="Y422" s="26"/>
    </row>
    <row r="423" spans="1:25" s="29" customFormat="1" ht="12" customHeight="1">
      <c r="A423" s="96" t="s">
        <v>1466</v>
      </c>
      <c r="B423" s="97" t="s">
        <v>1467</v>
      </c>
      <c r="C423" s="27" t="s">
        <v>546</v>
      </c>
      <c r="D423" s="27">
        <v>2.4645290000000002</v>
      </c>
      <c r="E423" s="59"/>
      <c r="F423" s="29" t="str" cm="1">
        <f t="array" ref="F423">_xlfn.IFS(C423=":",":",C423&gt;=P$19,1,C423&gt;=P$20,2,C423&lt;P$20,3)</f>
        <v>:</v>
      </c>
      <c r="H423" s="43"/>
      <c r="I423" s="44"/>
      <c r="Y423" s="26"/>
    </row>
    <row r="424" spans="1:25" s="29" customFormat="1" ht="12" customHeight="1">
      <c r="A424" s="96" t="s">
        <v>1468</v>
      </c>
      <c r="B424" s="97" t="s">
        <v>1469</v>
      </c>
      <c r="C424" s="27" t="s">
        <v>546</v>
      </c>
      <c r="D424" s="27">
        <v>0.33814</v>
      </c>
      <c r="E424" s="59"/>
      <c r="F424" s="29" t="str" cm="1">
        <f t="array" ref="F424">_xlfn.IFS(C424=":",":",C424&gt;=P$19,1,C424&gt;=P$20,2,C424&lt;P$20,3)</f>
        <v>:</v>
      </c>
      <c r="H424" s="43"/>
      <c r="I424" s="44"/>
      <c r="Y424" s="26"/>
    </row>
    <row r="425" spans="1:25" s="29" customFormat="1" ht="12" customHeight="1">
      <c r="A425" s="96" t="s">
        <v>1470</v>
      </c>
      <c r="B425" s="97" t="s">
        <v>1471</v>
      </c>
      <c r="C425" s="27">
        <v>87.8</v>
      </c>
      <c r="D425" s="27">
        <v>0.42625400000000002</v>
      </c>
      <c r="E425" s="59"/>
      <c r="F425" s="29" cm="1">
        <f t="array" ref="F425">_xlfn.IFS(C425=":",":",C425&gt;=P$19,1,C425&gt;=P$20,2,C425&lt;P$20,3)</f>
        <v>1</v>
      </c>
      <c r="H425" s="43"/>
      <c r="I425" s="44"/>
      <c r="Y425" s="26"/>
    </row>
    <row r="426" spans="1:25" s="29" customFormat="1" ht="12" customHeight="1">
      <c r="A426" s="96" t="s">
        <v>1472</v>
      </c>
      <c r="B426" s="97" t="s">
        <v>1473</v>
      </c>
      <c r="C426" s="27">
        <v>86.3</v>
      </c>
      <c r="D426" s="27">
        <v>0.31137199999999998</v>
      </c>
      <c r="E426" s="59"/>
      <c r="F426" s="29" cm="1">
        <f t="array" ref="F426">_xlfn.IFS(C426=":",":",C426&gt;=P$19,1,C426&gt;=P$20,2,C426&lt;P$20,3)</f>
        <v>1</v>
      </c>
      <c r="H426" s="43"/>
      <c r="I426" s="44"/>
      <c r="Y426" s="26"/>
    </row>
    <row r="427" spans="1:25" s="29" customFormat="1" ht="12" customHeight="1">
      <c r="A427" s="96" t="s">
        <v>1474</v>
      </c>
      <c r="B427" s="97" t="s">
        <v>1475</v>
      </c>
      <c r="C427" s="27">
        <v>92</v>
      </c>
      <c r="D427" s="27">
        <v>0.33228200000000002</v>
      </c>
      <c r="E427" s="59"/>
      <c r="F427" s="29" cm="1">
        <f t="array" ref="F427">_xlfn.IFS(C427=":",":",C427&gt;=P$19,1,C427&gt;=P$20,2,C427&lt;P$20,3)</f>
        <v>1</v>
      </c>
      <c r="H427" s="43"/>
      <c r="I427" s="44"/>
      <c r="Y427" s="26"/>
    </row>
    <row r="428" spans="1:25" s="29" customFormat="1" ht="12" customHeight="1">
      <c r="A428" s="96" t="s">
        <v>1476</v>
      </c>
      <c r="B428" s="97" t="s">
        <v>1477</v>
      </c>
      <c r="C428" s="27">
        <v>91.1</v>
      </c>
      <c r="D428" s="27">
        <v>0.46052300000000002</v>
      </c>
      <c r="E428" s="59"/>
      <c r="F428" s="29" cm="1">
        <f t="array" ref="F428">_xlfn.IFS(C428=":",":",C428&gt;=P$19,1,C428&gt;=P$20,2,C428&lt;P$20,3)</f>
        <v>1</v>
      </c>
      <c r="H428" s="43"/>
      <c r="I428" s="44"/>
      <c r="Y428" s="26"/>
    </row>
    <row r="429" spans="1:25" s="29" customFormat="1" ht="12" customHeight="1">
      <c r="A429" s="96" t="s">
        <v>1478</v>
      </c>
      <c r="B429" s="97" t="s">
        <v>1479</v>
      </c>
      <c r="C429" s="27">
        <v>69.900000000000006</v>
      </c>
      <c r="D429" s="27">
        <v>0.38114999999999999</v>
      </c>
      <c r="E429" s="59"/>
      <c r="F429" s="29" cm="1">
        <f t="array" ref="F429">_xlfn.IFS(C429=":",":",C429&gt;=P$19,1,C429&gt;=P$20,2,C429&lt;P$20,3)</f>
        <v>1</v>
      </c>
      <c r="H429" s="43"/>
      <c r="I429" s="44"/>
      <c r="Y429" s="26"/>
    </row>
    <row r="430" spans="1:25" s="29" customFormat="1" ht="12" customHeight="1">
      <c r="A430" s="96" t="s">
        <v>1480</v>
      </c>
      <c r="B430" s="97" t="s">
        <v>1481</v>
      </c>
      <c r="C430" s="27">
        <v>82</v>
      </c>
      <c r="D430" s="27">
        <v>1.1085640000000001</v>
      </c>
      <c r="E430" s="59"/>
      <c r="F430" s="29" cm="1">
        <f t="array" ref="F430">_xlfn.IFS(C430=":",":",C430&gt;=P$19,1,C430&gt;=P$20,2,C430&lt;P$20,3)</f>
        <v>1</v>
      </c>
      <c r="H430" s="43"/>
      <c r="I430" s="44"/>
      <c r="Y430" s="26"/>
    </row>
    <row r="431" spans="1:25" s="29" customFormat="1" ht="12" customHeight="1">
      <c r="A431" s="96" t="s">
        <v>1482</v>
      </c>
      <c r="B431" s="97" t="s">
        <v>1483</v>
      </c>
      <c r="C431" s="27">
        <v>85.4</v>
      </c>
      <c r="D431" s="27">
        <v>2.374463</v>
      </c>
      <c r="E431" s="59"/>
      <c r="F431" s="29" cm="1">
        <f t="array" ref="F431">_xlfn.IFS(C431=":",":",C431&gt;=P$19,1,C431&gt;=P$20,2,C431&lt;P$20,3)</f>
        <v>1</v>
      </c>
      <c r="H431" s="43"/>
      <c r="I431" s="44"/>
      <c r="Y431" s="26"/>
    </row>
    <row r="432" spans="1:25" s="29" customFormat="1" ht="12" customHeight="1">
      <c r="A432" s="96" t="s">
        <v>1484</v>
      </c>
      <c r="B432" s="97" t="s">
        <v>1485</v>
      </c>
      <c r="C432" s="27">
        <v>72.599999999999994</v>
      </c>
      <c r="D432" s="27">
        <v>0.20463100000000001</v>
      </c>
      <c r="E432" s="59"/>
      <c r="F432" s="29" cm="1">
        <f t="array" ref="F432">_xlfn.IFS(C432=":",":",C432&gt;=P$19,1,C432&gt;=P$20,2,C432&lt;P$20,3)</f>
        <v>1</v>
      </c>
      <c r="H432" s="43"/>
      <c r="I432" s="44"/>
      <c r="Y432" s="26"/>
    </row>
    <row r="433" spans="1:25" s="29" customFormat="1" ht="12" customHeight="1">
      <c r="A433" s="96" t="s">
        <v>1486</v>
      </c>
      <c r="B433" s="97" t="s">
        <v>1487</v>
      </c>
      <c r="C433" s="27">
        <v>95.7</v>
      </c>
      <c r="D433" s="27">
        <v>2.0112169999999998</v>
      </c>
      <c r="E433" s="59"/>
      <c r="F433" s="29" cm="1">
        <f t="array" ref="F433">_xlfn.IFS(C433=":",":",C433&gt;=P$19,1,C433&gt;=P$20,2,C433&lt;P$20,3)</f>
        <v>1</v>
      </c>
      <c r="H433" s="43"/>
      <c r="I433" s="44"/>
      <c r="Y433" s="26"/>
    </row>
    <row r="434" spans="1:25" s="29" customFormat="1" ht="12" customHeight="1">
      <c r="A434" s="96" t="s">
        <v>1488</v>
      </c>
      <c r="B434" s="97" t="s">
        <v>1489</v>
      </c>
      <c r="C434" s="27">
        <v>94.6</v>
      </c>
      <c r="D434" s="27">
        <v>0.58326699999999998</v>
      </c>
      <c r="E434" s="59"/>
      <c r="F434" s="29" cm="1">
        <f t="array" ref="F434">_xlfn.IFS(C434=":",":",C434&gt;=P$19,1,C434&gt;=P$20,2,C434&lt;P$20,3)</f>
        <v>1</v>
      </c>
      <c r="H434" s="43"/>
      <c r="I434" s="44"/>
      <c r="Y434" s="26"/>
    </row>
    <row r="435" spans="1:25" s="29" customFormat="1" ht="12" customHeight="1">
      <c r="A435" s="96" t="s">
        <v>1490</v>
      </c>
      <c r="B435" s="97" t="s">
        <v>1491</v>
      </c>
      <c r="C435" s="27">
        <v>97</v>
      </c>
      <c r="D435" s="27">
        <v>9.7108030000000003</v>
      </c>
      <c r="E435" s="59"/>
      <c r="F435" s="29" cm="1">
        <f t="array" ref="F435">_xlfn.IFS(C435=":",":",C435&gt;=P$19,1,C435&gt;=P$20,2,C435&lt;P$20,3)</f>
        <v>1</v>
      </c>
      <c r="H435" s="43"/>
      <c r="I435" s="44"/>
      <c r="Y435" s="26"/>
    </row>
    <row r="436" spans="1:25" s="29" customFormat="1" ht="12" customHeight="1">
      <c r="A436" s="96" t="s">
        <v>1492</v>
      </c>
      <c r="B436" s="97" t="s">
        <v>1493</v>
      </c>
      <c r="C436" s="27">
        <v>97.3</v>
      </c>
      <c r="D436" s="27">
        <v>10.606972000000001</v>
      </c>
      <c r="E436" s="59"/>
      <c r="F436" s="29" cm="1">
        <f t="array" ref="F436">_xlfn.IFS(C436=":",":",C436&gt;=P$19,1,C436&gt;=P$20,2,C436&lt;P$20,3)</f>
        <v>1</v>
      </c>
      <c r="H436" s="43"/>
      <c r="I436" s="44"/>
      <c r="Y436" s="26"/>
    </row>
    <row r="437" spans="1:25" s="29" customFormat="1" ht="12" customHeight="1">
      <c r="A437" s="96" t="s">
        <v>1494</v>
      </c>
      <c r="B437" s="97" t="s">
        <v>1495</v>
      </c>
      <c r="C437" s="27">
        <v>91.8</v>
      </c>
      <c r="D437" s="27">
        <v>0.77215100000000003</v>
      </c>
      <c r="E437" s="59"/>
      <c r="F437" s="29" cm="1">
        <f t="array" ref="F437">_xlfn.IFS(C437=":",":",C437&gt;=P$19,1,C437&gt;=P$20,2,C437&lt;P$20,3)</f>
        <v>1</v>
      </c>
      <c r="H437" s="43"/>
      <c r="I437" s="44"/>
      <c r="Y437" s="26"/>
    </row>
    <row r="438" spans="1:25" s="29" customFormat="1" ht="12" customHeight="1">
      <c r="A438" s="96" t="s">
        <v>1496</v>
      </c>
      <c r="B438" s="97" t="s">
        <v>1497</v>
      </c>
      <c r="C438" s="27">
        <v>96.7</v>
      </c>
      <c r="D438" s="27">
        <v>1.671953</v>
      </c>
      <c r="E438" s="59"/>
      <c r="F438" s="29" cm="1">
        <f t="array" ref="F438">_xlfn.IFS(C438=":",":",C438&gt;=P$19,1,C438&gt;=P$20,2,C438&lt;P$20,3)</f>
        <v>1</v>
      </c>
      <c r="H438" s="43"/>
      <c r="I438" s="44"/>
      <c r="Y438" s="26"/>
    </row>
    <row r="439" spans="1:25" s="29" customFormat="1" ht="12" customHeight="1">
      <c r="A439" s="96" t="s">
        <v>1498</v>
      </c>
      <c r="B439" s="97" t="s">
        <v>1499</v>
      </c>
      <c r="C439" s="27">
        <v>92.7</v>
      </c>
      <c r="D439" s="27">
        <v>1.856957</v>
      </c>
      <c r="E439" s="59"/>
      <c r="F439" s="29" cm="1">
        <f t="array" ref="F439">_xlfn.IFS(C439=":",":",C439&gt;=P$19,1,C439&gt;=P$20,2,C439&lt;P$20,3)</f>
        <v>1</v>
      </c>
      <c r="H439" s="43"/>
      <c r="I439" s="44"/>
      <c r="Y439" s="26"/>
    </row>
    <row r="440" spans="1:25" s="29" customFormat="1" ht="12" customHeight="1">
      <c r="A440" s="96" t="s">
        <v>1500</v>
      </c>
      <c r="B440" s="97" t="s">
        <v>1501</v>
      </c>
      <c r="C440" s="27">
        <v>90.5</v>
      </c>
      <c r="D440" s="27">
        <v>2.1756929999999999</v>
      </c>
      <c r="E440" s="59"/>
      <c r="F440" s="29" cm="1">
        <f t="array" ref="F440">_xlfn.IFS(C440=":",":",C440&gt;=P$19,1,C440&gt;=P$20,2,C440&lt;P$20,3)</f>
        <v>1</v>
      </c>
      <c r="H440" s="43"/>
      <c r="I440" s="44"/>
      <c r="Y440" s="26"/>
    </row>
    <row r="441" spans="1:25" s="29" customFormat="1" ht="12" customHeight="1">
      <c r="A441" s="96" t="s">
        <v>1502</v>
      </c>
      <c r="B441" s="97" t="s">
        <v>1503</v>
      </c>
      <c r="C441" s="27">
        <v>85.2</v>
      </c>
      <c r="D441" s="27">
        <v>0.553481</v>
      </c>
      <c r="E441" s="59"/>
      <c r="F441" s="29" cm="1">
        <f t="array" ref="F441">_xlfn.IFS(C441=":",":",C441&gt;=P$19,1,C441&gt;=P$20,2,C441&lt;P$20,3)</f>
        <v>1</v>
      </c>
      <c r="H441" s="43"/>
      <c r="I441" s="44"/>
      <c r="Y441" s="26"/>
    </row>
    <row r="442" spans="1:25" s="29" customFormat="1" ht="12" customHeight="1">
      <c r="A442" s="96" t="s">
        <v>1504</v>
      </c>
      <c r="B442" s="97" t="s">
        <v>1505</v>
      </c>
      <c r="C442" s="27">
        <v>88.3</v>
      </c>
      <c r="D442" s="27">
        <v>0.17652899999999999</v>
      </c>
      <c r="E442" s="59"/>
      <c r="F442" s="29" cm="1">
        <f t="array" ref="F442">_xlfn.IFS(C442=":",":",C442&gt;=P$19,1,C442&gt;=P$20,2,C442&lt;P$20,3)</f>
        <v>1</v>
      </c>
      <c r="H442" s="43"/>
      <c r="I442" s="44"/>
      <c r="Y442" s="26"/>
    </row>
    <row r="443" spans="1:25" s="29" customFormat="1" ht="12" customHeight="1">
      <c r="A443" s="96" t="s">
        <v>1506</v>
      </c>
      <c r="B443" s="97" t="s">
        <v>1507</v>
      </c>
      <c r="C443" s="27">
        <v>86.9</v>
      </c>
      <c r="D443" s="27">
        <v>0.36878499999999997</v>
      </c>
      <c r="E443" s="59"/>
      <c r="F443" s="29" cm="1">
        <f t="array" ref="F443">_xlfn.IFS(C443=":",":",C443&gt;=P$19,1,C443&gt;=P$20,2,C443&lt;P$20,3)</f>
        <v>1</v>
      </c>
      <c r="H443" s="43"/>
      <c r="I443" s="44"/>
      <c r="Y443" s="26"/>
    </row>
    <row r="444" spans="1:25" s="29" customFormat="1" ht="12" customHeight="1">
      <c r="A444" s="96" t="s">
        <v>1508</v>
      </c>
      <c r="B444" s="97" t="s">
        <v>1509</v>
      </c>
      <c r="C444" s="27" t="s">
        <v>546</v>
      </c>
      <c r="D444" s="27">
        <v>1.0677209999999999</v>
      </c>
      <c r="E444" s="59"/>
      <c r="F444" s="29" t="str" cm="1">
        <f t="array" ref="F444">_xlfn.IFS(C444=":",":",C444&gt;=P$19,1,C444&gt;=P$20,2,C444&lt;P$20,3)</f>
        <v>:</v>
      </c>
      <c r="H444" s="43"/>
      <c r="I444" s="44"/>
      <c r="Y444" s="26"/>
    </row>
    <row r="445" spans="1:25" s="29" customFormat="1" ht="12" customHeight="1">
      <c r="A445" s="96" t="s">
        <v>1510</v>
      </c>
      <c r="B445" s="97" t="s">
        <v>1511</v>
      </c>
      <c r="C445" s="27">
        <v>85.8</v>
      </c>
      <c r="D445" s="27">
        <v>0.13328499999999999</v>
      </c>
      <c r="E445" s="59"/>
      <c r="F445" s="29" cm="1">
        <f t="array" ref="F445">_xlfn.IFS(C445=":",":",C445&gt;=P$19,1,C445&gt;=P$20,2,C445&lt;P$20,3)</f>
        <v>1</v>
      </c>
      <c r="H445" s="43"/>
      <c r="I445" s="44"/>
      <c r="Y445" s="26"/>
    </row>
    <row r="446" spans="1:25" s="29" customFormat="1" ht="12" customHeight="1">
      <c r="A446" s="96" t="s">
        <v>1512</v>
      </c>
      <c r="B446" s="97" t="s">
        <v>1513</v>
      </c>
      <c r="C446" s="27">
        <v>87.8</v>
      </c>
      <c r="D446" s="27">
        <v>0.38375700000000001</v>
      </c>
      <c r="E446" s="59"/>
      <c r="F446" s="29" cm="1">
        <f t="array" ref="F446">_xlfn.IFS(C446=":",":",C446&gt;=P$19,1,C446&gt;=P$20,2,C446&lt;P$20,3)</f>
        <v>1</v>
      </c>
      <c r="H446" s="43"/>
      <c r="I446" s="44"/>
      <c r="Y446" s="26"/>
    </row>
    <row r="447" spans="1:25" s="29" customFormat="1" ht="12" customHeight="1">
      <c r="A447" s="96" t="s">
        <v>1515</v>
      </c>
      <c r="B447" s="97" t="s">
        <v>1516</v>
      </c>
      <c r="C447" s="27" t="s">
        <v>546</v>
      </c>
      <c r="D447" s="27">
        <v>0.75811300000000004</v>
      </c>
      <c r="E447" s="59"/>
      <c r="F447" s="29" t="str" cm="1">
        <f t="array" ref="F447">_xlfn.IFS(C447=":",":",C447&gt;=P$19,1,C447&gt;=P$20,2,C447&lt;P$20,3)</f>
        <v>:</v>
      </c>
      <c r="H447" s="43"/>
      <c r="I447" s="5"/>
      <c r="J447" s="5"/>
      <c r="K447" s="5"/>
      <c r="L447" s="5"/>
      <c r="M447" s="5"/>
      <c r="Y447" s="26"/>
    </row>
    <row r="448" spans="1:25" s="29" customFormat="1" ht="12" customHeight="1">
      <c r="A448" s="96" t="s">
        <v>1517</v>
      </c>
      <c r="B448" s="97" t="s">
        <v>1518</v>
      </c>
      <c r="C448" s="27">
        <v>95.8</v>
      </c>
      <c r="D448" s="27">
        <v>0.25041999999999998</v>
      </c>
      <c r="E448" s="59"/>
      <c r="F448" s="29" cm="1">
        <f t="array" ref="F448">_xlfn.IFS(C448=":",":",C448&gt;=P$19,1,C448&gt;=P$20,2,C448&lt;P$20,3)</f>
        <v>1</v>
      </c>
      <c r="H448" s="43"/>
      <c r="I448" s="44"/>
      <c r="Y448" s="26"/>
    </row>
    <row r="449" spans="1:25" s="29" customFormat="1" ht="12" customHeight="1">
      <c r="A449" s="96" t="s">
        <v>1519</v>
      </c>
      <c r="B449" s="97" t="s">
        <v>1520</v>
      </c>
      <c r="C449" s="27">
        <v>95.6</v>
      </c>
      <c r="D449" s="27">
        <v>0.173069</v>
      </c>
      <c r="E449" s="59"/>
      <c r="F449" s="29" cm="1">
        <f t="array" ref="F449">_xlfn.IFS(C449=":",":",C449&gt;=P$19,1,C449&gt;=P$20,2,C449&lt;P$20,3)</f>
        <v>1</v>
      </c>
      <c r="H449" s="43"/>
      <c r="I449" s="44"/>
      <c r="Y449" s="26"/>
    </row>
    <row r="450" spans="1:25" s="29" customFormat="1" ht="12" customHeight="1">
      <c r="A450" s="96" t="s">
        <v>1521</v>
      </c>
      <c r="B450" s="97" t="s">
        <v>1522</v>
      </c>
      <c r="C450" s="27">
        <v>96.1</v>
      </c>
      <c r="D450" s="27">
        <v>0.26835399999999998</v>
      </c>
      <c r="E450" s="59"/>
      <c r="F450" s="29" cm="1">
        <f t="array" ref="F450">_xlfn.IFS(C450=":",":",C450&gt;=P$19,1,C450&gt;=P$20,2,C450&lt;P$20,3)</f>
        <v>1</v>
      </c>
      <c r="H450" s="43"/>
      <c r="I450" s="44"/>
      <c r="Y450" s="26"/>
    </row>
    <row r="451" spans="1:25" s="29" customFormat="1" ht="12" customHeight="1">
      <c r="A451" s="96" t="s">
        <v>1523</v>
      </c>
      <c r="B451" s="97" t="s">
        <v>1524</v>
      </c>
      <c r="C451" s="27">
        <v>97.6</v>
      </c>
      <c r="D451" s="27">
        <v>0.209286</v>
      </c>
      <c r="E451" s="59"/>
      <c r="F451" s="29" cm="1">
        <f t="array" ref="F451">_xlfn.IFS(C451=":",":",C451&gt;=P$19,1,C451&gt;=P$20,2,C451&lt;P$20,3)</f>
        <v>1</v>
      </c>
      <c r="H451" s="43"/>
      <c r="I451" s="44"/>
      <c r="Y451" s="26"/>
    </row>
    <row r="452" spans="1:25" s="29" customFormat="1" ht="12" customHeight="1">
      <c r="A452" s="96" t="s">
        <v>1526</v>
      </c>
      <c r="B452" s="97" t="s">
        <v>1527</v>
      </c>
      <c r="C452" s="27">
        <v>95.1</v>
      </c>
      <c r="D452" s="27">
        <v>0.84290699999999996</v>
      </c>
      <c r="E452" s="59"/>
      <c r="F452" s="29" cm="1">
        <f t="array" ref="F452">_xlfn.IFS(C452=":",":",C452&gt;=P$19,1,C452&gt;=P$20,2,C452&lt;P$20,3)</f>
        <v>1</v>
      </c>
      <c r="H452" s="43"/>
      <c r="Y452" s="26"/>
    </row>
    <row r="453" spans="1:25" s="29" customFormat="1" ht="12" customHeight="1">
      <c r="A453" s="96" t="s">
        <v>1528</v>
      </c>
      <c r="B453" s="97" t="s">
        <v>1529</v>
      </c>
      <c r="C453" s="27">
        <v>89.3</v>
      </c>
      <c r="D453" s="27">
        <v>9.1886999999999996E-2</v>
      </c>
      <c r="E453" s="59"/>
      <c r="F453" s="29" cm="1">
        <f t="array" ref="F453">_xlfn.IFS(C453=":",":",C453&gt;=P$19,1,C453&gt;=P$20,2,C453&lt;P$20,3)</f>
        <v>1</v>
      </c>
      <c r="H453" s="43"/>
      <c r="Y453" s="26"/>
    </row>
    <row r="454" spans="1:25" s="29" customFormat="1" ht="12" customHeight="1">
      <c r="A454" s="96" t="s">
        <v>1530</v>
      </c>
      <c r="B454" s="97" t="s">
        <v>1531</v>
      </c>
      <c r="C454" s="27" t="s">
        <v>546</v>
      </c>
      <c r="D454" s="27">
        <v>0.26311299999999999</v>
      </c>
      <c r="E454" s="59"/>
      <c r="F454" s="29" t="str" cm="1">
        <f t="array" ref="F454">_xlfn.IFS(C454=":",":",C454&gt;=P$19,1,C454&gt;=P$20,2,C454&lt;P$20,3)</f>
        <v>:</v>
      </c>
      <c r="H454" s="43"/>
      <c r="Y454" s="26"/>
    </row>
    <row r="455" spans="1:25" s="29" customFormat="1" ht="12" customHeight="1">
      <c r="A455" s="96" t="s">
        <v>1533</v>
      </c>
      <c r="B455" s="97" t="s">
        <v>1534</v>
      </c>
      <c r="C455" s="27">
        <v>94.3</v>
      </c>
      <c r="D455" s="27">
        <v>0.31116500000000002</v>
      </c>
      <c r="E455" s="59"/>
      <c r="F455" s="29" cm="1">
        <f t="array" ref="F455">_xlfn.IFS(C455=":",":",C455&gt;=P$19,1,C455&gt;=P$20,2,C455&lt;P$20,3)</f>
        <v>1</v>
      </c>
      <c r="H455" s="43"/>
      <c r="Y455" s="26"/>
    </row>
    <row r="456" spans="1:25" s="29" customFormat="1" ht="12" customHeight="1">
      <c r="A456" s="96" t="s">
        <v>1537</v>
      </c>
      <c r="B456" s="97" t="s">
        <v>1538</v>
      </c>
      <c r="C456" s="27">
        <v>94.4</v>
      </c>
      <c r="D456" s="27">
        <v>0.18471799999999999</v>
      </c>
      <c r="E456" s="59"/>
      <c r="F456" s="29" cm="1">
        <f t="array" ref="F456">_xlfn.IFS(C456=":",":",C456&gt;=P$19,1,C456&gt;=P$20,2,C456&lt;P$20,3)</f>
        <v>1</v>
      </c>
      <c r="H456" s="43"/>
      <c r="I456" s="44"/>
      <c r="Y456" s="26"/>
    </row>
    <row r="457" spans="1:25" s="29" customFormat="1" ht="12" customHeight="1">
      <c r="A457" s="96" t="s">
        <v>1539</v>
      </c>
      <c r="B457" s="97" t="s">
        <v>1540</v>
      </c>
      <c r="C457" s="27">
        <v>94.5</v>
      </c>
      <c r="D457" s="27">
        <v>0.42315799999999998</v>
      </c>
      <c r="E457" s="59"/>
      <c r="F457" s="29" cm="1">
        <f t="array" ref="F457">_xlfn.IFS(C457=":",":",C457&gt;=P$19,1,C457&gt;=P$20,2,C457&lt;P$20,3)</f>
        <v>1</v>
      </c>
      <c r="H457" s="43"/>
      <c r="I457" s="44"/>
      <c r="Y457" s="26"/>
    </row>
    <row r="458" spans="1:25" s="29" customFormat="1" ht="12" customHeight="1">
      <c r="A458" s="96" t="s">
        <v>1541</v>
      </c>
      <c r="B458" s="97" t="s">
        <v>1542</v>
      </c>
      <c r="C458" s="27">
        <v>96.1</v>
      </c>
      <c r="D458" s="27">
        <v>0.162827</v>
      </c>
      <c r="E458" s="59"/>
      <c r="F458" s="29" cm="1">
        <f t="array" ref="F458">_xlfn.IFS(C458=":",":",C458&gt;=P$19,1,C458&gt;=P$20,2,C458&lt;P$20,3)</f>
        <v>1</v>
      </c>
      <c r="H458" s="43"/>
      <c r="I458" s="44"/>
      <c r="Y458" s="26"/>
    </row>
    <row r="459" spans="1:25" s="29" customFormat="1" ht="12" customHeight="1">
      <c r="A459" s="96" t="s">
        <v>1543</v>
      </c>
      <c r="B459" s="97" t="s">
        <v>1544</v>
      </c>
      <c r="C459" s="27">
        <v>95.5</v>
      </c>
      <c r="D459" s="27">
        <v>0.156747</v>
      </c>
      <c r="E459" s="59"/>
      <c r="F459" s="29" cm="1">
        <f t="array" ref="F459">_xlfn.IFS(C459=":",":",C459&gt;=P$19,1,C459&gt;=P$20,2,C459&lt;P$20,3)</f>
        <v>1</v>
      </c>
      <c r="H459" s="43"/>
      <c r="I459" s="44"/>
      <c r="Y459" s="26"/>
    </row>
    <row r="460" spans="1:25" s="29" customFormat="1" ht="12" customHeight="1">
      <c r="A460" s="96" t="s">
        <v>3044</v>
      </c>
      <c r="B460" s="97" t="s">
        <v>1525</v>
      </c>
      <c r="C460" s="27" t="s">
        <v>546</v>
      </c>
      <c r="D460" s="27">
        <v>0.74038599999999999</v>
      </c>
      <c r="E460" s="59"/>
      <c r="F460" s="29" t="str" cm="1">
        <f t="array" ref="F460">_xlfn.IFS(C460=":",":",C460&gt;=P$19,1,C460&gt;=P$20,2,C460&lt;P$20,3)</f>
        <v>:</v>
      </c>
      <c r="H460" s="43"/>
      <c r="I460" s="44"/>
      <c r="Y460" s="26"/>
    </row>
    <row r="461" spans="1:25" s="29" customFormat="1" ht="12" customHeight="1">
      <c r="A461" s="96" t="s">
        <v>3045</v>
      </c>
      <c r="B461" s="97" t="s">
        <v>1545</v>
      </c>
      <c r="C461" s="27">
        <v>91.7</v>
      </c>
      <c r="D461" s="27">
        <v>0.68064199999999997</v>
      </c>
      <c r="E461" s="59"/>
      <c r="F461" s="29" cm="1">
        <f t="array" ref="F461">_xlfn.IFS(C461=":",":",C461&gt;=P$19,1,C461&gt;=P$20,2,C461&lt;P$20,3)</f>
        <v>1</v>
      </c>
      <c r="H461" s="43"/>
      <c r="I461" s="44"/>
      <c r="Y461" s="26"/>
    </row>
    <row r="462" spans="1:25" s="29" customFormat="1" ht="12" customHeight="1">
      <c r="A462" s="96" t="s">
        <v>3046</v>
      </c>
      <c r="B462" s="97" t="s">
        <v>1514</v>
      </c>
      <c r="C462" s="27">
        <v>95.5</v>
      </c>
      <c r="D462" s="27">
        <v>0.18846099999999999</v>
      </c>
      <c r="E462" s="59"/>
      <c r="F462" s="29" cm="1">
        <f t="array" ref="F462">_xlfn.IFS(C462=":",":",C462&gt;=P$19,1,C462&gt;=P$20,2,C462&lt;P$20,3)</f>
        <v>1</v>
      </c>
      <c r="H462" s="43"/>
      <c r="I462" s="44"/>
      <c r="Y462" s="26"/>
    </row>
    <row r="463" spans="1:25" s="29" customFormat="1" ht="12" customHeight="1">
      <c r="A463" s="96" t="s">
        <v>3047</v>
      </c>
      <c r="B463" s="97" t="s">
        <v>1532</v>
      </c>
      <c r="C463" s="27" t="s">
        <v>546</v>
      </c>
      <c r="D463" s="27">
        <v>0.36921100000000001</v>
      </c>
      <c r="E463" s="59"/>
      <c r="F463" s="29" t="str" cm="1">
        <f t="array" ref="F463">_xlfn.IFS(C463=":",":",C463&gt;=P$19,1,C463&gt;=P$20,2,C463&lt;P$20,3)</f>
        <v>:</v>
      </c>
      <c r="H463" s="43"/>
      <c r="I463" s="44"/>
      <c r="Y463" s="26"/>
    </row>
    <row r="464" spans="1:25" s="29" customFormat="1" ht="12" customHeight="1">
      <c r="A464" s="96" t="s">
        <v>3048</v>
      </c>
      <c r="B464" s="97" t="s">
        <v>1536</v>
      </c>
      <c r="C464" s="27">
        <v>95.1</v>
      </c>
      <c r="D464" s="27">
        <v>0.34242600000000001</v>
      </c>
      <c r="E464" s="59"/>
      <c r="F464" s="29" cm="1">
        <f t="array" ref="F464">_xlfn.IFS(C464=":",":",C464&gt;=P$19,1,C464&gt;=P$20,2,C464&lt;P$20,3)</f>
        <v>1</v>
      </c>
      <c r="H464" s="43"/>
      <c r="I464" s="44"/>
      <c r="Y464" s="26"/>
    </row>
    <row r="465" spans="1:25" s="29" customFormat="1" ht="12" customHeight="1">
      <c r="A465" s="96" t="s">
        <v>3049</v>
      </c>
      <c r="B465" s="97" t="s">
        <v>1535</v>
      </c>
      <c r="C465" s="27">
        <v>92.1</v>
      </c>
      <c r="D465" s="27">
        <v>0.123691</v>
      </c>
      <c r="E465" s="43">
        <v>2023</v>
      </c>
      <c r="F465" s="29" cm="1">
        <f t="array" ref="F465">_xlfn.IFS(C465=":",":",C465&gt;=P$19,1,C465&gt;=P$20,2,C465&lt;P$20,3)</f>
        <v>1</v>
      </c>
      <c r="H465" s="43"/>
      <c r="I465" s="44"/>
      <c r="Y465" s="26"/>
    </row>
    <row r="466" spans="1:25" s="29" customFormat="1" ht="12" customHeight="1">
      <c r="A466" s="96" t="s">
        <v>1546</v>
      </c>
      <c r="B466" s="97" t="s">
        <v>1547</v>
      </c>
      <c r="C466" s="27">
        <v>26.4</v>
      </c>
      <c r="D466" s="27">
        <v>3.5762179999999999</v>
      </c>
      <c r="E466" s="59"/>
      <c r="F466" s="29" cm="1">
        <f t="array" ref="F466">_xlfn.IFS(C466=":",":",C466&gt;=P$19,1,C466&gt;=P$20,2,C466&lt;P$20,3)</f>
        <v>3</v>
      </c>
      <c r="H466" s="43"/>
      <c r="I466" s="44"/>
      <c r="Y466" s="26"/>
    </row>
    <row r="467" spans="1:25" s="29" customFormat="1" ht="12" customHeight="1">
      <c r="A467" s="96" t="s">
        <v>1548</v>
      </c>
      <c r="B467" s="97" t="s">
        <v>1549</v>
      </c>
      <c r="C467" s="27">
        <v>57.6</v>
      </c>
      <c r="D467" s="27">
        <v>1.380385</v>
      </c>
      <c r="E467" s="59"/>
      <c r="F467" s="29" cm="1">
        <f t="array" ref="F467">_xlfn.IFS(C467=":",":",C467&gt;=P$19,1,C467&gt;=P$20,2,C467&lt;P$20,3)</f>
        <v>2</v>
      </c>
      <c r="H467" s="43"/>
      <c r="I467" s="44"/>
      <c r="Y467" s="26"/>
    </row>
    <row r="468" spans="1:25" s="29" customFormat="1" ht="12" customHeight="1">
      <c r="A468" s="96" t="s">
        <v>1550</v>
      </c>
      <c r="B468" s="97" t="s">
        <v>1551</v>
      </c>
      <c r="C468" s="27">
        <v>68.900000000000006</v>
      </c>
      <c r="D468" s="27">
        <v>1.017177</v>
      </c>
      <c r="E468" s="59"/>
      <c r="F468" s="29" cm="1">
        <f t="array" ref="F468">_xlfn.IFS(C468=":",":",C468&gt;=P$19,1,C468&gt;=P$20,2,C468&lt;P$20,3)</f>
        <v>1</v>
      </c>
      <c r="H468" s="43"/>
      <c r="I468" s="44"/>
      <c r="Y468" s="26"/>
    </row>
    <row r="469" spans="1:25" s="29" customFormat="1" ht="12" customHeight="1">
      <c r="A469" s="96" t="s">
        <v>1552</v>
      </c>
      <c r="B469" s="97" t="s">
        <v>1553</v>
      </c>
      <c r="C469" s="27">
        <v>78.3</v>
      </c>
      <c r="D469" s="27">
        <v>0.29021400000000003</v>
      </c>
      <c r="E469" s="59"/>
      <c r="F469" s="29" cm="1">
        <f t="array" ref="F469">_xlfn.IFS(C469=":",":",C469&gt;=P$19,1,C469&gt;=P$20,2,C469&lt;P$20,3)</f>
        <v>1</v>
      </c>
      <c r="H469" s="43"/>
      <c r="I469" s="44"/>
      <c r="Y469" s="26"/>
    </row>
    <row r="470" spans="1:25" s="29" customFormat="1" ht="12" customHeight="1">
      <c r="A470" s="96" t="s">
        <v>1554</v>
      </c>
      <c r="B470" s="97" t="s">
        <v>1555</v>
      </c>
      <c r="C470" s="27">
        <v>81.5</v>
      </c>
      <c r="D470" s="27">
        <v>0.38191399999999998</v>
      </c>
      <c r="E470" s="59"/>
      <c r="F470" s="29" cm="1">
        <f t="array" ref="F470">_xlfn.IFS(C470=":",":",C470&gt;=P$19,1,C470&gt;=P$20,2,C470&lt;P$20,3)</f>
        <v>1</v>
      </c>
      <c r="H470" s="43"/>
      <c r="I470" s="44"/>
      <c r="Y470" s="26"/>
    </row>
    <row r="471" spans="1:25" s="29" customFormat="1" ht="12" customHeight="1">
      <c r="A471" s="96" t="s">
        <v>1556</v>
      </c>
      <c r="B471" s="97" t="s">
        <v>1557</v>
      </c>
      <c r="C471" s="27">
        <v>37.1</v>
      </c>
      <c r="D471" s="27">
        <v>6.5622990000000003</v>
      </c>
      <c r="E471" s="59"/>
      <c r="F471" s="29" cm="1">
        <f t="array" ref="F471">_xlfn.IFS(C471=":",":",C471&gt;=P$19,1,C471&gt;=P$20,2,C471&lt;P$20,3)</f>
        <v>2</v>
      </c>
      <c r="H471" s="43"/>
      <c r="I471" s="44"/>
      <c r="Y471" s="26"/>
    </row>
    <row r="472" spans="1:25" s="29" customFormat="1" ht="12" customHeight="1">
      <c r="A472" s="96" t="s">
        <v>1558</v>
      </c>
      <c r="B472" s="97" t="s">
        <v>1559</v>
      </c>
      <c r="C472" s="27">
        <v>53</v>
      </c>
      <c r="D472" s="27">
        <v>5.6929819999999998</v>
      </c>
      <c r="E472" s="59"/>
      <c r="F472" s="29" cm="1">
        <f t="array" ref="F472">_xlfn.IFS(C472=":",":",C472&gt;=P$19,1,C472&gt;=P$20,2,C472&lt;P$20,3)</f>
        <v>2</v>
      </c>
      <c r="H472" s="43"/>
      <c r="I472" s="44"/>
      <c r="Y472" s="26"/>
    </row>
    <row r="473" spans="1:25" s="29" customFormat="1" ht="12" customHeight="1">
      <c r="A473" s="96" t="s">
        <v>1560</v>
      </c>
      <c r="B473" s="97" t="s">
        <v>2820</v>
      </c>
      <c r="C473" s="27">
        <v>49.9</v>
      </c>
      <c r="D473" s="27">
        <v>3.3239320000000001</v>
      </c>
      <c r="E473" s="59"/>
      <c r="F473" s="29" cm="1">
        <f t="array" ref="F473">_xlfn.IFS(C473=":",":",C473&gt;=P$19,1,C473&gt;=P$20,2,C473&lt;P$20,3)</f>
        <v>2</v>
      </c>
      <c r="H473" s="43"/>
      <c r="I473" s="44"/>
      <c r="Y473" s="26"/>
    </row>
    <row r="474" spans="1:25" s="29" customFormat="1" ht="12" customHeight="1">
      <c r="A474" s="96" t="s">
        <v>1561</v>
      </c>
      <c r="B474" s="97" t="s">
        <v>2870</v>
      </c>
      <c r="C474" s="27">
        <v>61.7</v>
      </c>
      <c r="D474" s="27">
        <v>3.4624869999999999</v>
      </c>
      <c r="E474" s="59"/>
      <c r="F474" s="29" cm="1">
        <f t="array" ref="F474">_xlfn.IFS(C474=":",":",C474&gt;=P$19,1,C474&gt;=P$20,2,C474&lt;P$20,3)</f>
        <v>2</v>
      </c>
      <c r="H474" s="43"/>
      <c r="I474" s="44"/>
      <c r="Y474" s="26"/>
    </row>
    <row r="475" spans="1:25" s="29" customFormat="1" ht="12" customHeight="1">
      <c r="A475" s="96" t="s">
        <v>1562</v>
      </c>
      <c r="B475" s="97" t="s">
        <v>2871</v>
      </c>
      <c r="C475" s="27">
        <v>48.1</v>
      </c>
      <c r="D475" s="27">
        <v>7.4870169999999998</v>
      </c>
      <c r="E475" s="59"/>
      <c r="F475" s="29" cm="1">
        <f t="array" ref="F475">_xlfn.IFS(C475=":",":",C475&gt;=P$19,1,C475&gt;=P$20,2,C475&lt;P$20,3)</f>
        <v>2</v>
      </c>
      <c r="H475" s="43"/>
      <c r="I475" s="44"/>
      <c r="Y475" s="26"/>
    </row>
    <row r="476" spans="1:25" s="29" customFormat="1" ht="12" customHeight="1">
      <c r="A476" s="96" t="s">
        <v>1563</v>
      </c>
      <c r="B476" s="97" t="s">
        <v>1564</v>
      </c>
      <c r="C476" s="27">
        <v>20.5</v>
      </c>
      <c r="D476" s="27">
        <v>10.856401</v>
      </c>
      <c r="E476" s="59"/>
      <c r="F476" s="29" cm="1">
        <f t="array" ref="F476">_xlfn.IFS(C476=":",":",C476&gt;=P$19,1,C476&gt;=P$20,2,C476&lt;P$20,3)</f>
        <v>3</v>
      </c>
      <c r="H476" s="43"/>
      <c r="I476" s="44"/>
      <c r="Y476" s="26"/>
    </row>
    <row r="477" spans="1:25" s="29" customFormat="1" ht="12" customHeight="1">
      <c r="A477" s="96" t="s">
        <v>1565</v>
      </c>
      <c r="B477" s="97" t="s">
        <v>1566</v>
      </c>
      <c r="C477" s="27">
        <v>53.8</v>
      </c>
      <c r="D477" s="27">
        <v>2.5472839999999999</v>
      </c>
      <c r="E477" s="59"/>
      <c r="F477" s="29" cm="1">
        <f t="array" ref="F477">_xlfn.IFS(C477=":",":",C477&gt;=P$19,1,C477&gt;=P$20,2,C477&lt;P$20,3)</f>
        <v>2</v>
      </c>
      <c r="H477" s="43"/>
      <c r="I477" s="44"/>
      <c r="Y477" s="26"/>
    </row>
    <row r="478" spans="1:25" s="29" customFormat="1" ht="12" customHeight="1">
      <c r="A478" s="96" t="s">
        <v>1567</v>
      </c>
      <c r="B478" s="97" t="s">
        <v>1568</v>
      </c>
      <c r="C478" s="27">
        <v>50.8</v>
      </c>
      <c r="D478" s="27">
        <v>1.745549</v>
      </c>
      <c r="E478" s="59"/>
      <c r="F478" s="29" cm="1">
        <f t="array" ref="F478">_xlfn.IFS(C478=":",":",C478&gt;=P$19,1,C478&gt;=P$20,2,C478&lt;P$20,3)</f>
        <v>2</v>
      </c>
      <c r="H478" s="43"/>
      <c r="I478" s="44"/>
      <c r="Y478" s="26"/>
    </row>
    <row r="479" spans="1:25" s="29" customFormat="1" ht="12" customHeight="1">
      <c r="A479" s="96" t="s">
        <v>1569</v>
      </c>
      <c r="B479" s="97" t="s">
        <v>1570</v>
      </c>
      <c r="C479" s="27">
        <v>54</v>
      </c>
      <c r="D479" s="27">
        <v>0.421518</v>
      </c>
      <c r="E479" s="59"/>
      <c r="F479" s="29" cm="1">
        <f t="array" ref="F479">_xlfn.IFS(C479=":",":",C479&gt;=P$19,1,C479&gt;=P$20,2,C479&lt;P$20,3)</f>
        <v>2</v>
      </c>
      <c r="H479" s="43"/>
      <c r="I479" s="44"/>
      <c r="Y479" s="26"/>
    </row>
    <row r="480" spans="1:25" s="29" customFormat="1" ht="12" customHeight="1">
      <c r="A480" s="96" t="s">
        <v>1571</v>
      </c>
      <c r="B480" s="97" t="s">
        <v>1572</v>
      </c>
      <c r="C480" s="27">
        <v>45.5</v>
      </c>
      <c r="D480" s="27">
        <v>3.5333000000000003E-2</v>
      </c>
      <c r="E480" s="59"/>
      <c r="F480" s="29" cm="1">
        <f t="array" ref="F480">_xlfn.IFS(C480=":",":",C480&gt;=P$19,1,C480&gt;=P$20,2,C480&lt;P$20,3)</f>
        <v>2</v>
      </c>
      <c r="H480" s="43"/>
      <c r="I480" s="44"/>
      <c r="Y480" s="26"/>
    </row>
    <row r="481" spans="1:25" s="29" customFormat="1" ht="12" customHeight="1">
      <c r="A481" s="96" t="s">
        <v>1573</v>
      </c>
      <c r="B481" s="97" t="s">
        <v>1574</v>
      </c>
      <c r="C481" s="27">
        <v>19</v>
      </c>
      <c r="D481" s="27">
        <v>7.9977270000000003</v>
      </c>
      <c r="E481" s="59"/>
      <c r="F481" s="29" cm="1">
        <f t="array" ref="F481">_xlfn.IFS(C481=":",":",C481&gt;=P$19,1,C481&gt;=P$20,2,C481&lt;P$20,3)</f>
        <v>3</v>
      </c>
      <c r="H481" s="43"/>
      <c r="I481" s="44"/>
      <c r="Y481" s="26"/>
    </row>
    <row r="482" spans="1:25" s="29" customFormat="1" ht="12" customHeight="1">
      <c r="A482" s="96" t="s">
        <v>1575</v>
      </c>
      <c r="B482" s="97" t="s">
        <v>1576</v>
      </c>
      <c r="C482" s="27">
        <v>34.1</v>
      </c>
      <c r="D482" s="27">
        <v>0.876884</v>
      </c>
      <c r="E482" s="59"/>
      <c r="F482" s="29" cm="1">
        <f t="array" ref="F482">_xlfn.IFS(C482=":",":",C482&gt;=P$19,1,C482&gt;=P$20,2,C482&lt;P$20,3)</f>
        <v>3</v>
      </c>
      <c r="H482" s="43"/>
      <c r="I482" s="44"/>
      <c r="Y482" s="26"/>
    </row>
    <row r="483" spans="1:25" s="29" customFormat="1" ht="12" customHeight="1">
      <c r="A483" s="96" t="s">
        <v>1577</v>
      </c>
      <c r="B483" s="97" t="s">
        <v>1578</v>
      </c>
      <c r="C483" s="27">
        <v>23.1</v>
      </c>
      <c r="D483" s="27">
        <v>1.5367980000000001</v>
      </c>
      <c r="E483" s="59"/>
      <c r="F483" s="29" cm="1">
        <f t="array" ref="F483">_xlfn.IFS(C483=":",":",C483&gt;=P$19,1,C483&gt;=P$20,2,C483&lt;P$20,3)</f>
        <v>3</v>
      </c>
      <c r="H483" s="43"/>
      <c r="I483" s="44"/>
      <c r="Y483" s="26"/>
    </row>
    <row r="484" spans="1:25" s="29" customFormat="1" ht="12" customHeight="1">
      <c r="A484" s="96" t="s">
        <v>1579</v>
      </c>
      <c r="B484" s="97" t="s">
        <v>1580</v>
      </c>
      <c r="C484" s="27">
        <v>24.9</v>
      </c>
      <c r="D484" s="27">
        <v>0.149449</v>
      </c>
      <c r="E484" s="59"/>
      <c r="F484" s="29" cm="1">
        <f t="array" ref="F484">_xlfn.IFS(C484=":",":",C484&gt;=P$19,1,C484&gt;=P$20,2,C484&lt;P$20,3)</f>
        <v>3</v>
      </c>
      <c r="H484" s="43"/>
      <c r="I484" s="44"/>
      <c r="Y484" s="26"/>
    </row>
    <row r="485" spans="1:25" s="29" customFormat="1" ht="12" customHeight="1">
      <c r="A485" s="96" t="s">
        <v>1581</v>
      </c>
      <c r="B485" s="97" t="s">
        <v>1582</v>
      </c>
      <c r="C485" s="27">
        <v>44.8</v>
      </c>
      <c r="D485" s="27">
        <v>1.724923</v>
      </c>
      <c r="E485" s="59"/>
      <c r="F485" s="29" cm="1">
        <f t="array" ref="F485">_xlfn.IFS(C485=":",":",C485&gt;=P$19,1,C485&gt;=P$20,2,C485&lt;P$20,3)</f>
        <v>2</v>
      </c>
      <c r="H485" s="43"/>
      <c r="I485" s="44"/>
      <c r="Y485" s="26"/>
    </row>
    <row r="486" spans="1:25" s="29" customFormat="1" ht="12" customHeight="1">
      <c r="A486" s="96" t="s">
        <v>1583</v>
      </c>
      <c r="B486" s="97" t="s">
        <v>1584</v>
      </c>
      <c r="C486" s="27">
        <v>32</v>
      </c>
      <c r="D486" s="27">
        <v>1.262357</v>
      </c>
      <c r="E486" s="59"/>
      <c r="F486" s="29" cm="1">
        <f t="array" ref="F486">_xlfn.IFS(C486=":",":",C486&gt;=P$19,1,C486&gt;=P$20,2,C486&lt;P$20,3)</f>
        <v>3</v>
      </c>
      <c r="H486" s="43"/>
      <c r="I486" s="44"/>
      <c r="Y486" s="26"/>
    </row>
    <row r="487" spans="1:25" s="29" customFormat="1" ht="12" customHeight="1">
      <c r="A487" s="96" t="s">
        <v>1585</v>
      </c>
      <c r="B487" s="97" t="s">
        <v>1586</v>
      </c>
      <c r="C487" s="27">
        <v>14.1</v>
      </c>
      <c r="D487" s="27">
        <v>1.377316</v>
      </c>
      <c r="E487" s="59"/>
      <c r="F487" s="29" cm="1">
        <f t="array" ref="F487">_xlfn.IFS(C487=":",":",C487&gt;=P$19,1,C487&gt;=P$20,2,C487&lt;P$20,3)</f>
        <v>3</v>
      </c>
      <c r="H487" s="43"/>
      <c r="I487" s="44"/>
      <c r="Y487" s="26"/>
    </row>
    <row r="488" spans="1:25" s="29" customFormat="1" ht="12" customHeight="1">
      <c r="A488" s="96" t="s">
        <v>1587</v>
      </c>
      <c r="B488" s="97" t="s">
        <v>1588</v>
      </c>
      <c r="C488" s="27">
        <v>42.8</v>
      </c>
      <c r="D488" s="27">
        <v>0.34495900000000002</v>
      </c>
      <c r="E488" s="59"/>
      <c r="F488" s="29" cm="1">
        <f t="array" ref="F488">_xlfn.IFS(C488=":",":",C488&gt;=P$19,1,C488&gt;=P$20,2,C488&lt;P$20,3)</f>
        <v>2</v>
      </c>
      <c r="H488" s="43"/>
      <c r="I488" s="44"/>
      <c r="Y488" s="26"/>
    </row>
    <row r="489" spans="1:25" s="29" customFormat="1" ht="12" customHeight="1">
      <c r="A489" s="96" t="s">
        <v>1589</v>
      </c>
      <c r="B489" s="97" t="s">
        <v>3021</v>
      </c>
      <c r="C489" s="27">
        <v>3.9</v>
      </c>
      <c r="D489" s="27">
        <v>28.745135999999999</v>
      </c>
      <c r="E489" s="59"/>
      <c r="F489" s="29" cm="1">
        <f t="array" ref="F489">_xlfn.IFS(C489=":",":",C489&gt;=P$19,1,C489&gt;=P$20,2,C489&lt;P$20,3)</f>
        <v>3</v>
      </c>
      <c r="H489" s="43"/>
      <c r="I489" s="44"/>
      <c r="Y489" s="26"/>
    </row>
    <row r="490" spans="1:25" s="29" customFormat="1" ht="12" customHeight="1">
      <c r="A490" s="96" t="s">
        <v>1590</v>
      </c>
      <c r="B490" s="97" t="s">
        <v>2821</v>
      </c>
      <c r="C490" s="27">
        <v>16.5</v>
      </c>
      <c r="D490" s="27">
        <v>12.755330000000001</v>
      </c>
      <c r="E490" s="59"/>
      <c r="F490" s="29" cm="1">
        <f t="array" ref="F490">_xlfn.IFS(C490=":",":",C490&gt;=P$19,1,C490&gt;=P$20,2,C490&lt;P$20,3)</f>
        <v>3</v>
      </c>
      <c r="H490" s="43"/>
      <c r="I490" s="44"/>
      <c r="Y490" s="26"/>
    </row>
    <row r="491" spans="1:25" s="29" customFormat="1" ht="12" customHeight="1">
      <c r="A491" s="96" t="s">
        <v>1591</v>
      </c>
      <c r="B491" s="97" t="s">
        <v>1592</v>
      </c>
      <c r="C491" s="27">
        <v>4</v>
      </c>
      <c r="D491" s="27">
        <v>14.052273</v>
      </c>
      <c r="E491" s="59"/>
      <c r="F491" s="29" cm="1">
        <f t="array" ref="F491">_xlfn.IFS(C491=":",":",C491&gt;=P$19,1,C491&gt;=P$20,2,C491&lt;P$20,3)</f>
        <v>3</v>
      </c>
      <c r="H491" s="43"/>
      <c r="I491" s="44"/>
      <c r="Y491" s="26"/>
    </row>
    <row r="492" spans="1:25" s="29" customFormat="1" ht="12" customHeight="1">
      <c r="A492" s="96" t="s">
        <v>1593</v>
      </c>
      <c r="B492" s="97" t="s">
        <v>1594</v>
      </c>
      <c r="C492" s="27">
        <v>5.8</v>
      </c>
      <c r="D492" s="27">
        <v>4.1005609999999999</v>
      </c>
      <c r="E492" s="59"/>
      <c r="F492" s="29" cm="1">
        <f t="array" ref="F492">_xlfn.IFS(C492=":",":",C492&gt;=P$19,1,C492&gt;=P$20,2,C492&lt;P$20,3)</f>
        <v>3</v>
      </c>
      <c r="H492" s="43"/>
      <c r="I492" s="44"/>
      <c r="Y492" s="26"/>
    </row>
    <row r="493" spans="1:25" s="29" customFormat="1" ht="12" customHeight="1">
      <c r="A493" s="100" t="s">
        <v>1595</v>
      </c>
      <c r="B493" s="99" t="s">
        <v>1596</v>
      </c>
      <c r="C493" s="27">
        <v>5.8</v>
      </c>
      <c r="D493" s="27">
        <v>6.6926170000000003</v>
      </c>
      <c r="E493" s="59"/>
      <c r="F493" s="29" cm="1">
        <f t="array" ref="F493">_xlfn.IFS(C493=":",":",C493&gt;=P$19,1,C493&gt;=P$20,2,C493&lt;P$20,3)</f>
        <v>3</v>
      </c>
      <c r="H493" s="43"/>
      <c r="I493" s="44"/>
      <c r="Y493" s="26"/>
    </row>
    <row r="494" spans="1:25" s="29" customFormat="1" ht="12" customHeight="1">
      <c r="A494" s="100" t="s">
        <v>1597</v>
      </c>
      <c r="B494" s="99" t="s">
        <v>1598</v>
      </c>
      <c r="C494" s="27">
        <v>7.6</v>
      </c>
      <c r="D494" s="27">
        <v>9.6931279999999997</v>
      </c>
      <c r="E494" s="59"/>
      <c r="F494" s="29" cm="1">
        <f t="array" ref="F494">_xlfn.IFS(C494=":",":",C494&gt;=P$19,1,C494&gt;=P$20,2,C494&lt;P$20,3)</f>
        <v>3</v>
      </c>
      <c r="H494" s="43"/>
      <c r="I494" s="44"/>
      <c r="Y494" s="26"/>
    </row>
    <row r="495" spans="1:25" s="29" customFormat="1" ht="12" customHeight="1">
      <c r="A495" s="100" t="s">
        <v>1599</v>
      </c>
      <c r="B495" s="99" t="s">
        <v>1600</v>
      </c>
      <c r="C495" s="27">
        <v>49.9</v>
      </c>
      <c r="D495" s="27">
        <v>0.59001099999999995</v>
      </c>
      <c r="E495" s="59"/>
      <c r="F495" s="29" cm="1">
        <f t="array" ref="F495">_xlfn.IFS(C495=":",":",C495&gt;=P$19,1,C495&gt;=P$20,2,C495&lt;P$20,3)</f>
        <v>2</v>
      </c>
      <c r="H495" s="43"/>
      <c r="I495" s="44"/>
      <c r="Y495" s="26"/>
    </row>
    <row r="496" spans="1:25" s="29" customFormat="1" ht="12" customHeight="1">
      <c r="A496" s="100" t="s">
        <v>1601</v>
      </c>
      <c r="B496" s="99" t="s">
        <v>1602</v>
      </c>
      <c r="C496" s="27">
        <v>73.8</v>
      </c>
      <c r="D496" s="27">
        <v>0.17391999999999999</v>
      </c>
      <c r="E496" s="59"/>
      <c r="F496" s="29" cm="1">
        <f t="array" ref="F496">_xlfn.IFS(C496=":",":",C496&gt;=P$19,1,C496&gt;=P$20,2,C496&lt;P$20,3)</f>
        <v>1</v>
      </c>
      <c r="H496" s="43"/>
      <c r="I496" s="44"/>
      <c r="Y496" s="26"/>
    </row>
    <row r="497" spans="1:25" s="29" customFormat="1" ht="12" customHeight="1">
      <c r="A497" s="100" t="s">
        <v>1603</v>
      </c>
      <c r="B497" s="99" t="s">
        <v>1604</v>
      </c>
      <c r="C497" s="27">
        <v>67.400000000000006</v>
      </c>
      <c r="D497" s="27">
        <v>0.197884</v>
      </c>
      <c r="E497" s="59"/>
      <c r="F497" s="29" cm="1">
        <f t="array" ref="F497">_xlfn.IFS(C497=":",":",C497&gt;=P$19,1,C497&gt;=P$20,2,C497&lt;P$20,3)</f>
        <v>1</v>
      </c>
      <c r="H497" s="43"/>
      <c r="I497" s="44"/>
      <c r="Y497" s="26"/>
    </row>
    <row r="498" spans="1:25" s="29" customFormat="1" ht="12" customHeight="1">
      <c r="A498" s="100" t="s">
        <v>1605</v>
      </c>
      <c r="B498" s="99" t="s">
        <v>1606</v>
      </c>
      <c r="C498" s="27">
        <v>81</v>
      </c>
      <c r="D498" s="27">
        <v>9.1156000000000001E-2</v>
      </c>
      <c r="E498" s="59"/>
      <c r="F498" s="29" cm="1">
        <f t="array" ref="F498">_xlfn.IFS(C498=":",":",C498&gt;=P$19,1,C498&gt;=P$20,2,C498&lt;P$20,3)</f>
        <v>1</v>
      </c>
      <c r="H498" s="43"/>
      <c r="I498" s="44"/>
      <c r="Y498" s="26"/>
    </row>
    <row r="499" spans="1:25" s="29" customFormat="1" ht="12" customHeight="1">
      <c r="A499" s="96" t="s">
        <v>1607</v>
      </c>
      <c r="B499" s="97" t="s">
        <v>1608</v>
      </c>
      <c r="C499" s="27">
        <v>13.8</v>
      </c>
      <c r="D499" s="27">
        <v>2.7998959999999999</v>
      </c>
      <c r="E499" s="59"/>
      <c r="F499" s="29" cm="1">
        <f t="array" ref="F499">_xlfn.IFS(C499=":",":",C499&gt;=P$19,1,C499&gt;=P$20,2,C499&lt;P$20,3)</f>
        <v>3</v>
      </c>
      <c r="H499" s="43"/>
      <c r="I499" s="44"/>
      <c r="Y499" s="26"/>
    </row>
    <row r="500" spans="1:25" s="29" customFormat="1" ht="12" customHeight="1">
      <c r="A500" s="96" t="s">
        <v>1609</v>
      </c>
      <c r="B500" s="97" t="s">
        <v>1610</v>
      </c>
      <c r="C500" s="27">
        <v>47.4</v>
      </c>
      <c r="D500" s="27">
        <v>0.15509999999999999</v>
      </c>
      <c r="E500" s="59"/>
      <c r="F500" s="29" cm="1">
        <f t="array" ref="F500">_xlfn.IFS(C500=":",":",C500&gt;=P$19,1,C500&gt;=P$20,2,C500&lt;P$20,3)</f>
        <v>2</v>
      </c>
      <c r="H500" s="43"/>
      <c r="I500" s="44"/>
      <c r="Y500" s="26"/>
    </row>
    <row r="501" spans="1:25" s="29" customFormat="1" ht="12" customHeight="1">
      <c r="A501" s="96" t="s">
        <v>1611</v>
      </c>
      <c r="B501" s="97" t="s">
        <v>1612</v>
      </c>
      <c r="C501" s="27">
        <v>39.5</v>
      </c>
      <c r="D501" s="27">
        <v>3.8014640000000002</v>
      </c>
      <c r="E501" s="59"/>
      <c r="F501" s="29" cm="1">
        <f t="array" ref="F501">_xlfn.IFS(C501=":",":",C501&gt;=P$19,1,C501&gt;=P$20,2,C501&lt;P$20,3)</f>
        <v>2</v>
      </c>
      <c r="H501" s="43"/>
      <c r="I501" s="44"/>
      <c r="Y501" s="26"/>
    </row>
    <row r="502" spans="1:25" s="29" customFormat="1" ht="12" customHeight="1">
      <c r="A502" s="96" t="s">
        <v>1613</v>
      </c>
      <c r="B502" s="97" t="s">
        <v>1614</v>
      </c>
      <c r="C502" s="27">
        <v>24.2</v>
      </c>
      <c r="D502" s="27">
        <v>0.13123099999999999</v>
      </c>
      <c r="E502" s="59"/>
      <c r="F502" s="29" cm="1">
        <f t="array" ref="F502">_xlfn.IFS(C502=":",":",C502&gt;=P$19,1,C502&gt;=P$20,2,C502&lt;P$20,3)</f>
        <v>3</v>
      </c>
      <c r="H502" s="43"/>
      <c r="I502" s="44"/>
      <c r="Y502" s="26"/>
    </row>
    <row r="503" spans="1:25" s="29" customFormat="1" ht="12" customHeight="1">
      <c r="A503" s="96" t="s">
        <v>1615</v>
      </c>
      <c r="B503" s="97" t="s">
        <v>1616</v>
      </c>
      <c r="C503" s="27">
        <v>88.6</v>
      </c>
      <c r="D503" s="27">
        <v>0.233769</v>
      </c>
      <c r="E503" s="59"/>
      <c r="F503" s="29" cm="1">
        <f t="array" ref="F503">_xlfn.IFS(C503=":",":",C503&gt;=P$19,1,C503&gt;=P$20,2,C503&lt;P$20,3)</f>
        <v>1</v>
      </c>
      <c r="H503" s="43"/>
      <c r="I503" s="44"/>
      <c r="Y503" s="26"/>
    </row>
    <row r="504" spans="1:25" s="29" customFormat="1" ht="12" customHeight="1">
      <c r="A504" s="96" t="s">
        <v>1617</v>
      </c>
      <c r="B504" s="97" t="s">
        <v>1618</v>
      </c>
      <c r="C504" s="27">
        <v>15.5</v>
      </c>
      <c r="D504" s="27">
        <v>4.2209989999999999</v>
      </c>
      <c r="E504" s="59"/>
      <c r="F504" s="29" cm="1">
        <f t="array" ref="F504">_xlfn.IFS(C504=":",":",C504&gt;=P$19,1,C504&gt;=P$20,2,C504&lt;P$20,3)</f>
        <v>3</v>
      </c>
      <c r="H504" s="43"/>
      <c r="I504" s="44"/>
      <c r="Y504" s="26"/>
    </row>
    <row r="505" spans="1:25" s="29" customFormat="1" ht="12" customHeight="1">
      <c r="A505" s="96" t="s">
        <v>1619</v>
      </c>
      <c r="B505" s="97" t="s">
        <v>1620</v>
      </c>
      <c r="C505" s="27">
        <v>49.4</v>
      </c>
      <c r="D505" s="27">
        <v>0.32752500000000001</v>
      </c>
      <c r="E505" s="59"/>
      <c r="F505" s="29" cm="1">
        <f t="array" ref="F505">_xlfn.IFS(C505=":",":",C505&gt;=P$19,1,C505&gt;=P$20,2,C505&lt;P$20,3)</f>
        <v>2</v>
      </c>
      <c r="H505" s="43"/>
      <c r="I505" s="44"/>
      <c r="Y505" s="26"/>
    </row>
    <row r="506" spans="1:25" s="29" customFormat="1" ht="12" customHeight="1">
      <c r="A506" s="96" t="s">
        <v>1621</v>
      </c>
      <c r="B506" s="97" t="s">
        <v>1622</v>
      </c>
      <c r="C506" s="27">
        <v>14</v>
      </c>
      <c r="D506" s="27">
        <v>9.2391869999999994</v>
      </c>
      <c r="E506" s="59"/>
      <c r="F506" s="29" cm="1">
        <f t="array" ref="F506">_xlfn.IFS(C506=":",":",C506&gt;=P$19,1,C506&gt;=P$20,2,C506&lt;P$20,3)</f>
        <v>3</v>
      </c>
      <c r="H506" s="43"/>
      <c r="I506" s="44"/>
      <c r="Y506" s="26"/>
    </row>
    <row r="507" spans="1:25" s="29" customFormat="1" ht="12" customHeight="1">
      <c r="A507" s="96" t="s">
        <v>1623</v>
      </c>
      <c r="B507" s="97" t="s">
        <v>1624</v>
      </c>
      <c r="C507" s="27">
        <v>87.5</v>
      </c>
      <c r="D507" s="27">
        <v>0.15435499999999999</v>
      </c>
      <c r="E507" s="59"/>
      <c r="F507" s="29" cm="1">
        <f t="array" ref="F507">_xlfn.IFS(C507=":",":",C507&gt;=P$19,1,C507&gt;=P$20,2,C507&lt;P$20,3)</f>
        <v>1</v>
      </c>
      <c r="H507" s="43"/>
      <c r="I507" s="44"/>
      <c r="Y507" s="26"/>
    </row>
    <row r="508" spans="1:25" s="29" customFormat="1" ht="12" customHeight="1">
      <c r="A508" s="96" t="s">
        <v>1625</v>
      </c>
      <c r="B508" s="97" t="s">
        <v>1626</v>
      </c>
      <c r="C508" s="27">
        <v>85.1</v>
      </c>
      <c r="D508" s="27">
        <v>0.12657599999999999</v>
      </c>
      <c r="E508" s="59"/>
      <c r="F508" s="29" cm="1">
        <f t="array" ref="F508">_xlfn.IFS(C508=":",":",C508&gt;=P$19,1,C508&gt;=P$20,2,C508&lt;P$20,3)</f>
        <v>1</v>
      </c>
      <c r="H508" s="43"/>
      <c r="I508" s="44"/>
      <c r="Y508" s="26"/>
    </row>
    <row r="509" spans="1:25" s="29" customFormat="1" ht="12" customHeight="1">
      <c r="A509" s="96" t="s">
        <v>1627</v>
      </c>
      <c r="B509" s="97" t="s">
        <v>1628</v>
      </c>
      <c r="C509" s="27">
        <v>90.2</v>
      </c>
      <c r="D509" s="27">
        <v>6.1627000000000001E-2</v>
      </c>
      <c r="E509" s="59"/>
      <c r="F509" s="29" cm="1">
        <f t="array" ref="F509">_xlfn.IFS(C509=":",":",C509&gt;=P$19,1,C509&gt;=P$20,2,C509&lt;P$20,3)</f>
        <v>1</v>
      </c>
      <c r="H509" s="43"/>
      <c r="I509" s="44"/>
      <c r="Y509" s="26"/>
    </row>
    <row r="510" spans="1:25" s="29" customFormat="1" ht="12" customHeight="1">
      <c r="A510" s="96" t="s">
        <v>1629</v>
      </c>
      <c r="B510" s="97" t="s">
        <v>1630</v>
      </c>
      <c r="C510" s="27">
        <v>33.299999999999997</v>
      </c>
      <c r="D510" s="27">
        <v>1.426674</v>
      </c>
      <c r="E510" s="59"/>
      <c r="F510" s="29" cm="1">
        <f t="array" ref="F510">_xlfn.IFS(C510=":",":",C510&gt;=P$19,1,C510&gt;=P$20,2,C510&lt;P$20,3)</f>
        <v>3</v>
      </c>
      <c r="H510" s="43"/>
      <c r="I510" s="44"/>
      <c r="Y510" s="26"/>
    </row>
    <row r="511" spans="1:25" s="29" customFormat="1" ht="12" customHeight="1">
      <c r="A511" s="96" t="s">
        <v>1631</v>
      </c>
      <c r="B511" s="97" t="s">
        <v>1632</v>
      </c>
      <c r="C511" s="27">
        <v>23.3</v>
      </c>
      <c r="D511" s="27">
        <v>0.60583699999999996</v>
      </c>
      <c r="E511" s="59"/>
      <c r="F511" s="29" cm="1">
        <f t="array" ref="F511">_xlfn.IFS(C511=":",":",C511&gt;=P$19,1,C511&gt;=P$20,2,C511&lt;P$20,3)</f>
        <v>3</v>
      </c>
      <c r="H511" s="43"/>
      <c r="I511" s="44"/>
      <c r="Y511" s="26"/>
    </row>
    <row r="512" spans="1:25" s="29" customFormat="1" ht="12" customHeight="1">
      <c r="A512" s="96" t="s">
        <v>1633</v>
      </c>
      <c r="B512" s="101" t="s">
        <v>1634</v>
      </c>
      <c r="C512" s="27">
        <v>80.400000000000006</v>
      </c>
      <c r="D512" s="27">
        <v>1.026381</v>
      </c>
      <c r="E512" s="59"/>
      <c r="F512" s="29" cm="1">
        <f t="array" ref="F512">_xlfn.IFS(C512=":",":",C512&gt;=P$19,1,C512&gt;=P$20,2,C512&lt;P$20,3)</f>
        <v>1</v>
      </c>
      <c r="H512" s="43"/>
      <c r="I512" s="44"/>
      <c r="Y512" s="26"/>
    </row>
    <row r="513" spans="1:25" s="29" customFormat="1" ht="12" customHeight="1">
      <c r="A513" s="96" t="s">
        <v>1635</v>
      </c>
      <c r="B513" s="101" t="s">
        <v>1636</v>
      </c>
      <c r="C513" s="27">
        <v>51.3</v>
      </c>
      <c r="D513" s="27">
        <v>0.76951999999999998</v>
      </c>
      <c r="E513" s="59"/>
      <c r="F513" s="29" cm="1">
        <f t="array" ref="F513">_xlfn.IFS(C513=":",":",C513&gt;=P$19,1,C513&gt;=P$20,2,C513&lt;P$20,3)</f>
        <v>2</v>
      </c>
      <c r="H513" s="43"/>
      <c r="I513" s="44"/>
      <c r="Y513" s="26"/>
    </row>
    <row r="514" spans="1:25" s="29" customFormat="1" ht="12" customHeight="1">
      <c r="A514" s="96" t="s">
        <v>1637</v>
      </c>
      <c r="B514" s="101" t="s">
        <v>1638</v>
      </c>
      <c r="C514" s="27">
        <v>65.400000000000006</v>
      </c>
      <c r="D514" s="27">
        <v>0.390071</v>
      </c>
      <c r="E514" s="59"/>
      <c r="F514" s="29" cm="1">
        <f t="array" ref="F514">_xlfn.IFS(C514=":",":",C514&gt;=P$19,1,C514&gt;=P$20,2,C514&lt;P$20,3)</f>
        <v>1</v>
      </c>
      <c r="H514" s="43"/>
      <c r="I514" s="44"/>
      <c r="Y514" s="26"/>
    </row>
    <row r="515" spans="1:25" s="29" customFormat="1" ht="12" customHeight="1">
      <c r="A515" s="96" t="s">
        <v>1639</v>
      </c>
      <c r="B515" s="101" t="s">
        <v>2872</v>
      </c>
      <c r="C515" s="27">
        <v>35.200000000000003</v>
      </c>
      <c r="D515" s="27">
        <v>2.9266079999999999</v>
      </c>
      <c r="E515" s="59"/>
      <c r="F515" s="29" cm="1">
        <f t="array" ref="F515">_xlfn.IFS(C515=":",":",C515&gt;=P$19,1,C515&gt;=P$20,2,C515&lt;P$20,3)</f>
        <v>2</v>
      </c>
      <c r="H515" s="43"/>
      <c r="I515" s="44"/>
      <c r="Y515" s="26"/>
    </row>
    <row r="516" spans="1:25" s="29" customFormat="1" ht="12" customHeight="1">
      <c r="A516" s="96" t="s">
        <v>1640</v>
      </c>
      <c r="B516" s="101" t="s">
        <v>1641</v>
      </c>
      <c r="C516" s="27">
        <v>4.3</v>
      </c>
      <c r="D516" s="27">
        <v>6.4380920000000001</v>
      </c>
      <c r="E516" s="59"/>
      <c r="F516" s="29" cm="1">
        <f t="array" ref="F516">_xlfn.IFS(C516=":",":",C516&gt;=P$19,1,C516&gt;=P$20,2,C516&lt;P$20,3)</f>
        <v>3</v>
      </c>
      <c r="H516" s="43"/>
      <c r="I516" s="44"/>
      <c r="Y516" s="26"/>
    </row>
    <row r="517" spans="1:25" s="29" customFormat="1" ht="12" customHeight="1">
      <c r="A517" s="96" t="s">
        <v>1642</v>
      </c>
      <c r="B517" s="101" t="s">
        <v>1643</v>
      </c>
      <c r="C517" s="27">
        <v>5.9</v>
      </c>
      <c r="D517" s="27">
        <v>10.338733</v>
      </c>
      <c r="E517" s="59"/>
      <c r="F517" s="29" cm="1">
        <f t="array" ref="F517">_xlfn.IFS(C517=":",":",C517&gt;=P$19,1,C517&gt;=P$20,2,C517&lt;P$20,3)</f>
        <v>3</v>
      </c>
      <c r="H517" s="43"/>
      <c r="I517" s="44"/>
      <c r="Y517" s="26"/>
    </row>
    <row r="518" spans="1:25" s="29" customFormat="1" ht="12" customHeight="1">
      <c r="A518" s="96" t="s">
        <v>1644</v>
      </c>
      <c r="B518" s="101" t="s">
        <v>1645</v>
      </c>
      <c r="C518" s="27">
        <v>10.5</v>
      </c>
      <c r="D518" s="27">
        <v>2.0706099999999998</v>
      </c>
      <c r="E518" s="59"/>
      <c r="F518" s="29" cm="1">
        <f t="array" ref="F518">_xlfn.IFS(C518=":",":",C518&gt;=P$19,1,C518&gt;=P$20,2,C518&lt;P$20,3)</f>
        <v>3</v>
      </c>
      <c r="H518" s="43"/>
      <c r="I518" s="44"/>
      <c r="Y518" s="26"/>
    </row>
    <row r="519" spans="1:25" s="29" customFormat="1" ht="12" customHeight="1">
      <c r="A519" s="96" t="s">
        <v>1646</v>
      </c>
      <c r="B519" s="101" t="s">
        <v>1647</v>
      </c>
      <c r="C519" s="27">
        <v>13.8</v>
      </c>
      <c r="D519" s="27">
        <v>1.677265</v>
      </c>
      <c r="E519" s="59"/>
      <c r="F519" s="29" cm="1">
        <f t="array" ref="F519">_xlfn.IFS(C519=":",":",C519&gt;=P$19,1,C519&gt;=P$20,2,C519&lt;P$20,3)</f>
        <v>3</v>
      </c>
      <c r="H519" s="43"/>
      <c r="I519" s="44"/>
      <c r="Y519" s="26"/>
    </row>
    <row r="520" spans="1:25" s="29" customFormat="1" ht="12" customHeight="1">
      <c r="A520" s="96" t="s">
        <v>1648</v>
      </c>
      <c r="B520" s="101" t="s">
        <v>1649</v>
      </c>
      <c r="C520" s="27">
        <v>60.9</v>
      </c>
      <c r="D520" s="27">
        <v>0.451824</v>
      </c>
      <c r="E520" s="59"/>
      <c r="F520" s="29" cm="1">
        <f t="array" ref="F520">_xlfn.IFS(C520=":",":",C520&gt;=P$19,1,C520&gt;=P$20,2,C520&lt;P$20,3)</f>
        <v>2</v>
      </c>
      <c r="H520" s="43"/>
      <c r="I520" s="44"/>
      <c r="Y520" s="26"/>
    </row>
    <row r="521" spans="1:25" s="29" customFormat="1" ht="12" customHeight="1">
      <c r="A521" s="96" t="s">
        <v>1650</v>
      </c>
      <c r="B521" s="101" t="s">
        <v>1651</v>
      </c>
      <c r="C521" s="27">
        <v>59.3</v>
      </c>
      <c r="D521" s="27">
        <v>0.96949799999999997</v>
      </c>
      <c r="E521" s="59"/>
      <c r="F521" s="29" cm="1">
        <f t="array" ref="F521">_xlfn.IFS(C521=":",":",C521&gt;=P$19,1,C521&gt;=P$20,2,C521&lt;P$20,3)</f>
        <v>2</v>
      </c>
      <c r="H521" s="43"/>
      <c r="I521" s="44"/>
      <c r="Y521" s="26"/>
    </row>
    <row r="522" spans="1:25" s="29" customFormat="1" ht="12" customHeight="1">
      <c r="A522" s="96" t="s">
        <v>1652</v>
      </c>
      <c r="B522" s="101" t="s">
        <v>1653</v>
      </c>
      <c r="C522" s="27">
        <v>29.4</v>
      </c>
      <c r="D522" s="27">
        <v>0.92798499999999995</v>
      </c>
      <c r="E522" s="59"/>
      <c r="F522" s="29" cm="1">
        <f t="array" ref="F522">_xlfn.IFS(C522=":",":",C522&gt;=P$19,1,C522&gt;=P$20,2,C522&lt;P$20,3)</f>
        <v>3</v>
      </c>
      <c r="H522" s="43"/>
      <c r="I522" s="44"/>
      <c r="Y522" s="26"/>
    </row>
    <row r="523" spans="1:25" s="29" customFormat="1" ht="12" customHeight="1">
      <c r="A523" s="96" t="s">
        <v>1654</v>
      </c>
      <c r="B523" s="101" t="s">
        <v>1655</v>
      </c>
      <c r="C523" s="27">
        <v>70.2</v>
      </c>
      <c r="D523" s="27">
        <v>0.248585</v>
      </c>
      <c r="E523" s="59"/>
      <c r="F523" s="29" cm="1">
        <f t="array" ref="F523">_xlfn.IFS(C523=":",":",C523&gt;=P$19,1,C523&gt;=P$20,2,C523&lt;P$20,3)</f>
        <v>1</v>
      </c>
      <c r="H523" s="43"/>
      <c r="I523" s="44"/>
      <c r="Y523" s="26"/>
    </row>
    <row r="524" spans="1:25" s="29" customFormat="1" ht="12" customHeight="1">
      <c r="A524" s="96" t="s">
        <v>1656</v>
      </c>
      <c r="B524" s="101" t="s">
        <v>1657</v>
      </c>
      <c r="C524" s="27">
        <v>61</v>
      </c>
      <c r="D524" s="27">
        <v>1.721401</v>
      </c>
      <c r="E524" s="59"/>
      <c r="F524" s="29" cm="1">
        <f t="array" ref="F524">_xlfn.IFS(C524=":",":",C524&gt;=P$19,1,C524&gt;=P$20,2,C524&lt;P$20,3)</f>
        <v>2</v>
      </c>
      <c r="H524" s="43"/>
      <c r="I524" s="44"/>
      <c r="Y524" s="26"/>
    </row>
    <row r="525" spans="1:25" s="29" customFormat="1" ht="12" customHeight="1">
      <c r="A525" s="96" t="s">
        <v>1658</v>
      </c>
      <c r="B525" s="101" t="s">
        <v>1659</v>
      </c>
      <c r="C525" s="27">
        <v>97.2</v>
      </c>
      <c r="D525" s="27">
        <v>0.12406399999999999</v>
      </c>
      <c r="E525" s="59"/>
      <c r="F525" s="29" cm="1">
        <f t="array" ref="F525">_xlfn.IFS(C525=":",":",C525&gt;=P$19,1,C525&gt;=P$20,2,C525&lt;P$20,3)</f>
        <v>1</v>
      </c>
      <c r="H525" s="43"/>
      <c r="I525" s="44"/>
      <c r="Y525" s="26"/>
    </row>
    <row r="526" spans="1:25" s="29" customFormat="1" ht="12" customHeight="1">
      <c r="A526" s="96" t="s">
        <v>1660</v>
      </c>
      <c r="B526" s="101" t="s">
        <v>1661</v>
      </c>
      <c r="C526" s="27">
        <v>68</v>
      </c>
      <c r="D526" s="27">
        <v>0.340144</v>
      </c>
      <c r="E526" s="59"/>
      <c r="F526" s="29" cm="1">
        <f t="array" ref="F526">_xlfn.IFS(C526=":",":",C526&gt;=P$19,1,C526&gt;=P$20,2,C526&lt;P$20,3)</f>
        <v>1</v>
      </c>
      <c r="H526" s="43"/>
      <c r="I526" s="44"/>
      <c r="Y526" s="26"/>
    </row>
    <row r="527" spans="1:25" s="29" customFormat="1" ht="12" customHeight="1">
      <c r="A527" s="96" t="s">
        <v>1662</v>
      </c>
      <c r="B527" s="101" t="s">
        <v>1663</v>
      </c>
      <c r="C527" s="27">
        <v>39.9</v>
      </c>
      <c r="D527" s="27">
        <v>0.50973000000000002</v>
      </c>
      <c r="E527" s="59"/>
      <c r="F527" s="29" cm="1">
        <f t="array" ref="F527">_xlfn.IFS(C527=":",":",C527&gt;=P$19,1,C527&gt;=P$20,2,C527&lt;P$20,3)</f>
        <v>2</v>
      </c>
      <c r="H527" s="43"/>
      <c r="I527" s="44"/>
      <c r="Y527" s="26"/>
    </row>
    <row r="528" spans="1:25" s="29" customFormat="1" ht="12" customHeight="1">
      <c r="A528" s="96" t="s">
        <v>1664</v>
      </c>
      <c r="B528" s="101" t="s">
        <v>1665</v>
      </c>
      <c r="C528" s="27">
        <v>51.7</v>
      </c>
      <c r="D528" s="27">
        <v>1.718753</v>
      </c>
      <c r="E528" s="59"/>
      <c r="F528" s="29" cm="1">
        <f t="array" ref="F528">_xlfn.IFS(C528=":",":",C528&gt;=P$19,1,C528&gt;=P$20,2,C528&lt;P$20,3)</f>
        <v>2</v>
      </c>
      <c r="H528" s="43"/>
      <c r="I528" s="44"/>
      <c r="Y528" s="26"/>
    </row>
    <row r="529" spans="1:25" s="29" customFormat="1" ht="12" customHeight="1">
      <c r="A529" s="96" t="s">
        <v>1666</v>
      </c>
      <c r="B529" s="101" t="s">
        <v>1667</v>
      </c>
      <c r="C529" s="27">
        <v>53.4</v>
      </c>
      <c r="D529" s="27">
        <v>0.94562000000000002</v>
      </c>
      <c r="E529" s="59"/>
      <c r="F529" s="29" cm="1">
        <f t="array" ref="F529">_xlfn.IFS(C529=":",":",C529&gt;=P$19,1,C529&gt;=P$20,2,C529&lt;P$20,3)</f>
        <v>2</v>
      </c>
      <c r="H529" s="43"/>
      <c r="I529" s="44"/>
      <c r="Y529" s="26"/>
    </row>
    <row r="530" spans="1:25" s="29" customFormat="1" ht="12" customHeight="1">
      <c r="A530" s="96" t="s">
        <v>1668</v>
      </c>
      <c r="B530" s="101" t="s">
        <v>1669</v>
      </c>
      <c r="C530" s="27">
        <v>50.9</v>
      </c>
      <c r="D530" s="27">
        <v>3.2462580000000001</v>
      </c>
      <c r="E530" s="59"/>
      <c r="F530" s="29" cm="1">
        <f t="array" ref="F530">_xlfn.IFS(C530=":",":",C530&gt;=P$19,1,C530&gt;=P$20,2,C530&lt;P$20,3)</f>
        <v>2</v>
      </c>
      <c r="H530" s="43"/>
      <c r="I530" s="44"/>
      <c r="Y530" s="26"/>
    </row>
    <row r="531" spans="1:25" s="29" customFormat="1" ht="12" customHeight="1">
      <c r="A531" s="96" t="s">
        <v>1670</v>
      </c>
      <c r="B531" s="101" t="s">
        <v>1671</v>
      </c>
      <c r="C531" s="27">
        <v>62.3</v>
      </c>
      <c r="D531" s="27">
        <v>5.5607119999999997</v>
      </c>
      <c r="E531" s="59"/>
      <c r="F531" s="29" cm="1">
        <f t="array" ref="F531">_xlfn.IFS(C531=":",":",C531&gt;=P$19,1,C531&gt;=P$20,2,C531&lt;P$20,3)</f>
        <v>2</v>
      </c>
      <c r="H531" s="43"/>
      <c r="I531" s="44"/>
      <c r="Y531" s="26"/>
    </row>
    <row r="532" spans="1:25" s="29" customFormat="1" ht="12" customHeight="1">
      <c r="A532" s="96" t="s">
        <v>1672</v>
      </c>
      <c r="B532" s="101" t="s">
        <v>1673</v>
      </c>
      <c r="C532" s="27">
        <v>76.7</v>
      </c>
      <c r="D532" s="27">
        <v>1.8879440000000001</v>
      </c>
      <c r="E532" s="59"/>
      <c r="F532" s="29" cm="1">
        <f t="array" ref="F532">_xlfn.IFS(C532=":",":",C532&gt;=P$19,1,C532&gt;=P$20,2,C532&lt;P$20,3)</f>
        <v>1</v>
      </c>
      <c r="H532" s="43"/>
      <c r="I532" s="44"/>
      <c r="Y532" s="26"/>
    </row>
    <row r="533" spans="1:25" s="29" customFormat="1" ht="12" customHeight="1">
      <c r="A533" s="96" t="s">
        <v>1674</v>
      </c>
      <c r="B533" s="101" t="s">
        <v>1675</v>
      </c>
      <c r="C533" s="27">
        <v>82.5</v>
      </c>
      <c r="D533" s="27">
        <v>0.900227</v>
      </c>
      <c r="E533" s="59"/>
      <c r="F533" s="29" cm="1">
        <f t="array" ref="F533">_xlfn.IFS(C533=":",":",C533&gt;=P$19,1,C533&gt;=P$20,2,C533&lt;P$20,3)</f>
        <v>1</v>
      </c>
      <c r="H533" s="43"/>
      <c r="I533" s="44"/>
      <c r="Y533" s="26"/>
    </row>
    <row r="534" spans="1:25" s="29" customFormat="1" ht="12" customHeight="1">
      <c r="A534" s="96" t="s">
        <v>1676</v>
      </c>
      <c r="B534" s="101" t="s">
        <v>1677</v>
      </c>
      <c r="C534" s="27">
        <v>75.599999999999994</v>
      </c>
      <c r="D534" s="27">
        <v>4.9569999999999999</v>
      </c>
      <c r="E534" s="59"/>
      <c r="F534" s="29" cm="1">
        <f t="array" ref="F534">_xlfn.IFS(C534=":",":",C534&gt;=P$19,1,C534&gt;=P$20,2,C534&lt;P$20,3)</f>
        <v>1</v>
      </c>
      <c r="H534" s="43"/>
      <c r="I534" s="44"/>
      <c r="Y534" s="26"/>
    </row>
    <row r="535" spans="1:25" s="29" customFormat="1" ht="12" customHeight="1">
      <c r="A535" s="96" t="s">
        <v>1678</v>
      </c>
      <c r="B535" s="101" t="s">
        <v>1679</v>
      </c>
      <c r="C535" s="27">
        <v>80.7</v>
      </c>
      <c r="D535" s="27">
        <v>6.6896699999999996</v>
      </c>
      <c r="E535" s="59"/>
      <c r="F535" s="29" cm="1">
        <f t="array" ref="F535">_xlfn.IFS(C535=":",":",C535&gt;=P$19,1,C535&gt;=P$20,2,C535&lt;P$20,3)</f>
        <v>1</v>
      </c>
      <c r="H535" s="43"/>
      <c r="I535" s="44"/>
      <c r="Y535" s="26"/>
    </row>
    <row r="536" spans="1:25" s="29" customFormat="1" ht="12" customHeight="1">
      <c r="A536" s="96" t="s">
        <v>1680</v>
      </c>
      <c r="B536" s="101" t="s">
        <v>14</v>
      </c>
      <c r="C536" s="27">
        <v>79.5</v>
      </c>
      <c r="D536" s="27">
        <v>6.1171300000000004</v>
      </c>
      <c r="E536" s="59"/>
      <c r="F536" s="29" cm="1">
        <f t="array" ref="F536">_xlfn.IFS(C536=":",":",C536&gt;=P$19,1,C536&gt;=P$20,2,C536&lt;P$20,3)</f>
        <v>1</v>
      </c>
      <c r="H536" s="43"/>
      <c r="I536" s="44"/>
      <c r="Y536" s="26"/>
    </row>
    <row r="537" spans="1:25" s="29" customFormat="1" ht="12" customHeight="1">
      <c r="A537" s="96" t="s">
        <v>1681</v>
      </c>
      <c r="B537" s="101" t="s">
        <v>1682</v>
      </c>
      <c r="C537" s="27">
        <v>72.8</v>
      </c>
      <c r="D537" s="27">
        <v>1.447433</v>
      </c>
      <c r="E537" s="59"/>
      <c r="F537" s="29" cm="1">
        <f t="array" ref="F537">_xlfn.IFS(C537=":",":",C537&gt;=P$19,1,C537&gt;=P$20,2,C537&lt;P$20,3)</f>
        <v>1</v>
      </c>
      <c r="H537" s="43"/>
      <c r="I537" s="44"/>
      <c r="Y537" s="26"/>
    </row>
    <row r="538" spans="1:25" s="29" customFormat="1" ht="12" customHeight="1">
      <c r="A538" s="96" t="s">
        <v>1683</v>
      </c>
      <c r="B538" s="101" t="s">
        <v>1684</v>
      </c>
      <c r="C538" s="27">
        <v>48.6</v>
      </c>
      <c r="D538" s="27">
        <v>4.5259539999999996</v>
      </c>
      <c r="E538" s="59"/>
      <c r="F538" s="29" cm="1">
        <f t="array" ref="F538">_xlfn.IFS(C538=":",":",C538&gt;=P$19,1,C538&gt;=P$20,2,C538&lt;P$20,3)</f>
        <v>2</v>
      </c>
      <c r="H538" s="43"/>
      <c r="I538" s="44"/>
      <c r="Y538" s="26"/>
    </row>
    <row r="539" spans="1:25" s="29" customFormat="1" ht="12" customHeight="1">
      <c r="A539" s="96" t="s">
        <v>1685</v>
      </c>
      <c r="B539" s="101" t="s">
        <v>1686</v>
      </c>
      <c r="C539" s="27">
        <v>53</v>
      </c>
      <c r="D539" s="27">
        <v>4.2797190000000001</v>
      </c>
      <c r="E539" s="59"/>
      <c r="F539" s="29" cm="1">
        <f t="array" ref="F539">_xlfn.IFS(C539=":",":",C539&gt;=P$19,1,C539&gt;=P$20,2,C539&lt;P$20,3)</f>
        <v>2</v>
      </c>
      <c r="H539" s="43"/>
      <c r="I539" s="44"/>
      <c r="Y539" s="26"/>
    </row>
    <row r="540" spans="1:25" s="29" customFormat="1" ht="12" customHeight="1">
      <c r="A540" s="96" t="s">
        <v>1687</v>
      </c>
      <c r="B540" s="101" t="s">
        <v>1688</v>
      </c>
      <c r="C540" s="27">
        <v>74.900000000000006</v>
      </c>
      <c r="D540" s="27">
        <v>4.0826310000000001</v>
      </c>
      <c r="E540" s="59"/>
      <c r="F540" s="29" cm="1">
        <f t="array" ref="F540">_xlfn.IFS(C540=":",":",C540&gt;=P$19,1,C540&gt;=P$20,2,C540&lt;P$20,3)</f>
        <v>1</v>
      </c>
      <c r="H540" s="43"/>
      <c r="I540" s="44"/>
      <c r="Y540" s="26"/>
    </row>
    <row r="541" spans="1:25" s="29" customFormat="1" ht="12" customHeight="1">
      <c r="A541" s="96" t="s">
        <v>1689</v>
      </c>
      <c r="B541" s="101" t="s">
        <v>191</v>
      </c>
      <c r="C541" s="27">
        <v>78.900000000000006</v>
      </c>
      <c r="D541" s="27">
        <v>1.675862</v>
      </c>
      <c r="E541" s="59"/>
      <c r="F541" s="29" cm="1">
        <f t="array" ref="F541">_xlfn.IFS(C541=":",":",C541&gt;=P$19,1,C541&gt;=P$20,2,C541&lt;P$20,3)</f>
        <v>1</v>
      </c>
      <c r="H541" s="43"/>
      <c r="I541" s="44"/>
      <c r="Y541" s="26"/>
    </row>
    <row r="542" spans="1:25" s="29" customFormat="1" ht="12" customHeight="1">
      <c r="A542" s="96" t="s">
        <v>1690</v>
      </c>
      <c r="B542" s="101" t="s">
        <v>1691</v>
      </c>
      <c r="C542" s="27">
        <v>80.599999999999994</v>
      </c>
      <c r="D542" s="27">
        <v>3.836157</v>
      </c>
      <c r="E542" s="59"/>
      <c r="F542" s="29" cm="1">
        <f t="array" ref="F542">_xlfn.IFS(C542=":",":",C542&gt;=P$19,1,C542&gt;=P$20,2,C542&lt;P$20,3)</f>
        <v>1</v>
      </c>
      <c r="H542" s="43"/>
      <c r="I542" s="44"/>
      <c r="Y542" s="26"/>
    </row>
    <row r="543" spans="1:25" s="29" customFormat="1" ht="12" customHeight="1">
      <c r="A543" s="96" t="s">
        <v>1692</v>
      </c>
      <c r="B543" s="101" t="s">
        <v>1693</v>
      </c>
      <c r="C543" s="27">
        <v>84.2</v>
      </c>
      <c r="D543" s="27">
        <v>1.427216</v>
      </c>
      <c r="E543" s="59"/>
      <c r="F543" s="29" cm="1">
        <f t="array" ref="F543">_xlfn.IFS(C543=":",":",C543&gt;=P$19,1,C543&gt;=P$20,2,C543&lt;P$20,3)</f>
        <v>1</v>
      </c>
      <c r="H543" s="43"/>
      <c r="I543" s="44"/>
      <c r="Y543" s="26"/>
    </row>
    <row r="544" spans="1:25" s="29" customFormat="1" ht="12" customHeight="1">
      <c r="A544" s="96" t="s">
        <v>1694</v>
      </c>
      <c r="B544" s="101" t="s">
        <v>1695</v>
      </c>
      <c r="C544" s="27">
        <v>71.599999999999994</v>
      </c>
      <c r="D544" s="27">
        <v>3.4010180000000001</v>
      </c>
      <c r="E544" s="59"/>
      <c r="F544" s="29" cm="1">
        <f t="array" ref="F544">_xlfn.IFS(C544=":",":",C544&gt;=P$19,1,C544&gt;=P$20,2,C544&lt;P$20,3)</f>
        <v>1</v>
      </c>
      <c r="H544" s="43"/>
      <c r="I544" s="44"/>
      <c r="Y544" s="26"/>
    </row>
    <row r="545" spans="1:25" s="29" customFormat="1" ht="12" customHeight="1">
      <c r="A545" s="96" t="s">
        <v>1696</v>
      </c>
      <c r="B545" s="101" t="s">
        <v>1697</v>
      </c>
      <c r="C545" s="27">
        <v>44.9</v>
      </c>
      <c r="D545" s="27">
        <v>32.320996999999998</v>
      </c>
      <c r="E545" s="59"/>
      <c r="F545" s="29" cm="1">
        <f t="array" ref="F545">_xlfn.IFS(C545=":",":",C545&gt;=P$19,1,C545&gt;=P$20,2,C545&lt;P$20,3)</f>
        <v>2</v>
      </c>
      <c r="H545" s="43"/>
      <c r="I545" s="44"/>
      <c r="Y545" s="26"/>
    </row>
    <row r="546" spans="1:25" s="29" customFormat="1" ht="12" customHeight="1">
      <c r="A546" s="96" t="s">
        <v>1698</v>
      </c>
      <c r="B546" s="101" t="s">
        <v>1699</v>
      </c>
      <c r="C546" s="27">
        <v>88.2</v>
      </c>
      <c r="D546" s="27">
        <v>1.3471820000000001</v>
      </c>
      <c r="E546" s="59"/>
      <c r="F546" s="29" cm="1">
        <f t="array" ref="F546">_xlfn.IFS(C546=":",":",C546&gt;=P$19,1,C546&gt;=P$20,2,C546&lt;P$20,3)</f>
        <v>1</v>
      </c>
      <c r="H546" s="43"/>
      <c r="I546" s="44"/>
      <c r="Y546" s="26"/>
    </row>
    <row r="547" spans="1:25" s="29" customFormat="1" ht="12" customHeight="1">
      <c r="A547" s="96" t="s">
        <v>1700</v>
      </c>
      <c r="B547" s="101" t="s">
        <v>1701</v>
      </c>
      <c r="C547" s="27">
        <v>72</v>
      </c>
      <c r="D547" s="27">
        <v>2.0936080000000001</v>
      </c>
      <c r="E547" s="59"/>
      <c r="F547" s="29" cm="1">
        <f t="array" ref="F547">_xlfn.IFS(C547=":",":",C547&gt;=P$19,1,C547&gt;=P$20,2,C547&lt;P$20,3)</f>
        <v>1</v>
      </c>
      <c r="H547" s="43"/>
      <c r="I547" s="44"/>
      <c r="Y547" s="26"/>
    </row>
    <row r="548" spans="1:25" s="29" customFormat="1" ht="12" customHeight="1">
      <c r="A548" s="96" t="s">
        <v>1702</v>
      </c>
      <c r="B548" s="101" t="s">
        <v>1703</v>
      </c>
      <c r="C548" s="27">
        <v>80.5</v>
      </c>
      <c r="D548" s="27">
        <v>2.0028619999999999</v>
      </c>
      <c r="E548" s="59"/>
      <c r="F548" s="29" cm="1">
        <f t="array" ref="F548">_xlfn.IFS(C548=":",":",C548&gt;=P$19,1,C548&gt;=P$20,2,C548&lt;P$20,3)</f>
        <v>1</v>
      </c>
      <c r="H548" s="43"/>
      <c r="I548" s="44"/>
      <c r="Y548" s="26"/>
    </row>
    <row r="549" spans="1:25" s="29" customFormat="1" ht="12" customHeight="1">
      <c r="A549" s="96" t="s">
        <v>1704</v>
      </c>
      <c r="B549" s="101" t="s">
        <v>1705</v>
      </c>
      <c r="C549" s="27">
        <v>76.8</v>
      </c>
      <c r="D549" s="27">
        <v>0.75845700000000005</v>
      </c>
      <c r="E549" s="59"/>
      <c r="F549" s="29" cm="1">
        <f t="array" ref="F549">_xlfn.IFS(C549=":",":",C549&gt;=P$19,1,C549&gt;=P$20,2,C549&lt;P$20,3)</f>
        <v>1</v>
      </c>
      <c r="H549" s="43"/>
      <c r="I549" s="44"/>
      <c r="Y549" s="26"/>
    </row>
    <row r="550" spans="1:25" s="29" customFormat="1" ht="12" customHeight="1">
      <c r="A550" s="96" t="s">
        <v>1706</v>
      </c>
      <c r="B550" s="101" t="s">
        <v>1707</v>
      </c>
      <c r="C550" s="27">
        <v>70.400000000000006</v>
      </c>
      <c r="D550" s="27">
        <v>2.4008500000000002</v>
      </c>
      <c r="E550" s="59"/>
      <c r="F550" s="29" cm="1">
        <f t="array" ref="F550">_xlfn.IFS(C550=":",":",C550&gt;=P$19,1,C550&gt;=P$20,2,C550&lt;P$20,3)</f>
        <v>1</v>
      </c>
      <c r="H550" s="43"/>
      <c r="I550" s="44"/>
      <c r="Y550" s="26"/>
    </row>
    <row r="551" spans="1:25" s="29" customFormat="1" ht="12" customHeight="1">
      <c r="A551" s="96" t="s">
        <v>1708</v>
      </c>
      <c r="B551" s="101" t="s">
        <v>1709</v>
      </c>
      <c r="C551" s="27">
        <v>79.099999999999994</v>
      </c>
      <c r="D551" s="27">
        <v>1.4074930000000001</v>
      </c>
      <c r="E551" s="59"/>
      <c r="F551" s="29" cm="1">
        <f t="array" ref="F551">_xlfn.IFS(C551=":",":",C551&gt;=P$19,1,C551&gt;=P$20,2,C551&lt;P$20,3)</f>
        <v>1</v>
      </c>
      <c r="H551" s="43"/>
      <c r="I551" s="44"/>
      <c r="Y551" s="26"/>
    </row>
    <row r="552" spans="1:25" s="29" customFormat="1" ht="12" customHeight="1">
      <c r="A552" s="96" t="s">
        <v>1710</v>
      </c>
      <c r="B552" s="101" t="s">
        <v>1711</v>
      </c>
      <c r="C552" s="27">
        <v>92.6</v>
      </c>
      <c r="D552" s="27">
        <v>0.88260400000000006</v>
      </c>
      <c r="E552" s="59"/>
      <c r="F552" s="29" cm="1">
        <f t="array" ref="F552">_xlfn.IFS(C552=":",":",C552&gt;=P$19,1,C552&gt;=P$20,2,C552&lt;P$20,3)</f>
        <v>1</v>
      </c>
      <c r="H552" s="43"/>
      <c r="I552" s="44"/>
      <c r="Y552" s="26"/>
    </row>
    <row r="553" spans="1:25" s="29" customFormat="1" ht="12" customHeight="1">
      <c r="A553" s="96" t="s">
        <v>1712</v>
      </c>
      <c r="B553" s="101" t="s">
        <v>1713</v>
      </c>
      <c r="C553" s="27">
        <v>80.2</v>
      </c>
      <c r="D553" s="27">
        <v>1.5612760000000001</v>
      </c>
      <c r="E553" s="59"/>
      <c r="F553" s="29" cm="1">
        <f t="array" ref="F553">_xlfn.IFS(C553=":",":",C553&gt;=P$19,1,C553&gt;=P$20,2,C553&lt;P$20,3)</f>
        <v>1</v>
      </c>
      <c r="H553" s="43"/>
      <c r="I553" s="44"/>
      <c r="Y553" s="26"/>
    </row>
    <row r="554" spans="1:25" s="29" customFormat="1" ht="12" customHeight="1">
      <c r="A554" s="96" t="s">
        <v>1714</v>
      </c>
      <c r="B554" s="101" t="s">
        <v>1715</v>
      </c>
      <c r="C554" s="27">
        <v>87.9</v>
      </c>
      <c r="D554" s="27">
        <v>0.60956399999999999</v>
      </c>
      <c r="E554" s="59"/>
      <c r="F554" s="29" cm="1">
        <f t="array" ref="F554">_xlfn.IFS(C554=":",":",C554&gt;=P$19,1,C554&gt;=P$20,2,C554&lt;P$20,3)</f>
        <v>1</v>
      </c>
      <c r="H554" s="43"/>
      <c r="I554" s="44"/>
      <c r="Y554" s="26"/>
    </row>
    <row r="555" spans="1:25" s="29" customFormat="1" ht="12" customHeight="1">
      <c r="A555" s="96" t="s">
        <v>1716</v>
      </c>
      <c r="B555" s="101" t="s">
        <v>1717</v>
      </c>
      <c r="C555" s="27">
        <v>92.3</v>
      </c>
      <c r="D555" s="27">
        <v>1.3158129999999999</v>
      </c>
      <c r="E555" s="59"/>
      <c r="F555" s="29" cm="1">
        <f t="array" ref="F555">_xlfn.IFS(C555=":",":",C555&gt;=P$19,1,C555&gt;=P$20,2,C555&lt;P$20,3)</f>
        <v>1</v>
      </c>
      <c r="H555" s="43"/>
      <c r="I555" s="44"/>
      <c r="Y555" s="26"/>
    </row>
    <row r="556" spans="1:25" s="29" customFormat="1" ht="12" customHeight="1">
      <c r="A556" s="96" t="s">
        <v>1718</v>
      </c>
      <c r="B556" s="101" t="s">
        <v>1719</v>
      </c>
      <c r="C556" s="27">
        <v>89.3</v>
      </c>
      <c r="D556" s="27">
        <v>0.935863</v>
      </c>
      <c r="E556" s="59"/>
      <c r="F556" s="29" cm="1">
        <f t="array" ref="F556">_xlfn.IFS(C556=":",":",C556&gt;=P$19,1,C556&gt;=P$20,2,C556&lt;P$20,3)</f>
        <v>1</v>
      </c>
      <c r="H556" s="43"/>
      <c r="I556" s="44"/>
      <c r="Y556" s="26"/>
    </row>
    <row r="557" spans="1:25" s="29" customFormat="1" ht="12" customHeight="1">
      <c r="A557" s="96" t="s">
        <v>1720</v>
      </c>
      <c r="B557" s="101" t="s">
        <v>1721</v>
      </c>
      <c r="C557" s="27">
        <v>89.4</v>
      </c>
      <c r="D557" s="27">
        <v>0.96479800000000004</v>
      </c>
      <c r="E557" s="59"/>
      <c r="F557" s="29" cm="1">
        <f t="array" ref="F557">_xlfn.IFS(C557=":",":",C557&gt;=P$19,1,C557&gt;=P$20,2,C557&lt;P$20,3)</f>
        <v>1</v>
      </c>
      <c r="H557" s="43"/>
      <c r="I557" s="44"/>
      <c r="Y557" s="26"/>
    </row>
    <row r="558" spans="1:25" s="29" customFormat="1" ht="12" customHeight="1">
      <c r="A558" s="96" t="s">
        <v>1722</v>
      </c>
      <c r="B558" s="101" t="s">
        <v>1723</v>
      </c>
      <c r="C558" s="27">
        <v>89.1</v>
      </c>
      <c r="D558" s="27">
        <v>0.76929199999999998</v>
      </c>
      <c r="E558" s="59"/>
      <c r="F558" s="29" cm="1">
        <f t="array" ref="F558">_xlfn.IFS(C558=":",":",C558&gt;=P$19,1,C558&gt;=P$20,2,C558&lt;P$20,3)</f>
        <v>1</v>
      </c>
      <c r="H558" s="43"/>
      <c r="I558" s="44"/>
      <c r="Y558" s="26"/>
    </row>
    <row r="559" spans="1:25" s="29" customFormat="1" ht="12" customHeight="1">
      <c r="A559" s="96" t="s">
        <v>1724</v>
      </c>
      <c r="B559" s="101" t="s">
        <v>1725</v>
      </c>
      <c r="C559" s="27">
        <v>78.099999999999994</v>
      </c>
      <c r="D559" s="27">
        <v>1.9709509999999999</v>
      </c>
      <c r="E559" s="59"/>
      <c r="F559" s="29" cm="1">
        <f t="array" ref="F559">_xlfn.IFS(C559=":",":",C559&gt;=P$19,1,C559&gt;=P$20,2,C559&lt;P$20,3)</f>
        <v>1</v>
      </c>
      <c r="H559" s="43"/>
      <c r="I559" s="44"/>
      <c r="Y559" s="26"/>
    </row>
    <row r="560" spans="1:25" s="29" customFormat="1" ht="12" customHeight="1">
      <c r="A560" s="96" t="s">
        <v>1726</v>
      </c>
      <c r="B560" s="101" t="s">
        <v>1727</v>
      </c>
      <c r="C560" s="27">
        <v>82.7</v>
      </c>
      <c r="D560" s="27">
        <v>1.653651</v>
      </c>
      <c r="E560" s="59"/>
      <c r="F560" s="29" cm="1">
        <f t="array" ref="F560">_xlfn.IFS(C560=":",":",C560&gt;=P$19,1,C560&gt;=P$20,2,C560&lt;P$20,3)</f>
        <v>1</v>
      </c>
      <c r="H560" s="43"/>
      <c r="I560" s="44"/>
      <c r="Y560" s="26"/>
    </row>
    <row r="561" spans="1:25" s="29" customFormat="1" ht="12" customHeight="1">
      <c r="A561" s="96" t="s">
        <v>1728</v>
      </c>
      <c r="B561" s="101" t="s">
        <v>1729</v>
      </c>
      <c r="C561" s="27">
        <v>85.7</v>
      </c>
      <c r="D561" s="27">
        <v>2.4278590000000002</v>
      </c>
      <c r="E561" s="59"/>
      <c r="F561" s="29" cm="1">
        <f t="array" ref="F561">_xlfn.IFS(C561=":",":",C561&gt;=P$19,1,C561&gt;=P$20,2,C561&lt;P$20,3)</f>
        <v>1</v>
      </c>
      <c r="H561" s="43"/>
      <c r="I561" s="44"/>
      <c r="Y561" s="26"/>
    </row>
    <row r="562" spans="1:25" s="29" customFormat="1" ht="12" customHeight="1">
      <c r="A562" s="96" t="s">
        <v>1730</v>
      </c>
      <c r="B562" s="101" t="s">
        <v>1731</v>
      </c>
      <c r="C562" s="27">
        <v>23.8</v>
      </c>
      <c r="D562" s="27">
        <v>41.221572000000002</v>
      </c>
      <c r="E562" s="59"/>
      <c r="F562" s="29" cm="1">
        <f t="array" ref="F562">_xlfn.IFS(C562=":",":",C562&gt;=P$19,1,C562&gt;=P$20,2,C562&lt;P$20,3)</f>
        <v>3</v>
      </c>
      <c r="H562" s="43"/>
      <c r="I562" s="44"/>
      <c r="Y562" s="26"/>
    </row>
    <row r="563" spans="1:25" s="29" customFormat="1" ht="12" customHeight="1">
      <c r="A563" s="96" t="s">
        <v>1732</v>
      </c>
      <c r="B563" s="101" t="s">
        <v>1733</v>
      </c>
      <c r="C563" s="27">
        <v>35.200000000000003</v>
      </c>
      <c r="D563" s="27">
        <v>24.474094999999998</v>
      </c>
      <c r="E563" s="59"/>
      <c r="F563" s="29" cm="1">
        <f t="array" ref="F563">_xlfn.IFS(C563=":",":",C563&gt;=P$19,1,C563&gt;=P$20,2,C563&lt;P$20,3)</f>
        <v>2</v>
      </c>
      <c r="H563" s="43"/>
      <c r="I563" s="44"/>
      <c r="Y563" s="26"/>
    </row>
    <row r="564" spans="1:25" s="29" customFormat="1" ht="12" customHeight="1">
      <c r="A564" s="96" t="s">
        <v>1734</v>
      </c>
      <c r="B564" s="97" t="s">
        <v>1735</v>
      </c>
      <c r="C564" s="27">
        <v>82.7</v>
      </c>
      <c r="D564" s="27">
        <v>3.2775020000000001</v>
      </c>
      <c r="E564" s="59"/>
      <c r="F564" s="29" cm="1">
        <f t="array" ref="F564">_xlfn.IFS(C564=":",":",C564&gt;=P$19,1,C564&gt;=P$20,2,C564&lt;P$20,3)</f>
        <v>1</v>
      </c>
      <c r="H564" s="43"/>
      <c r="I564" s="44"/>
      <c r="Y564" s="26"/>
    </row>
    <row r="565" spans="1:25" s="29" customFormat="1" ht="12" customHeight="1">
      <c r="A565" s="96" t="s">
        <v>1736</v>
      </c>
      <c r="B565" s="97" t="s">
        <v>1737</v>
      </c>
      <c r="C565" s="27">
        <v>45.8</v>
      </c>
      <c r="D565" s="27">
        <v>19.697520999999998</v>
      </c>
      <c r="E565" s="59"/>
      <c r="F565" s="29" cm="1">
        <f t="array" ref="F565">_xlfn.IFS(C565=":",":",C565&gt;=P$19,1,C565&gt;=P$20,2,C565&lt;P$20,3)</f>
        <v>2</v>
      </c>
      <c r="H565" s="43"/>
      <c r="I565" s="44"/>
      <c r="Y565" s="26"/>
    </row>
    <row r="566" spans="1:25" s="29" customFormat="1" ht="12" customHeight="1">
      <c r="A566" s="96" t="s">
        <v>1738</v>
      </c>
      <c r="B566" s="97" t="s">
        <v>1739</v>
      </c>
      <c r="C566" s="27">
        <v>37.299999999999997</v>
      </c>
      <c r="D566" s="27">
        <v>32.579948000000002</v>
      </c>
      <c r="E566" s="59"/>
      <c r="F566" s="29" cm="1">
        <f t="array" ref="F566">_xlfn.IFS(C566=":",":",C566&gt;=P$19,1,C566&gt;=P$20,2,C566&lt;P$20,3)</f>
        <v>2</v>
      </c>
      <c r="H566" s="43"/>
      <c r="I566" s="44"/>
      <c r="Y566" s="26"/>
    </row>
    <row r="567" spans="1:25" s="29" customFormat="1" ht="12" customHeight="1">
      <c r="A567" s="96" t="s">
        <v>1740</v>
      </c>
      <c r="B567" s="97" t="s">
        <v>1741</v>
      </c>
      <c r="C567" s="27">
        <v>68.599999999999994</v>
      </c>
      <c r="D567" s="27">
        <v>7.9111120000000001</v>
      </c>
      <c r="E567" s="59"/>
      <c r="F567" s="29" cm="1">
        <f t="array" ref="F567">_xlfn.IFS(C567=":",":",C567&gt;=P$19,1,C567&gt;=P$20,2,C567&lt;P$20,3)</f>
        <v>1</v>
      </c>
      <c r="H567" s="43"/>
      <c r="I567" s="44"/>
      <c r="Y567" s="26"/>
    </row>
    <row r="568" spans="1:25" s="29" customFormat="1" ht="12" customHeight="1">
      <c r="A568" s="96" t="s">
        <v>1742</v>
      </c>
      <c r="B568" s="97" t="s">
        <v>1743</v>
      </c>
      <c r="C568" s="27">
        <v>50.7</v>
      </c>
      <c r="D568" s="27">
        <v>13.171283000000001</v>
      </c>
      <c r="E568" s="59"/>
      <c r="F568" s="29" cm="1">
        <f t="array" ref="F568">_xlfn.IFS(C568=":",":",C568&gt;=P$19,1,C568&gt;=P$20,2,C568&lt;P$20,3)</f>
        <v>2</v>
      </c>
      <c r="H568" s="43"/>
      <c r="I568" s="44"/>
      <c r="Y568" s="26"/>
    </row>
    <row r="569" spans="1:25" s="29" customFormat="1" ht="12" customHeight="1">
      <c r="A569" s="96" t="s">
        <v>1744</v>
      </c>
      <c r="B569" s="97" t="s">
        <v>2873</v>
      </c>
      <c r="C569" s="27">
        <v>14.5</v>
      </c>
      <c r="D569" s="27">
        <v>11.859783</v>
      </c>
      <c r="E569" s="59"/>
      <c r="F569" s="29" cm="1">
        <f t="array" ref="F569">_xlfn.IFS(C569=":",":",C569&gt;=P$19,1,C569&gt;=P$20,2,C569&lt;P$20,3)</f>
        <v>3</v>
      </c>
      <c r="H569" s="43"/>
      <c r="I569" s="44"/>
      <c r="Y569" s="26"/>
    </row>
    <row r="570" spans="1:25" s="29" customFormat="1" ht="12" customHeight="1">
      <c r="A570" s="96" t="s">
        <v>1745</v>
      </c>
      <c r="B570" s="97" t="s">
        <v>1746</v>
      </c>
      <c r="C570" s="27">
        <v>7.4</v>
      </c>
      <c r="D570" s="27">
        <v>55.265586999999996</v>
      </c>
      <c r="E570" s="59"/>
      <c r="F570" s="29" cm="1">
        <f t="array" ref="F570">_xlfn.IFS(C570=":",":",C570&gt;=P$19,1,C570&gt;=P$20,2,C570&lt;P$20,3)</f>
        <v>3</v>
      </c>
      <c r="H570" s="43"/>
      <c r="Y570" s="26"/>
    </row>
    <row r="571" spans="1:25" s="29" customFormat="1" ht="12" customHeight="1">
      <c r="A571" s="96" t="s">
        <v>1747</v>
      </c>
      <c r="B571" s="97" t="s">
        <v>1748</v>
      </c>
      <c r="C571" s="27">
        <v>21.2</v>
      </c>
      <c r="D571" s="27">
        <v>6.7198520000000004</v>
      </c>
      <c r="E571" s="59"/>
      <c r="F571" s="29" cm="1">
        <f t="array" ref="F571">_xlfn.IFS(C571=":",":",C571&gt;=P$19,1,C571&gt;=P$20,2,C571&lt;P$20,3)</f>
        <v>3</v>
      </c>
      <c r="H571" s="43"/>
      <c r="Y571" s="26"/>
    </row>
    <row r="572" spans="1:25" s="29" customFormat="1" ht="12" customHeight="1">
      <c r="A572" s="96" t="s">
        <v>1749</v>
      </c>
      <c r="B572" s="97" t="s">
        <v>1750</v>
      </c>
      <c r="C572" s="27">
        <v>69.900000000000006</v>
      </c>
      <c r="D572" s="27">
        <v>7.168615</v>
      </c>
      <c r="E572" s="59"/>
      <c r="F572" s="29" cm="1">
        <f t="array" ref="F572">_xlfn.IFS(C572=":",":",C572&gt;=P$19,1,C572&gt;=P$20,2,C572&lt;P$20,3)</f>
        <v>1</v>
      </c>
      <c r="H572" s="43"/>
      <c r="Y572" s="26"/>
    </row>
    <row r="573" spans="1:25" s="29" customFormat="1" ht="12" customHeight="1">
      <c r="A573" s="96" t="s">
        <v>1751</v>
      </c>
      <c r="B573" s="97" t="s">
        <v>1752</v>
      </c>
      <c r="C573" s="27">
        <v>63.7</v>
      </c>
      <c r="D573" s="27">
        <v>11.137847000000001</v>
      </c>
      <c r="E573" s="59"/>
      <c r="F573" s="29" cm="1">
        <f t="array" ref="F573">_xlfn.IFS(C573=":",":",C573&gt;=P$19,1,C573&gt;=P$20,2,C573&lt;P$20,3)</f>
        <v>2</v>
      </c>
      <c r="H573" s="43"/>
      <c r="Y573" s="26"/>
    </row>
    <row r="574" spans="1:25" s="29" customFormat="1" ht="12" customHeight="1">
      <c r="A574" s="96" t="s">
        <v>1753</v>
      </c>
      <c r="B574" s="97" t="s">
        <v>1754</v>
      </c>
      <c r="C574" s="27">
        <v>59.2</v>
      </c>
      <c r="D574" s="27">
        <v>2.3750580000000001</v>
      </c>
      <c r="E574" s="59"/>
      <c r="F574" s="29" cm="1">
        <f t="array" ref="F574">_xlfn.IFS(C574=":",":",C574&gt;=P$19,1,C574&gt;=P$20,2,C574&lt;P$20,3)</f>
        <v>2</v>
      </c>
      <c r="H574" s="43"/>
      <c r="Y574" s="26"/>
    </row>
    <row r="575" spans="1:25" s="29" customFormat="1" ht="12" customHeight="1">
      <c r="A575" s="96" t="s">
        <v>1755</v>
      </c>
      <c r="B575" s="97" t="s">
        <v>1756</v>
      </c>
      <c r="C575" s="27">
        <v>52.7</v>
      </c>
      <c r="D575" s="27">
        <v>7.8426090000000004</v>
      </c>
      <c r="E575" s="59"/>
      <c r="F575" s="29" cm="1">
        <f t="array" ref="F575">_xlfn.IFS(C575=":",":",C575&gt;=P$19,1,C575&gt;=P$20,2,C575&lt;P$20,3)</f>
        <v>2</v>
      </c>
      <c r="H575" s="43"/>
      <c r="Y575" s="26"/>
    </row>
    <row r="576" spans="1:25" s="29" customFormat="1" ht="12" customHeight="1">
      <c r="A576" s="96" t="s">
        <v>1757</v>
      </c>
      <c r="B576" s="97" t="s">
        <v>1758</v>
      </c>
      <c r="C576" s="27">
        <v>73.2</v>
      </c>
      <c r="D576" s="27">
        <v>6.2733670000000004</v>
      </c>
      <c r="E576" s="59"/>
      <c r="F576" s="29" cm="1">
        <f t="array" ref="F576">_xlfn.IFS(C576=":",":",C576&gt;=P$19,1,C576&gt;=P$20,2,C576&lt;P$20,3)</f>
        <v>1</v>
      </c>
      <c r="H576" s="43"/>
      <c r="Y576" s="26"/>
    </row>
    <row r="577" spans="1:25" s="29" customFormat="1" ht="12" customHeight="1">
      <c r="A577" s="96" t="s">
        <v>1759</v>
      </c>
      <c r="B577" s="97" t="s">
        <v>1760</v>
      </c>
      <c r="C577" s="27">
        <v>91.3</v>
      </c>
      <c r="D577" s="27">
        <v>1.8096939999999999</v>
      </c>
      <c r="E577" s="59"/>
      <c r="F577" s="29" cm="1">
        <f t="array" ref="F577">_xlfn.IFS(C577=":",":",C577&gt;=P$19,1,C577&gt;=P$20,2,C577&lt;P$20,3)</f>
        <v>1</v>
      </c>
      <c r="H577" s="43"/>
      <c r="Y577" s="26"/>
    </row>
    <row r="578" spans="1:25" s="29" customFormat="1" ht="12" customHeight="1">
      <c r="A578" s="96" t="s">
        <v>1761</v>
      </c>
      <c r="B578" s="97" t="s">
        <v>1762</v>
      </c>
      <c r="C578" s="27">
        <v>24.3</v>
      </c>
      <c r="D578" s="27">
        <v>30.456703999999998</v>
      </c>
      <c r="E578" s="59"/>
      <c r="F578" s="29" cm="1">
        <f t="array" ref="F578">_xlfn.IFS(C578=":",":",C578&gt;=P$19,1,C578&gt;=P$20,2,C578&lt;P$20,3)</f>
        <v>3</v>
      </c>
      <c r="H578" s="43"/>
      <c r="Y578" s="26"/>
    </row>
    <row r="579" spans="1:25" s="29" customFormat="1" ht="12" customHeight="1">
      <c r="A579" s="96" t="s">
        <v>1763</v>
      </c>
      <c r="B579" s="97" t="s">
        <v>1764</v>
      </c>
      <c r="C579" s="27">
        <v>39.9</v>
      </c>
      <c r="D579" s="27">
        <v>10.247325999999999</v>
      </c>
      <c r="E579" s="59"/>
      <c r="F579" s="29" cm="1">
        <f t="array" ref="F579">_xlfn.IFS(C579=":",":",C579&gt;=P$19,1,C579&gt;=P$20,2,C579&lt;P$20,3)</f>
        <v>2</v>
      </c>
      <c r="H579" s="43"/>
      <c r="Y579" s="26"/>
    </row>
    <row r="580" spans="1:25" s="29" customFormat="1" ht="12" customHeight="1">
      <c r="A580" s="96" t="s">
        <v>1765</v>
      </c>
      <c r="B580" s="97" t="s">
        <v>1766</v>
      </c>
      <c r="C580" s="27">
        <v>64.7</v>
      </c>
      <c r="D580" s="27">
        <v>5.7105670000000002</v>
      </c>
      <c r="E580" s="59"/>
      <c r="F580" s="29" cm="1">
        <f t="array" ref="F580">_xlfn.IFS(C580=":",":",C580&gt;=P$19,1,C580&gt;=P$20,2,C580&lt;P$20,3)</f>
        <v>2</v>
      </c>
      <c r="H580" s="43"/>
      <c r="Y580" s="26"/>
    </row>
    <row r="581" spans="1:25" s="29" customFormat="1" ht="12" customHeight="1">
      <c r="A581" s="96" t="s">
        <v>1767</v>
      </c>
      <c r="B581" s="97" t="s">
        <v>1768</v>
      </c>
      <c r="C581" s="27">
        <v>63.1</v>
      </c>
      <c r="D581" s="27">
        <v>0.13458400000000001</v>
      </c>
      <c r="E581" s="59"/>
      <c r="F581" s="29" cm="1">
        <f t="array" ref="F581">_xlfn.IFS(C581=":",":",C581&gt;=P$19,1,C581&gt;=P$20,2,C581&lt;P$20,3)</f>
        <v>2</v>
      </c>
      <c r="H581" s="43"/>
      <c r="Y581" s="26"/>
    </row>
    <row r="582" spans="1:25" s="29" customFormat="1" ht="12" customHeight="1">
      <c r="A582" s="96" t="s">
        <v>1769</v>
      </c>
      <c r="B582" s="97" t="s">
        <v>1770</v>
      </c>
      <c r="C582" s="27">
        <v>83.4</v>
      </c>
      <c r="D582" s="27">
        <v>0.133821</v>
      </c>
      <c r="E582" s="59"/>
      <c r="F582" s="29" cm="1">
        <f t="array" ref="F582">_xlfn.IFS(C582=":",":",C582&gt;=P$19,1,C582&gt;=P$20,2,C582&lt;P$20,3)</f>
        <v>1</v>
      </c>
      <c r="H582" s="43"/>
      <c r="Y582" s="26"/>
    </row>
    <row r="583" spans="1:25" s="29" customFormat="1" ht="12" customHeight="1">
      <c r="A583" s="96" t="s">
        <v>1771</v>
      </c>
      <c r="B583" s="97" t="s">
        <v>1772</v>
      </c>
      <c r="C583" s="27">
        <v>62.9</v>
      </c>
      <c r="D583" s="27">
        <v>0.15151899999999999</v>
      </c>
      <c r="E583" s="59"/>
      <c r="F583" s="29" cm="1">
        <f t="array" ref="F583">_xlfn.IFS(C583=":",":",C583&gt;=P$19,1,C583&gt;=P$20,2,C583&lt;P$20,3)</f>
        <v>2</v>
      </c>
      <c r="H583" s="43"/>
      <c r="Y583" s="26"/>
    </row>
    <row r="584" spans="1:25" s="29" customFormat="1" ht="12" customHeight="1">
      <c r="A584" s="96" t="s">
        <v>1773</v>
      </c>
      <c r="B584" s="97" t="s">
        <v>1774</v>
      </c>
      <c r="C584" s="27">
        <v>8.8000000000000007</v>
      </c>
      <c r="D584" s="27">
        <v>15.74316</v>
      </c>
      <c r="E584" s="59"/>
      <c r="F584" s="29" cm="1">
        <f t="array" ref="F584">_xlfn.IFS(C584=":",":",C584&gt;=P$19,1,C584&gt;=P$20,2,C584&lt;P$20,3)</f>
        <v>3</v>
      </c>
      <c r="H584" s="43"/>
      <c r="Y584" s="26"/>
    </row>
    <row r="585" spans="1:25" s="29" customFormat="1" ht="12" customHeight="1">
      <c r="A585" s="96" t="s">
        <v>1775</v>
      </c>
      <c r="B585" s="97" t="s">
        <v>1776</v>
      </c>
      <c r="C585" s="27">
        <v>13.9</v>
      </c>
      <c r="D585" s="27">
        <v>26.989094000000001</v>
      </c>
      <c r="E585" s="59"/>
      <c r="F585" s="29" cm="1">
        <f t="array" ref="F585">_xlfn.IFS(C585=":",":",C585&gt;=P$19,1,C585&gt;=P$20,2,C585&lt;P$20,3)</f>
        <v>3</v>
      </c>
      <c r="H585" s="43"/>
      <c r="Y585" s="26"/>
    </row>
    <row r="586" spans="1:25" s="29" customFormat="1" ht="12" customHeight="1">
      <c r="A586" s="96" t="s">
        <v>1777</v>
      </c>
      <c r="B586" s="97" t="s">
        <v>1778</v>
      </c>
      <c r="C586" s="27">
        <v>31.3</v>
      </c>
      <c r="D586" s="27">
        <v>0.88129299999999999</v>
      </c>
      <c r="E586" s="59"/>
      <c r="F586" s="29" cm="1">
        <f t="array" ref="F586">_xlfn.IFS(C586=":",":",C586&gt;=P$19,1,C586&gt;=P$20,2,C586&lt;P$20,3)</f>
        <v>3</v>
      </c>
      <c r="H586" s="43"/>
      <c r="Y586" s="26"/>
    </row>
    <row r="587" spans="1:25" s="29" customFormat="1" ht="12" customHeight="1">
      <c r="A587" s="96" t="s">
        <v>1779</v>
      </c>
      <c r="B587" s="97" t="s">
        <v>1780</v>
      </c>
      <c r="C587" s="27">
        <v>38.6</v>
      </c>
      <c r="D587" s="27">
        <v>1.247484</v>
      </c>
      <c r="E587" s="59"/>
      <c r="F587" s="29" cm="1">
        <f t="array" ref="F587">_xlfn.IFS(C587=":",":",C587&gt;=P$19,1,C587&gt;=P$20,2,C587&lt;P$20,3)</f>
        <v>2</v>
      </c>
      <c r="H587" s="43"/>
      <c r="Y587" s="26"/>
    </row>
    <row r="588" spans="1:25" s="29" customFormat="1" ht="12" customHeight="1">
      <c r="A588" s="96" t="s">
        <v>1781</v>
      </c>
      <c r="B588" s="97" t="s">
        <v>1782</v>
      </c>
      <c r="C588" s="27">
        <v>9.9</v>
      </c>
      <c r="D588" s="27">
        <v>18.702161</v>
      </c>
      <c r="E588" s="59"/>
      <c r="F588" s="29" cm="1">
        <f t="array" ref="F588">_xlfn.IFS(C588=":",":",C588&gt;=P$19,1,C588&gt;=P$20,2,C588&lt;P$20,3)</f>
        <v>3</v>
      </c>
      <c r="H588" s="43"/>
      <c r="Y588" s="26"/>
    </row>
    <row r="589" spans="1:25" s="29" customFormat="1" ht="12" customHeight="1">
      <c r="A589" s="96" t="s">
        <v>1783</v>
      </c>
      <c r="B589" s="97" t="s">
        <v>1784</v>
      </c>
      <c r="C589" s="27">
        <v>12.5</v>
      </c>
      <c r="D589" s="27">
        <v>35.774106000000003</v>
      </c>
      <c r="E589" s="59"/>
      <c r="F589" s="29" cm="1">
        <f t="array" ref="F589">_xlfn.IFS(C589=":",":",C589&gt;=P$19,1,C589&gt;=P$20,2,C589&lt;P$20,3)</f>
        <v>3</v>
      </c>
      <c r="H589" s="43"/>
      <c r="Y589" s="26"/>
    </row>
    <row r="590" spans="1:25" s="29" customFormat="1" ht="12" customHeight="1">
      <c r="A590" s="96" t="s">
        <v>1785</v>
      </c>
      <c r="B590" s="97" t="s">
        <v>1786</v>
      </c>
      <c r="C590" s="27">
        <v>35.5</v>
      </c>
      <c r="D590" s="27">
        <v>43.162004000000003</v>
      </c>
      <c r="E590" s="59"/>
      <c r="F590" s="29" cm="1">
        <f t="array" ref="F590">_xlfn.IFS(C590=":",":",C590&gt;=P$19,1,C590&gt;=P$20,2,C590&lt;P$20,3)</f>
        <v>2</v>
      </c>
      <c r="H590" s="43"/>
      <c r="Y590" s="26"/>
    </row>
    <row r="591" spans="1:25" s="29" customFormat="1" ht="12" customHeight="1">
      <c r="A591" s="96" t="s">
        <v>1787</v>
      </c>
      <c r="B591" s="97" t="s">
        <v>2822</v>
      </c>
      <c r="C591" s="27">
        <v>39.799999999999997</v>
      </c>
      <c r="D591" s="27">
        <v>13.416454</v>
      </c>
      <c r="E591" s="59"/>
      <c r="F591" s="29" cm="1">
        <f t="array" ref="F591">_xlfn.IFS(C591=":",":",C591&gt;=P$19,1,C591&gt;=P$20,2,C591&lt;P$20,3)</f>
        <v>2</v>
      </c>
      <c r="H591" s="43"/>
      <c r="Y591" s="26"/>
    </row>
    <row r="592" spans="1:25" s="29" customFormat="1" ht="12" customHeight="1">
      <c r="A592" s="96" t="s">
        <v>1788</v>
      </c>
      <c r="B592" s="97" t="s">
        <v>2823</v>
      </c>
      <c r="C592" s="27">
        <v>73.400000000000006</v>
      </c>
      <c r="D592" s="27">
        <v>2.985179</v>
      </c>
      <c r="E592" s="59"/>
      <c r="F592" s="29" cm="1">
        <f t="array" ref="F592">_xlfn.IFS(C592=":",":",C592&gt;=P$19,1,C592&gt;=P$20,2,C592&lt;P$20,3)</f>
        <v>1</v>
      </c>
      <c r="H592" s="43"/>
      <c r="Y592" s="26"/>
    </row>
    <row r="593" spans="1:25" s="29" customFormat="1" ht="12" customHeight="1">
      <c r="A593" s="96" t="s">
        <v>1789</v>
      </c>
      <c r="B593" s="97" t="s">
        <v>1790</v>
      </c>
      <c r="C593" s="27">
        <v>80.099999999999994</v>
      </c>
      <c r="D593" s="27">
        <v>2.7633070000000002</v>
      </c>
      <c r="E593" s="59"/>
      <c r="F593" s="29" cm="1">
        <f t="array" ref="F593">_xlfn.IFS(C593=":",":",C593&gt;=P$19,1,C593&gt;=P$20,2,C593&lt;P$20,3)</f>
        <v>1</v>
      </c>
      <c r="H593" s="43"/>
      <c r="Y593" s="26"/>
    </row>
    <row r="594" spans="1:25" s="29" customFormat="1" ht="12" customHeight="1">
      <c r="A594" s="96" t="s">
        <v>1791</v>
      </c>
      <c r="B594" s="97" t="s">
        <v>2824</v>
      </c>
      <c r="C594" s="27">
        <v>66.7</v>
      </c>
      <c r="D594" s="27">
        <v>8.1208910000000003</v>
      </c>
      <c r="E594" s="59"/>
      <c r="F594" s="29" cm="1">
        <f t="array" ref="F594">_xlfn.IFS(C594=":",":",C594&gt;=P$19,1,C594&gt;=P$20,2,C594&lt;P$20,3)</f>
        <v>1</v>
      </c>
      <c r="H594" s="43"/>
      <c r="Y594" s="26"/>
    </row>
    <row r="595" spans="1:25" s="29" customFormat="1" ht="12" customHeight="1">
      <c r="A595" s="96" t="s">
        <v>1792</v>
      </c>
      <c r="B595" s="97" t="s">
        <v>2825</v>
      </c>
      <c r="C595" s="27">
        <v>65.3</v>
      </c>
      <c r="D595" s="27">
        <v>4.6651829999999999</v>
      </c>
      <c r="E595" s="59"/>
      <c r="F595" s="29" cm="1">
        <f t="array" ref="F595">_xlfn.IFS(C595=":",":",C595&gt;=P$19,1,C595&gt;=P$20,2,C595&lt;P$20,3)</f>
        <v>1</v>
      </c>
      <c r="H595" s="43"/>
      <c r="Y595" s="26"/>
    </row>
    <row r="596" spans="1:25" s="29" customFormat="1" ht="12" customHeight="1">
      <c r="A596" s="96" t="s">
        <v>1793</v>
      </c>
      <c r="B596" s="97" t="s">
        <v>1794</v>
      </c>
      <c r="C596" s="27">
        <v>69</v>
      </c>
      <c r="D596" s="27">
        <v>4.1853220000000002</v>
      </c>
      <c r="E596" s="59"/>
      <c r="F596" s="29" cm="1">
        <f t="array" ref="F596">_xlfn.IFS(C596=":",":",C596&gt;=P$19,1,C596&gt;=P$20,2,C596&lt;P$20,3)</f>
        <v>1</v>
      </c>
      <c r="H596" s="43"/>
      <c r="Y596" s="26"/>
    </row>
    <row r="597" spans="1:25" s="29" customFormat="1" ht="12" customHeight="1">
      <c r="A597" s="96" t="s">
        <v>1795</v>
      </c>
      <c r="B597" s="97" t="s">
        <v>2874</v>
      </c>
      <c r="C597" s="27">
        <v>71.400000000000006</v>
      </c>
      <c r="D597" s="27">
        <v>4.3810890000000002</v>
      </c>
      <c r="E597" s="59"/>
      <c r="F597" s="29" cm="1">
        <f t="array" ref="F597">_xlfn.IFS(C597=":",":",C597&gt;=P$19,1,C597&gt;=P$20,2,C597&lt;P$20,3)</f>
        <v>1</v>
      </c>
      <c r="H597" s="43"/>
      <c r="Y597" s="26"/>
    </row>
    <row r="598" spans="1:25" s="29" customFormat="1" ht="12" customHeight="1">
      <c r="A598" s="96" t="s">
        <v>1796</v>
      </c>
      <c r="B598" s="97" t="s">
        <v>1797</v>
      </c>
      <c r="C598" s="27">
        <v>81.3</v>
      </c>
      <c r="D598" s="27">
        <v>0.85421899999999995</v>
      </c>
      <c r="E598" s="59"/>
      <c r="F598" s="29" cm="1">
        <f t="array" ref="F598">_xlfn.IFS(C598=":",":",C598&gt;=P$19,1,C598&gt;=P$20,2,C598&lt;P$20,3)</f>
        <v>1</v>
      </c>
      <c r="H598" s="43"/>
      <c r="Y598" s="26"/>
    </row>
    <row r="599" spans="1:25" s="29" customFormat="1" ht="12" customHeight="1">
      <c r="A599" s="96" t="s">
        <v>1798</v>
      </c>
      <c r="B599" s="97" t="s">
        <v>1799</v>
      </c>
      <c r="C599" s="27">
        <v>80.8</v>
      </c>
      <c r="D599" s="27">
        <v>0.92369900000000005</v>
      </c>
      <c r="E599" s="59"/>
      <c r="F599" s="29" cm="1">
        <f t="array" ref="F599">_xlfn.IFS(C599=":",":",C599&gt;=P$19,1,C599&gt;=P$20,2,C599&lt;P$20,3)</f>
        <v>1</v>
      </c>
      <c r="H599" s="43"/>
      <c r="Y599" s="26"/>
    </row>
    <row r="600" spans="1:25" s="29" customFormat="1" ht="12" customHeight="1">
      <c r="A600" s="96" t="s">
        <v>1800</v>
      </c>
      <c r="B600" s="97" t="s">
        <v>1801</v>
      </c>
      <c r="C600" s="27">
        <v>79.7</v>
      </c>
      <c r="D600" s="27">
        <v>0.59255000000000002</v>
      </c>
      <c r="E600" s="59"/>
      <c r="F600" s="29" cm="1">
        <f t="array" ref="F600">_xlfn.IFS(C600=":",":",C600&gt;=P$19,1,C600&gt;=P$20,2,C600&lt;P$20,3)</f>
        <v>1</v>
      </c>
      <c r="H600" s="43"/>
      <c r="Y600" s="26"/>
    </row>
    <row r="601" spans="1:25" s="29" customFormat="1" ht="12" customHeight="1">
      <c r="A601" s="96" t="s">
        <v>1802</v>
      </c>
      <c r="B601" s="97" t="s">
        <v>1803</v>
      </c>
      <c r="C601" s="27">
        <v>76.2</v>
      </c>
      <c r="D601" s="27">
        <v>3.0719889999999999</v>
      </c>
      <c r="E601" s="59"/>
      <c r="F601" s="29" cm="1">
        <f t="array" ref="F601">_xlfn.IFS(C601=":",":",C601&gt;=P$19,1,C601&gt;=P$20,2,C601&lt;P$20,3)</f>
        <v>1</v>
      </c>
      <c r="H601" s="43"/>
      <c r="Y601" s="26"/>
    </row>
    <row r="602" spans="1:25" s="29" customFormat="1" ht="12" customHeight="1">
      <c r="A602" s="96" t="s">
        <v>1804</v>
      </c>
      <c r="B602" s="97" t="s">
        <v>1805</v>
      </c>
      <c r="C602" s="27">
        <v>77.900000000000006</v>
      </c>
      <c r="D602" s="27">
        <v>3.0009030000000001</v>
      </c>
      <c r="E602" s="59"/>
      <c r="F602" s="29" cm="1">
        <f t="array" ref="F602">_xlfn.IFS(C602=":",":",C602&gt;=P$19,1,C602&gt;=P$20,2,C602&lt;P$20,3)</f>
        <v>1</v>
      </c>
      <c r="H602" s="43"/>
      <c r="Y602" s="26"/>
    </row>
    <row r="603" spans="1:25" s="29" customFormat="1" ht="12" customHeight="1">
      <c r="A603" s="96" t="s">
        <v>1806</v>
      </c>
      <c r="B603" s="97" t="s">
        <v>1807</v>
      </c>
      <c r="C603" s="27">
        <v>76.3</v>
      </c>
      <c r="D603" s="27">
        <v>1.7893969999999999</v>
      </c>
      <c r="E603" s="59"/>
      <c r="F603" s="29" cm="1">
        <f t="array" ref="F603">_xlfn.IFS(C603=":",":",C603&gt;=P$19,1,C603&gt;=P$20,2,C603&lt;P$20,3)</f>
        <v>1</v>
      </c>
      <c r="H603" s="43"/>
      <c r="Y603" s="26"/>
    </row>
    <row r="604" spans="1:25" s="29" customFormat="1" ht="12" customHeight="1">
      <c r="A604" s="96" t="s">
        <v>1808</v>
      </c>
      <c r="B604" s="97" t="s">
        <v>2875</v>
      </c>
      <c r="C604" s="27">
        <v>60.4</v>
      </c>
      <c r="D604" s="27">
        <v>3.4080550000000001</v>
      </c>
      <c r="E604" s="59"/>
      <c r="F604" s="29" cm="1">
        <f t="array" ref="F604">_xlfn.IFS(C604=":",":",C604&gt;=P$19,1,C604&gt;=P$20,2,C604&lt;P$20,3)</f>
        <v>2</v>
      </c>
      <c r="H604" s="43"/>
      <c r="Y604" s="26"/>
    </row>
    <row r="605" spans="1:25" s="29" customFormat="1" ht="12" customHeight="1">
      <c r="A605" s="96" t="s">
        <v>1809</v>
      </c>
      <c r="B605" s="97" t="s">
        <v>1810</v>
      </c>
      <c r="C605" s="27">
        <v>76.400000000000006</v>
      </c>
      <c r="D605" s="27">
        <v>0.71658999999999995</v>
      </c>
      <c r="E605" s="59"/>
      <c r="F605" s="29" cm="1">
        <f t="array" ref="F605">_xlfn.IFS(C605=":",":",C605&gt;=P$19,1,C605&gt;=P$20,2,C605&lt;P$20,3)</f>
        <v>1</v>
      </c>
      <c r="H605" s="43"/>
      <c r="Y605" s="26"/>
    </row>
    <row r="606" spans="1:25" s="29" customFormat="1" ht="12" customHeight="1">
      <c r="A606" s="96" t="s">
        <v>1811</v>
      </c>
      <c r="B606" s="97" t="s">
        <v>1812</v>
      </c>
      <c r="C606" s="27">
        <v>66.2</v>
      </c>
      <c r="D606" s="27">
        <v>2.0835430000000001</v>
      </c>
      <c r="E606" s="59"/>
      <c r="F606" s="29" cm="1">
        <f t="array" ref="F606">_xlfn.IFS(C606=":",":",C606&gt;=P$19,1,C606&gt;=P$20,2,C606&lt;P$20,3)</f>
        <v>1</v>
      </c>
      <c r="H606" s="43"/>
      <c r="Y606" s="26"/>
    </row>
    <row r="607" spans="1:25" s="29" customFormat="1" ht="12" customHeight="1">
      <c r="A607" s="96" t="s">
        <v>1813</v>
      </c>
      <c r="B607" s="97" t="s">
        <v>1814</v>
      </c>
      <c r="C607" s="27">
        <v>77.3</v>
      </c>
      <c r="D607" s="27">
        <v>0.92920899999999995</v>
      </c>
      <c r="E607" s="59"/>
      <c r="F607" s="29" cm="1">
        <f t="array" ref="F607">_xlfn.IFS(C607=":",":",C607&gt;=P$19,1,C607&gt;=P$20,2,C607&lt;P$20,3)</f>
        <v>1</v>
      </c>
      <c r="H607" s="43"/>
      <c r="Y607" s="26"/>
    </row>
    <row r="608" spans="1:25" s="29" customFormat="1" ht="12" customHeight="1">
      <c r="A608" s="96" t="s">
        <v>1815</v>
      </c>
      <c r="B608" s="97" t="s">
        <v>1816</v>
      </c>
      <c r="C608" s="27">
        <v>72.2</v>
      </c>
      <c r="D608" s="27">
        <v>1.6667320000000001</v>
      </c>
      <c r="E608" s="59"/>
      <c r="F608" s="29" cm="1">
        <f t="array" ref="F608">_xlfn.IFS(C608=":",":",C608&gt;=P$19,1,C608&gt;=P$20,2,C608&lt;P$20,3)</f>
        <v>1</v>
      </c>
      <c r="H608" s="43"/>
      <c r="Y608" s="26"/>
    </row>
    <row r="609" spans="1:25" s="29" customFormat="1" ht="12" customHeight="1">
      <c r="A609" s="96" t="s">
        <v>1817</v>
      </c>
      <c r="B609" s="97" t="s">
        <v>1818</v>
      </c>
      <c r="C609" s="27">
        <v>72.599999999999994</v>
      </c>
      <c r="D609" s="27">
        <v>1.980707</v>
      </c>
      <c r="E609" s="59"/>
      <c r="F609" s="29" cm="1">
        <f t="array" ref="F609">_xlfn.IFS(C609=":",":",C609&gt;=P$19,1,C609&gt;=P$20,2,C609&lt;P$20,3)</f>
        <v>1</v>
      </c>
      <c r="H609" s="43"/>
      <c r="Y609" s="26"/>
    </row>
    <row r="610" spans="1:25" s="29" customFormat="1" ht="12" customHeight="1">
      <c r="A610" s="96" t="s">
        <v>1819</v>
      </c>
      <c r="B610" s="97" t="s">
        <v>1820</v>
      </c>
      <c r="C610" s="27">
        <v>68</v>
      </c>
      <c r="D610" s="27">
        <v>0.344698</v>
      </c>
      <c r="E610" s="59"/>
      <c r="F610" s="29" cm="1">
        <f t="array" ref="F610">_xlfn.IFS(C610=":",":",C610&gt;=P$19,1,C610&gt;=P$20,2,C610&lt;P$20,3)</f>
        <v>1</v>
      </c>
      <c r="H610" s="43"/>
      <c r="Y610" s="26"/>
    </row>
    <row r="611" spans="1:25" s="29" customFormat="1" ht="12" customHeight="1">
      <c r="A611" s="96" t="s">
        <v>1821</v>
      </c>
      <c r="B611" s="97" t="s">
        <v>1822</v>
      </c>
      <c r="C611" s="27">
        <v>72.900000000000006</v>
      </c>
      <c r="D611" s="27">
        <v>0.34556300000000001</v>
      </c>
      <c r="E611" s="59"/>
      <c r="F611" s="29" cm="1">
        <f t="array" ref="F611">_xlfn.IFS(C611=":",":",C611&gt;=P$19,1,C611&gt;=P$20,2,C611&lt;P$20,3)</f>
        <v>1</v>
      </c>
      <c r="H611" s="43"/>
      <c r="Y611" s="26"/>
    </row>
    <row r="612" spans="1:25" s="29" customFormat="1" ht="12" customHeight="1">
      <c r="A612" s="96" t="s">
        <v>1823</v>
      </c>
      <c r="B612" s="97" t="s">
        <v>2826</v>
      </c>
      <c r="C612" s="27">
        <v>70.5</v>
      </c>
      <c r="D612" s="27">
        <v>7.3213020000000002</v>
      </c>
      <c r="E612" s="59"/>
      <c r="F612" s="29" cm="1">
        <f t="array" ref="F612">_xlfn.IFS(C612=":",":",C612&gt;=P$19,1,C612&gt;=P$20,2,C612&lt;P$20,3)</f>
        <v>1</v>
      </c>
      <c r="H612" s="43"/>
      <c r="Y612" s="26"/>
    </row>
    <row r="613" spans="1:25" s="29" customFormat="1" ht="12" customHeight="1">
      <c r="A613" s="96" t="s">
        <v>1824</v>
      </c>
      <c r="B613" s="97" t="s">
        <v>2827</v>
      </c>
      <c r="C613" s="27">
        <v>72.400000000000006</v>
      </c>
      <c r="D613" s="27">
        <v>3.08588</v>
      </c>
      <c r="E613" s="59"/>
      <c r="F613" s="29" cm="1">
        <f t="array" ref="F613">_xlfn.IFS(C613=":",":",C613&gt;=P$19,1,C613&gt;=P$20,2,C613&lt;P$20,3)</f>
        <v>1</v>
      </c>
      <c r="H613" s="43"/>
      <c r="Y613" s="26"/>
    </row>
    <row r="614" spans="1:25" s="29" customFormat="1" ht="12" customHeight="1">
      <c r="A614" s="96" t="s">
        <v>1825</v>
      </c>
      <c r="B614" s="97" t="s">
        <v>1826</v>
      </c>
      <c r="C614" s="27">
        <v>87.3</v>
      </c>
      <c r="D614" s="27">
        <v>0.55315899999999996</v>
      </c>
      <c r="E614" s="59"/>
      <c r="F614" s="29" cm="1">
        <f t="array" ref="F614">_xlfn.IFS(C614=":",":",C614&gt;=P$19,1,C614&gt;=P$20,2,C614&lt;P$20,3)</f>
        <v>1</v>
      </c>
      <c r="H614" s="43"/>
      <c r="Y614" s="26"/>
    </row>
    <row r="615" spans="1:25" s="29" customFormat="1" ht="12" customHeight="1">
      <c r="A615" s="96" t="s">
        <v>1827</v>
      </c>
      <c r="B615" s="97" t="s">
        <v>1828</v>
      </c>
      <c r="C615" s="27">
        <v>80.900000000000006</v>
      </c>
      <c r="D615" s="27">
        <v>1.6977139999999999</v>
      </c>
      <c r="E615" s="59"/>
      <c r="F615" s="29" cm="1">
        <f t="array" ref="F615">_xlfn.IFS(C615=":",":",C615&gt;=P$19,1,C615&gt;=P$20,2,C615&lt;P$20,3)</f>
        <v>1</v>
      </c>
      <c r="H615" s="43"/>
      <c r="Y615" s="26"/>
    </row>
    <row r="616" spans="1:25" s="29" customFormat="1" ht="12" customHeight="1">
      <c r="A616" s="96" t="s">
        <v>1829</v>
      </c>
      <c r="B616" s="97" t="s">
        <v>1830</v>
      </c>
      <c r="C616" s="27">
        <v>71.599999999999994</v>
      </c>
      <c r="D616" s="27">
        <v>3.7172109999999998</v>
      </c>
      <c r="E616" s="59"/>
      <c r="F616" s="29" cm="1">
        <f t="array" ref="F616">_xlfn.IFS(C616=":",":",C616&gt;=P$19,1,C616&gt;=P$20,2,C616&lt;P$20,3)</f>
        <v>1</v>
      </c>
      <c r="H616" s="43"/>
      <c r="Y616" s="26"/>
    </row>
    <row r="617" spans="1:25" s="29" customFormat="1" ht="12" customHeight="1">
      <c r="A617" s="96" t="s">
        <v>1831</v>
      </c>
      <c r="B617" s="97" t="s">
        <v>1832</v>
      </c>
      <c r="C617" s="27">
        <v>78.7</v>
      </c>
      <c r="D617" s="27">
        <v>5.0312200000000002</v>
      </c>
      <c r="E617" s="59"/>
      <c r="F617" s="29" cm="1">
        <f t="array" ref="F617">_xlfn.IFS(C617=":",":",C617&gt;=P$19,1,C617&gt;=P$20,2,C617&lt;P$20,3)</f>
        <v>1</v>
      </c>
      <c r="H617" s="43"/>
      <c r="Y617" s="26"/>
    </row>
    <row r="618" spans="1:25" s="29" customFormat="1" ht="12" customHeight="1">
      <c r="A618" s="96" t="s">
        <v>1833</v>
      </c>
      <c r="B618" s="97" t="s">
        <v>1834</v>
      </c>
      <c r="C618" s="27">
        <v>68.3</v>
      </c>
      <c r="D618" s="27">
        <v>4.0936089999999998</v>
      </c>
      <c r="E618" s="59"/>
      <c r="F618" s="29" cm="1">
        <f t="array" ref="F618">_xlfn.IFS(C618=":",":",C618&gt;=P$19,1,C618&gt;=P$20,2,C618&lt;P$20,3)</f>
        <v>1</v>
      </c>
      <c r="H618" s="43"/>
      <c r="Y618" s="26"/>
    </row>
    <row r="619" spans="1:25" s="29" customFormat="1" ht="12" customHeight="1">
      <c r="A619" s="96" t="s">
        <v>1835</v>
      </c>
      <c r="B619" s="97" t="s">
        <v>1836</v>
      </c>
      <c r="C619" s="27">
        <v>60.8</v>
      </c>
      <c r="D619" s="27">
        <v>1.7339230000000001</v>
      </c>
      <c r="E619" s="59"/>
      <c r="F619" s="29" cm="1">
        <f t="array" ref="F619">_xlfn.IFS(C619=":",":",C619&gt;=P$19,1,C619&gt;=P$20,2,C619&lt;P$20,3)</f>
        <v>2</v>
      </c>
      <c r="H619" s="43"/>
      <c r="Y619" s="26"/>
    </row>
    <row r="620" spans="1:25" s="29" customFormat="1" ht="12" customHeight="1">
      <c r="A620" s="96" t="s">
        <v>1837</v>
      </c>
      <c r="B620" s="97" t="s">
        <v>1838</v>
      </c>
      <c r="C620" s="27">
        <v>80.3</v>
      </c>
      <c r="D620" s="27">
        <v>1.6605840000000001</v>
      </c>
      <c r="E620" s="59"/>
      <c r="F620" s="29" cm="1">
        <f t="array" ref="F620">_xlfn.IFS(C620=":",":",C620&gt;=P$19,1,C620&gt;=P$20,2,C620&lt;P$20,3)</f>
        <v>1</v>
      </c>
      <c r="H620" s="43"/>
      <c r="Y620" s="26"/>
    </row>
    <row r="621" spans="1:25" s="29" customFormat="1" ht="12" customHeight="1">
      <c r="A621" s="96" t="s">
        <v>1839</v>
      </c>
      <c r="B621" s="97" t="s">
        <v>1840</v>
      </c>
      <c r="C621" s="27">
        <v>77.400000000000006</v>
      </c>
      <c r="D621" s="27">
        <v>3.0283509999999998</v>
      </c>
      <c r="E621" s="59"/>
      <c r="F621" s="29" cm="1">
        <f t="array" ref="F621">_xlfn.IFS(C621=":",":",C621&gt;=P$19,1,C621&gt;=P$20,2,C621&lt;P$20,3)</f>
        <v>1</v>
      </c>
      <c r="H621" s="43"/>
      <c r="Y621" s="26"/>
    </row>
    <row r="622" spans="1:25" s="29" customFormat="1" ht="12" customHeight="1">
      <c r="A622" s="96" t="s">
        <v>1841</v>
      </c>
      <c r="B622" s="97" t="s">
        <v>1842</v>
      </c>
      <c r="C622" s="27">
        <v>57.7</v>
      </c>
      <c r="D622" s="27">
        <v>6.2675929999999997</v>
      </c>
      <c r="E622" s="59"/>
      <c r="F622" s="29" cm="1">
        <f t="array" ref="F622">_xlfn.IFS(C622=":",":",C622&gt;=P$19,1,C622&gt;=P$20,2,C622&lt;P$20,3)</f>
        <v>2</v>
      </c>
      <c r="H622" s="43"/>
      <c r="Y622" s="26"/>
    </row>
    <row r="623" spans="1:25" s="29" customFormat="1" ht="12" customHeight="1">
      <c r="A623" s="96" t="s">
        <v>1843</v>
      </c>
      <c r="B623" s="97" t="s">
        <v>1844</v>
      </c>
      <c r="C623" s="27">
        <v>53.9</v>
      </c>
      <c r="D623" s="27">
        <v>4.783366</v>
      </c>
      <c r="E623" s="59"/>
      <c r="F623" s="29" cm="1">
        <f t="array" ref="F623">_xlfn.IFS(C623=":",":",C623&gt;=P$19,1,C623&gt;=P$20,2,C623&lt;P$20,3)</f>
        <v>2</v>
      </c>
      <c r="H623" s="43"/>
      <c r="Y623" s="26"/>
    </row>
    <row r="624" spans="1:25" s="29" customFormat="1" ht="12" customHeight="1">
      <c r="A624" s="96" t="s">
        <v>1845</v>
      </c>
      <c r="B624" s="97" t="s">
        <v>1846</v>
      </c>
      <c r="C624" s="27">
        <v>64.900000000000006</v>
      </c>
      <c r="D624" s="27">
        <v>0.463503</v>
      </c>
      <c r="E624" s="59"/>
      <c r="F624" s="29" cm="1">
        <f t="array" ref="F624">_xlfn.IFS(C624=":",":",C624&gt;=P$19,1,C624&gt;=P$20,2,C624&lt;P$20,3)</f>
        <v>2</v>
      </c>
      <c r="H624" s="43"/>
      <c r="Y624" s="26"/>
    </row>
    <row r="625" spans="1:25" s="29" customFormat="1" ht="12" customHeight="1">
      <c r="A625" s="96" t="s">
        <v>1847</v>
      </c>
      <c r="B625" s="97" t="s">
        <v>1848</v>
      </c>
      <c r="C625" s="27">
        <v>67.7</v>
      </c>
      <c r="D625" s="27">
        <v>1.104447</v>
      </c>
      <c r="E625" s="59"/>
      <c r="F625" s="29" cm="1">
        <f t="array" ref="F625">_xlfn.IFS(C625=":",":",C625&gt;=P$19,1,C625&gt;=P$20,2,C625&lt;P$20,3)</f>
        <v>1</v>
      </c>
      <c r="H625" s="43"/>
      <c r="Y625" s="26"/>
    </row>
    <row r="626" spans="1:25" s="29" customFormat="1" ht="12" customHeight="1">
      <c r="A626" s="96" t="s">
        <v>1849</v>
      </c>
      <c r="B626" s="97" t="s">
        <v>1850</v>
      </c>
      <c r="C626" s="27">
        <v>64.599999999999994</v>
      </c>
      <c r="D626" s="27">
        <v>2.177108</v>
      </c>
      <c r="E626" s="59"/>
      <c r="F626" s="29" cm="1">
        <f t="array" ref="F626">_xlfn.IFS(C626=":",":",C626&gt;=P$19,1,C626&gt;=P$20,2,C626&lt;P$20,3)</f>
        <v>2</v>
      </c>
      <c r="H626" s="43"/>
      <c r="Y626" s="26"/>
    </row>
    <row r="627" spans="1:25" s="29" customFormat="1" ht="12" customHeight="1">
      <c r="A627" s="96" t="s">
        <v>1851</v>
      </c>
      <c r="B627" s="97" t="s">
        <v>1852</v>
      </c>
      <c r="C627" s="27">
        <v>58.3</v>
      </c>
      <c r="D627" s="27">
        <v>0.61486200000000002</v>
      </c>
      <c r="E627" s="59"/>
      <c r="F627" s="29" cm="1">
        <f t="array" ref="F627">_xlfn.IFS(C627=":",":",C627&gt;=P$19,1,C627&gt;=P$20,2,C627&lt;P$20,3)</f>
        <v>2</v>
      </c>
      <c r="H627" s="43"/>
      <c r="Y627" s="26"/>
    </row>
    <row r="628" spans="1:25" s="29" customFormat="1" ht="12" customHeight="1">
      <c r="A628" s="96" t="s">
        <v>1853</v>
      </c>
      <c r="B628" s="97" t="s">
        <v>2828</v>
      </c>
      <c r="C628" s="27">
        <v>69.900000000000006</v>
      </c>
      <c r="D628" s="27">
        <v>1.387284</v>
      </c>
      <c r="E628" s="59"/>
      <c r="F628" s="29" cm="1">
        <f t="array" ref="F628">_xlfn.IFS(C628=":",":",C628&gt;=P$19,1,C628&gt;=P$20,2,C628&lt;P$20,3)</f>
        <v>1</v>
      </c>
      <c r="H628" s="43"/>
      <c r="Y628" s="26"/>
    </row>
    <row r="629" spans="1:25" s="29" customFormat="1" ht="12" customHeight="1">
      <c r="A629" s="96" t="s">
        <v>1854</v>
      </c>
      <c r="B629" s="97" t="s">
        <v>2829</v>
      </c>
      <c r="C629" s="27">
        <v>69.2</v>
      </c>
      <c r="D629" s="27">
        <v>0.29435</v>
      </c>
      <c r="E629" s="59"/>
      <c r="F629" s="29" cm="1">
        <f t="array" ref="F629">_xlfn.IFS(C629=":",":",C629&gt;=P$19,1,C629&gt;=P$20,2,C629&lt;P$20,3)</f>
        <v>1</v>
      </c>
      <c r="H629" s="43"/>
      <c r="Y629" s="26"/>
    </row>
    <row r="630" spans="1:25" s="29" customFormat="1" ht="12" customHeight="1">
      <c r="A630" s="96" t="s">
        <v>1855</v>
      </c>
      <c r="B630" s="97" t="s">
        <v>1856</v>
      </c>
      <c r="C630" s="27">
        <v>65.5</v>
      </c>
      <c r="D630" s="27">
        <v>3.6556470000000001</v>
      </c>
      <c r="E630" s="59"/>
      <c r="F630" s="29" cm="1">
        <f t="array" ref="F630">_xlfn.IFS(C630=":",":",C630&gt;=P$19,1,C630&gt;=P$20,2,C630&lt;P$20,3)</f>
        <v>1</v>
      </c>
      <c r="H630" s="43"/>
      <c r="Y630" s="26"/>
    </row>
    <row r="631" spans="1:25" s="29" customFormat="1" ht="12" customHeight="1">
      <c r="A631" s="96" t="s">
        <v>1857</v>
      </c>
      <c r="B631" s="97" t="s">
        <v>1858</v>
      </c>
      <c r="C631" s="27">
        <v>66.5</v>
      </c>
      <c r="D631" s="27">
        <v>2.0223499999999999</v>
      </c>
      <c r="E631" s="59"/>
      <c r="F631" s="29" cm="1">
        <f t="array" ref="F631">_xlfn.IFS(C631=":",":",C631&gt;=P$19,1,C631&gt;=P$20,2,C631&lt;P$20,3)</f>
        <v>1</v>
      </c>
      <c r="H631" s="43"/>
      <c r="Y631" s="26"/>
    </row>
    <row r="632" spans="1:25" s="29" customFormat="1" ht="12" customHeight="1">
      <c r="A632" s="96" t="s">
        <v>1859</v>
      </c>
      <c r="B632" s="97" t="s">
        <v>1860</v>
      </c>
      <c r="C632" s="27">
        <v>87.7</v>
      </c>
      <c r="D632" s="27">
        <v>8.2311139999999998</v>
      </c>
      <c r="E632" s="59"/>
      <c r="F632" s="29" cm="1">
        <f t="array" ref="F632">_xlfn.IFS(C632=":",":",C632&gt;=P$19,1,C632&gt;=P$20,2,C632&lt;P$20,3)</f>
        <v>1</v>
      </c>
      <c r="H632" s="43"/>
      <c r="Y632" s="26"/>
    </row>
    <row r="633" spans="1:25" s="29" customFormat="1" ht="12" customHeight="1">
      <c r="A633" s="96" t="s">
        <v>1861</v>
      </c>
      <c r="B633" s="97" t="s">
        <v>1862</v>
      </c>
      <c r="C633" s="27">
        <v>84.1</v>
      </c>
      <c r="D633" s="27">
        <v>2.610385</v>
      </c>
      <c r="E633" s="59"/>
      <c r="F633" s="29" cm="1">
        <f t="array" ref="F633">_xlfn.IFS(C633=":",":",C633&gt;=P$19,1,C633&gt;=P$20,2,C633&lt;P$20,3)</f>
        <v>1</v>
      </c>
      <c r="H633" s="43"/>
      <c r="Y633" s="26"/>
    </row>
    <row r="634" spans="1:25" s="29" customFormat="1" ht="12" customHeight="1">
      <c r="A634" s="96" t="s">
        <v>1863</v>
      </c>
      <c r="B634" s="97" t="s">
        <v>1864</v>
      </c>
      <c r="C634" s="27">
        <v>91.2</v>
      </c>
      <c r="D634" s="27">
        <v>0.47969099999999998</v>
      </c>
      <c r="E634" s="59"/>
      <c r="F634" s="29" cm="1">
        <f t="array" ref="F634">_xlfn.IFS(C634=":",":",C634&gt;=P$19,1,C634&gt;=P$20,2,C634&lt;P$20,3)</f>
        <v>1</v>
      </c>
      <c r="H634" s="43"/>
      <c r="Y634" s="26"/>
    </row>
    <row r="635" spans="1:25" s="29" customFormat="1" ht="12" customHeight="1">
      <c r="A635" s="96" t="s">
        <v>1865</v>
      </c>
      <c r="B635" s="97" t="s">
        <v>1866</v>
      </c>
      <c r="C635" s="27">
        <v>80.3</v>
      </c>
      <c r="D635" s="27">
        <v>1.376125</v>
      </c>
      <c r="E635" s="59"/>
      <c r="F635" s="29" cm="1">
        <f t="array" ref="F635">_xlfn.IFS(C635=":",":",C635&gt;=P$19,1,C635&gt;=P$20,2,C635&lt;P$20,3)</f>
        <v>1</v>
      </c>
      <c r="H635" s="43"/>
      <c r="Y635" s="26"/>
    </row>
    <row r="636" spans="1:25" s="29" customFormat="1" ht="12" customHeight="1">
      <c r="A636" s="96" t="s">
        <v>1867</v>
      </c>
      <c r="B636" s="97" t="s">
        <v>1868</v>
      </c>
      <c r="C636" s="27">
        <v>87</v>
      </c>
      <c r="D636" s="27">
        <v>12.443934</v>
      </c>
      <c r="E636" s="59"/>
      <c r="F636" s="29" cm="1">
        <f t="array" ref="F636">_xlfn.IFS(C636=":",":",C636&gt;=P$19,1,C636&gt;=P$20,2,C636&lt;P$20,3)</f>
        <v>1</v>
      </c>
      <c r="H636" s="43"/>
      <c r="Y636" s="26"/>
    </row>
    <row r="637" spans="1:25" s="29" customFormat="1" ht="12" customHeight="1">
      <c r="A637" s="96" t="s">
        <v>1869</v>
      </c>
      <c r="B637" s="97" t="s">
        <v>2876</v>
      </c>
      <c r="C637" s="27">
        <v>81.5</v>
      </c>
      <c r="D637" s="27">
        <v>4.1620280000000003</v>
      </c>
      <c r="E637" s="59"/>
      <c r="F637" s="29" cm="1">
        <f t="array" ref="F637">_xlfn.IFS(C637=":",":",C637&gt;=P$19,1,C637&gt;=P$20,2,C637&lt;P$20,3)</f>
        <v>1</v>
      </c>
      <c r="H637" s="43"/>
      <c r="Y637" s="26"/>
    </row>
    <row r="638" spans="1:25" s="29" customFormat="1" ht="12" customHeight="1">
      <c r="A638" s="96" t="s">
        <v>1870</v>
      </c>
      <c r="B638" s="97" t="s">
        <v>1871</v>
      </c>
      <c r="C638" s="27">
        <v>79.599999999999994</v>
      </c>
      <c r="D638" s="27">
        <v>8.2641469999999995</v>
      </c>
      <c r="E638" s="59"/>
      <c r="F638" s="29" cm="1">
        <f t="array" ref="F638">_xlfn.IFS(C638=":",":",C638&gt;=P$19,1,C638&gt;=P$20,2,C638&lt;P$20,3)</f>
        <v>1</v>
      </c>
      <c r="H638" s="43"/>
      <c r="Y638" s="26"/>
    </row>
    <row r="639" spans="1:25" s="29" customFormat="1" ht="12" customHeight="1">
      <c r="A639" s="96" t="s">
        <v>1872</v>
      </c>
      <c r="B639" s="97" t="s">
        <v>1873</v>
      </c>
      <c r="C639" s="27">
        <v>76.099999999999994</v>
      </c>
      <c r="D639" s="27">
        <v>5.4975550000000002</v>
      </c>
      <c r="E639" s="59"/>
      <c r="F639" s="29" cm="1">
        <f t="array" ref="F639">_xlfn.IFS(C639=":",":",C639&gt;=P$19,1,C639&gt;=P$20,2,C639&lt;P$20,3)</f>
        <v>1</v>
      </c>
      <c r="H639" s="43"/>
      <c r="Y639" s="26"/>
    </row>
    <row r="640" spans="1:25" s="29" customFormat="1" ht="12" customHeight="1">
      <c r="A640" s="96" t="s">
        <v>1874</v>
      </c>
      <c r="B640" s="97" t="s">
        <v>1875</v>
      </c>
      <c r="C640" s="27">
        <v>86.8</v>
      </c>
      <c r="D640" s="27">
        <v>7.5904670000000003</v>
      </c>
      <c r="E640" s="59"/>
      <c r="F640" s="29" cm="1">
        <f t="array" ref="F640">_xlfn.IFS(C640=":",":",C640&gt;=P$19,1,C640&gt;=P$20,2,C640&lt;P$20,3)</f>
        <v>1</v>
      </c>
      <c r="H640" s="43"/>
      <c r="Y640" s="26"/>
    </row>
    <row r="641" spans="1:25" s="29" customFormat="1" ht="12" customHeight="1">
      <c r="A641" s="96" t="s">
        <v>1876</v>
      </c>
      <c r="B641" s="97" t="s">
        <v>1877</v>
      </c>
      <c r="C641" s="27">
        <v>72.3</v>
      </c>
      <c r="D641" s="27">
        <v>5.1302029999999998</v>
      </c>
      <c r="E641" s="59"/>
      <c r="F641" s="29" cm="1">
        <f t="array" ref="F641">_xlfn.IFS(C641=":",":",C641&gt;=P$19,1,C641&gt;=P$20,2,C641&lt;P$20,3)</f>
        <v>1</v>
      </c>
      <c r="H641" s="43"/>
      <c r="Y641" s="26"/>
    </row>
    <row r="642" spans="1:25" s="29" customFormat="1" ht="12" customHeight="1">
      <c r="A642" s="96" t="s">
        <v>1878</v>
      </c>
      <c r="B642" s="97" t="s">
        <v>1879</v>
      </c>
      <c r="C642" s="27">
        <v>71.900000000000006</v>
      </c>
      <c r="D642" s="27">
        <v>13.205071</v>
      </c>
      <c r="E642" s="59"/>
      <c r="F642" s="29" cm="1">
        <f t="array" ref="F642">_xlfn.IFS(C642=":",":",C642&gt;=P$19,1,C642&gt;=P$20,2,C642&lt;P$20,3)</f>
        <v>1</v>
      </c>
      <c r="H642" s="43"/>
      <c r="Y642" s="26"/>
    </row>
    <row r="643" spans="1:25" s="29" customFormat="1" ht="12" customHeight="1">
      <c r="A643" s="96" t="s">
        <v>1880</v>
      </c>
      <c r="B643" s="97" t="s">
        <v>1881</v>
      </c>
      <c r="C643" s="27">
        <v>76.5</v>
      </c>
      <c r="D643" s="27">
        <v>10.266220000000001</v>
      </c>
      <c r="E643" s="59"/>
      <c r="F643" s="29" cm="1">
        <f t="array" ref="F643">_xlfn.IFS(C643=":",":",C643&gt;=P$19,1,C643&gt;=P$20,2,C643&lt;P$20,3)</f>
        <v>1</v>
      </c>
      <c r="H643" s="43"/>
      <c r="Y643" s="26"/>
    </row>
    <row r="644" spans="1:25" s="29" customFormat="1" ht="12" customHeight="1">
      <c r="A644" s="96" t="s">
        <v>1882</v>
      </c>
      <c r="B644" s="97" t="s">
        <v>1883</v>
      </c>
      <c r="C644" s="27">
        <v>85.8</v>
      </c>
      <c r="D644" s="27">
        <v>1.524772</v>
      </c>
      <c r="E644" s="59"/>
      <c r="F644" s="29" cm="1">
        <f t="array" ref="F644">_xlfn.IFS(C644=":",":",C644&gt;=P$19,1,C644&gt;=P$20,2,C644&lt;P$20,3)</f>
        <v>1</v>
      </c>
      <c r="H644" s="43"/>
      <c r="Y644" s="26"/>
    </row>
    <row r="645" spans="1:25" s="29" customFormat="1" ht="12" customHeight="1">
      <c r="A645" s="102" t="s">
        <v>1884</v>
      </c>
      <c r="B645" s="99" t="s">
        <v>1885</v>
      </c>
      <c r="C645" s="27">
        <v>80.400000000000006</v>
      </c>
      <c r="D645" s="27">
        <v>7.0619139999999998</v>
      </c>
      <c r="E645" s="59"/>
      <c r="F645" s="29" cm="1">
        <f t="array" ref="F645">_xlfn.IFS(C645=":",":",C645&gt;=P$19,1,C645&gt;=P$20,2,C645&lt;P$20,3)</f>
        <v>1</v>
      </c>
      <c r="H645" s="43"/>
      <c r="Y645" s="26"/>
    </row>
    <row r="646" spans="1:25" s="29" customFormat="1" ht="12" customHeight="1">
      <c r="A646" s="102" t="s">
        <v>1886</v>
      </c>
      <c r="B646" s="99" t="s">
        <v>1887</v>
      </c>
      <c r="C646" s="27">
        <v>83.3</v>
      </c>
      <c r="D646" s="27">
        <v>1.293015</v>
      </c>
      <c r="E646" s="59"/>
      <c r="F646" s="29" cm="1">
        <f t="array" ref="F646">_xlfn.IFS(C646=":",":",C646&gt;=P$19,1,C646&gt;=P$20,2,C646&lt;P$20,3)</f>
        <v>1</v>
      </c>
      <c r="H646" s="43"/>
      <c r="Y646" s="26"/>
    </row>
    <row r="647" spans="1:25" s="29" customFormat="1" ht="12" customHeight="1">
      <c r="A647" s="102" t="s">
        <v>1888</v>
      </c>
      <c r="B647" s="99" t="s">
        <v>1889</v>
      </c>
      <c r="C647" s="27">
        <v>79.900000000000006</v>
      </c>
      <c r="D647" s="27">
        <v>0.33066600000000002</v>
      </c>
      <c r="E647" s="59"/>
      <c r="F647" s="29" cm="1">
        <f t="array" ref="F647">_xlfn.IFS(C647=":",":",C647&gt;=P$19,1,C647&gt;=P$20,2,C647&lt;P$20,3)</f>
        <v>1</v>
      </c>
      <c r="H647" s="43"/>
      <c r="Y647" s="26"/>
    </row>
    <row r="648" spans="1:25" s="29" customFormat="1" ht="12" customHeight="1">
      <c r="A648" s="102" t="s">
        <v>1890</v>
      </c>
      <c r="B648" s="99" t="s">
        <v>1891</v>
      </c>
      <c r="C648" s="27">
        <v>83.9</v>
      </c>
      <c r="D648" s="27">
        <v>0.93898800000000004</v>
      </c>
      <c r="E648" s="59"/>
      <c r="F648" s="29" cm="1">
        <f t="array" ref="F648">_xlfn.IFS(C648=":",":",C648&gt;=P$19,1,C648&gt;=P$20,2,C648&lt;P$20,3)</f>
        <v>1</v>
      </c>
      <c r="H648" s="43"/>
      <c r="Y648" s="26"/>
    </row>
    <row r="649" spans="1:25" s="29" customFormat="1" ht="12" customHeight="1">
      <c r="A649" s="102" t="s">
        <v>1892</v>
      </c>
      <c r="B649" s="99" t="s">
        <v>1893</v>
      </c>
      <c r="C649" s="27">
        <v>80.099999999999994</v>
      </c>
      <c r="D649" s="27">
        <v>0.70055800000000001</v>
      </c>
      <c r="E649" s="59"/>
      <c r="F649" s="29" cm="1">
        <f t="array" ref="F649">_xlfn.IFS(C649=":",":",C649&gt;=P$19,1,C649&gt;=P$20,2,C649&lt;P$20,3)</f>
        <v>1</v>
      </c>
      <c r="H649" s="43"/>
      <c r="Y649" s="26"/>
    </row>
    <row r="650" spans="1:25" s="29" customFormat="1" ht="12" customHeight="1">
      <c r="A650" s="96" t="s">
        <v>1894</v>
      </c>
      <c r="B650" s="97" t="s">
        <v>1895</v>
      </c>
      <c r="C650" s="27">
        <v>84.2</v>
      </c>
      <c r="D650" s="27">
        <v>12.224014</v>
      </c>
      <c r="E650" s="59"/>
      <c r="F650" s="29" cm="1">
        <f t="array" ref="F650">_xlfn.IFS(C650=":",":",C650&gt;=P$19,1,C650&gt;=P$20,2,C650&lt;P$20,3)</f>
        <v>1</v>
      </c>
      <c r="H650" s="43"/>
      <c r="Y650" s="26"/>
    </row>
    <row r="651" spans="1:25" s="29" customFormat="1" ht="12" customHeight="1">
      <c r="A651" s="96" t="s">
        <v>1896</v>
      </c>
      <c r="B651" s="97" t="s">
        <v>1897</v>
      </c>
      <c r="C651" s="27">
        <v>88.9</v>
      </c>
      <c r="D651" s="27">
        <v>0.74264600000000003</v>
      </c>
      <c r="E651" s="59"/>
      <c r="F651" s="29" cm="1">
        <f t="array" ref="F651">_xlfn.IFS(C651=":",":",C651&gt;=P$19,1,C651&gt;=P$20,2,C651&lt;P$20,3)</f>
        <v>1</v>
      </c>
      <c r="H651" s="43"/>
      <c r="Y651" s="26"/>
    </row>
    <row r="652" spans="1:25" s="29" customFormat="1" ht="12" customHeight="1">
      <c r="A652" s="96" t="s">
        <v>1898</v>
      </c>
      <c r="B652" s="97" t="s">
        <v>1899</v>
      </c>
      <c r="C652" s="27">
        <v>89.1</v>
      </c>
      <c r="D652" s="27">
        <v>3.55308</v>
      </c>
      <c r="E652" s="59"/>
      <c r="F652" s="29" cm="1">
        <f t="array" ref="F652">_xlfn.IFS(C652=":",":",C652&gt;=P$19,1,C652&gt;=P$20,2,C652&lt;P$20,3)</f>
        <v>1</v>
      </c>
      <c r="H652" s="43"/>
      <c r="Y652" s="26"/>
    </row>
    <row r="653" spans="1:25" s="29" customFormat="1" ht="12" customHeight="1">
      <c r="A653" s="96" t="s">
        <v>1900</v>
      </c>
      <c r="B653" s="97" t="s">
        <v>1901</v>
      </c>
      <c r="C653" s="27">
        <v>78.8</v>
      </c>
      <c r="D653" s="27">
        <v>3.6493090000000001</v>
      </c>
      <c r="E653" s="59"/>
      <c r="F653" s="29" cm="1">
        <f t="array" ref="F653">_xlfn.IFS(C653=":",":",C653&gt;=P$19,1,C653&gt;=P$20,2,C653&lt;P$20,3)</f>
        <v>1</v>
      </c>
      <c r="H653" s="43"/>
      <c r="Y653" s="26"/>
    </row>
    <row r="654" spans="1:25" s="29" customFormat="1" ht="12" customHeight="1">
      <c r="A654" s="96" t="s">
        <v>1902</v>
      </c>
      <c r="B654" s="97" t="s">
        <v>1903</v>
      </c>
      <c r="C654" s="27">
        <v>73.900000000000006</v>
      </c>
      <c r="D654" s="27">
        <v>5.8582780000000003</v>
      </c>
      <c r="E654" s="59"/>
      <c r="F654" s="29" cm="1">
        <f t="array" ref="F654">_xlfn.IFS(C654=":",":",C654&gt;=P$19,1,C654&gt;=P$20,2,C654&lt;P$20,3)</f>
        <v>1</v>
      </c>
      <c r="H654" s="43"/>
      <c r="Y654" s="26"/>
    </row>
    <row r="655" spans="1:25" s="29" customFormat="1" ht="12" customHeight="1">
      <c r="A655" s="96" t="s">
        <v>1904</v>
      </c>
      <c r="B655" s="97" t="s">
        <v>1905</v>
      </c>
      <c r="C655" s="27">
        <v>74.5</v>
      </c>
      <c r="D655" s="27">
        <v>16.521626000000001</v>
      </c>
      <c r="E655" s="59"/>
      <c r="F655" s="29" cm="1">
        <f t="array" ref="F655">_xlfn.IFS(C655=":",":",C655&gt;=P$19,1,C655&gt;=P$20,2,C655&lt;P$20,3)</f>
        <v>1</v>
      </c>
      <c r="H655" s="43"/>
      <c r="Y655" s="26"/>
    </row>
    <row r="656" spans="1:25" s="29" customFormat="1" ht="12" customHeight="1">
      <c r="A656" s="96" t="s">
        <v>1906</v>
      </c>
      <c r="B656" s="97" t="s">
        <v>1907</v>
      </c>
      <c r="C656" s="27">
        <v>85</v>
      </c>
      <c r="D656" s="27">
        <v>1.291561</v>
      </c>
      <c r="E656" s="59"/>
      <c r="F656" s="29" cm="1">
        <f t="array" ref="F656">_xlfn.IFS(C656=":",":",C656&gt;=P$19,1,C656&gt;=P$20,2,C656&lt;P$20,3)</f>
        <v>1</v>
      </c>
      <c r="H656" s="43"/>
      <c r="Y656" s="26"/>
    </row>
    <row r="657" spans="1:25" s="29" customFormat="1" ht="12" customHeight="1">
      <c r="A657" s="96" t="s">
        <v>1908</v>
      </c>
      <c r="B657" s="97" t="s">
        <v>1909</v>
      </c>
      <c r="C657" s="27">
        <v>80.7</v>
      </c>
      <c r="D657" s="27">
        <v>11.121817999999999</v>
      </c>
      <c r="E657" s="59"/>
      <c r="F657" s="29" cm="1">
        <f t="array" ref="F657">_xlfn.IFS(C657=":",":",C657&gt;=P$19,1,C657&gt;=P$20,2,C657&lt;P$20,3)</f>
        <v>1</v>
      </c>
      <c r="H657" s="43"/>
      <c r="Y657" s="26"/>
    </row>
    <row r="658" spans="1:25" s="29" customFormat="1" ht="12" customHeight="1">
      <c r="A658" s="96" t="s">
        <v>1910</v>
      </c>
      <c r="B658" s="97" t="s">
        <v>1911</v>
      </c>
      <c r="C658" s="27">
        <v>84.3</v>
      </c>
      <c r="D658" s="27">
        <v>1.1292660000000001</v>
      </c>
      <c r="E658" s="59"/>
      <c r="F658" s="29" cm="1">
        <f t="array" ref="F658">_xlfn.IFS(C658=":",":",C658&gt;=P$19,1,C658&gt;=P$20,2,C658&lt;P$20,3)</f>
        <v>1</v>
      </c>
      <c r="H658" s="43"/>
      <c r="Y658" s="26"/>
    </row>
    <row r="659" spans="1:25" s="29" customFormat="1" ht="12" customHeight="1">
      <c r="A659" s="96" t="s">
        <v>1912</v>
      </c>
      <c r="B659" s="97" t="s">
        <v>1913</v>
      </c>
      <c r="C659" s="27">
        <v>80.900000000000006</v>
      </c>
      <c r="D659" s="27">
        <v>2.196707</v>
      </c>
      <c r="E659" s="59"/>
      <c r="F659" s="29" cm="1">
        <f t="array" ref="F659">_xlfn.IFS(C659=":",":",C659&gt;=P$19,1,C659&gt;=P$20,2,C659&lt;P$20,3)</f>
        <v>1</v>
      </c>
      <c r="H659" s="43"/>
      <c r="Y659" s="26"/>
    </row>
    <row r="660" spans="1:25" s="29" customFormat="1" ht="12" customHeight="1">
      <c r="A660" s="96" t="s">
        <v>1914</v>
      </c>
      <c r="B660" s="97" t="s">
        <v>1915</v>
      </c>
      <c r="C660" s="27">
        <v>78.599999999999994</v>
      </c>
      <c r="D660" s="27">
        <v>5.5126679999999997</v>
      </c>
      <c r="E660" s="59"/>
      <c r="F660" s="29" cm="1">
        <f t="array" ref="F660">_xlfn.IFS(C660=":",":",C660&gt;=P$19,1,C660&gt;=P$20,2,C660&lt;P$20,3)</f>
        <v>1</v>
      </c>
      <c r="H660" s="43"/>
      <c r="Y660" s="26"/>
    </row>
    <row r="661" spans="1:25" s="29" customFormat="1" ht="12" customHeight="1">
      <c r="A661" s="96" t="s">
        <v>1916</v>
      </c>
      <c r="B661" s="97" t="s">
        <v>1917</v>
      </c>
      <c r="C661" s="27">
        <v>83.8</v>
      </c>
      <c r="D661" s="27">
        <v>0.76078699999999999</v>
      </c>
      <c r="E661" s="59"/>
      <c r="F661" s="29" cm="1">
        <f t="array" ref="F661">_xlfn.IFS(C661=":",":",C661&gt;=P$19,1,C661&gt;=P$20,2,C661&lt;P$20,3)</f>
        <v>1</v>
      </c>
      <c r="H661" s="43"/>
      <c r="Y661" s="26"/>
    </row>
    <row r="662" spans="1:25" s="29" customFormat="1" ht="12" customHeight="1">
      <c r="A662" s="96" t="s">
        <v>1918</v>
      </c>
      <c r="B662" s="97" t="s">
        <v>1919</v>
      </c>
      <c r="C662" s="27">
        <v>82.7</v>
      </c>
      <c r="D662" s="27">
        <v>1.881885</v>
      </c>
      <c r="E662" s="59"/>
      <c r="F662" s="29" cm="1">
        <f t="array" ref="F662">_xlfn.IFS(C662=":",":",C662&gt;=P$19,1,C662&gt;=P$20,2,C662&lt;P$20,3)</f>
        <v>1</v>
      </c>
      <c r="H662" s="43"/>
      <c r="Y662" s="26"/>
    </row>
    <row r="663" spans="1:25" s="29" customFormat="1" ht="12" customHeight="1">
      <c r="A663" s="96" t="s">
        <v>1920</v>
      </c>
      <c r="B663" s="97" t="s">
        <v>2830</v>
      </c>
      <c r="C663" s="27">
        <v>65.5</v>
      </c>
      <c r="D663" s="27">
        <v>4.8716220000000003</v>
      </c>
      <c r="E663" s="59"/>
      <c r="F663" s="29" cm="1">
        <f t="array" ref="F663">_xlfn.IFS(C663=":",":",C663&gt;=P$19,1,C663&gt;=P$20,2,C663&lt;P$20,3)</f>
        <v>1</v>
      </c>
      <c r="H663" s="43"/>
      <c r="Y663" s="26"/>
    </row>
    <row r="664" spans="1:25" s="29" customFormat="1" ht="12" customHeight="1">
      <c r="A664" s="96" t="s">
        <v>1921</v>
      </c>
      <c r="B664" s="97" t="s">
        <v>1922</v>
      </c>
      <c r="C664" s="27">
        <v>84.4</v>
      </c>
      <c r="D664" s="27">
        <v>0.86054799999999998</v>
      </c>
      <c r="E664" s="59"/>
      <c r="F664" s="29" cm="1">
        <f t="array" ref="F664">_xlfn.IFS(C664=":",":",C664&gt;=P$19,1,C664&gt;=P$20,2,C664&lt;P$20,3)</f>
        <v>1</v>
      </c>
      <c r="H664" s="43"/>
      <c r="Y664" s="26"/>
    </row>
    <row r="665" spans="1:25" s="29" customFormat="1" ht="12" customHeight="1">
      <c r="A665" s="96" t="s">
        <v>1923</v>
      </c>
      <c r="B665" s="97" t="s">
        <v>1924</v>
      </c>
      <c r="C665" s="27">
        <v>86.4</v>
      </c>
      <c r="D665" s="27">
        <v>0.60810200000000003</v>
      </c>
      <c r="E665" s="59"/>
      <c r="F665" s="29" cm="1">
        <f t="array" ref="F665">_xlfn.IFS(C665=":",":",C665&gt;=P$19,1,C665&gt;=P$20,2,C665&lt;P$20,3)</f>
        <v>1</v>
      </c>
      <c r="H665" s="43"/>
      <c r="Y665" s="26"/>
    </row>
    <row r="666" spans="1:25" s="29" customFormat="1" ht="12" customHeight="1">
      <c r="A666" s="96" t="s">
        <v>1925</v>
      </c>
      <c r="B666" s="97" t="s">
        <v>1926</v>
      </c>
      <c r="C666" s="27">
        <v>84.4</v>
      </c>
      <c r="D666" s="27">
        <v>1.1543239999999999</v>
      </c>
      <c r="E666" s="59"/>
      <c r="F666" s="29" cm="1">
        <f t="array" ref="F666">_xlfn.IFS(C666=":",":",C666&gt;=P$19,1,C666&gt;=P$20,2,C666&lt;P$20,3)</f>
        <v>1</v>
      </c>
      <c r="H666" s="43"/>
      <c r="Y666" s="26"/>
    </row>
    <row r="667" spans="1:25" s="29" customFormat="1" ht="12" customHeight="1">
      <c r="A667" s="96" t="s">
        <v>1927</v>
      </c>
      <c r="B667" s="97" t="s">
        <v>1928</v>
      </c>
      <c r="C667" s="27">
        <v>87</v>
      </c>
      <c r="D667" s="27">
        <v>1.0599259999999999</v>
      </c>
      <c r="E667" s="59"/>
      <c r="F667" s="29" cm="1">
        <f t="array" ref="F667">_xlfn.IFS(C667=":",":",C667&gt;=P$19,1,C667&gt;=P$20,2,C667&lt;P$20,3)</f>
        <v>1</v>
      </c>
      <c r="H667" s="43"/>
      <c r="Y667" s="26"/>
    </row>
    <row r="668" spans="1:25" s="29" customFormat="1" ht="12" customHeight="1">
      <c r="A668" s="96" t="s">
        <v>1929</v>
      </c>
      <c r="B668" s="97" t="s">
        <v>1930</v>
      </c>
      <c r="C668" s="27">
        <v>85.3</v>
      </c>
      <c r="D668" s="27">
        <v>0.83716500000000005</v>
      </c>
      <c r="E668" s="59"/>
      <c r="F668" s="29" cm="1">
        <f t="array" ref="F668">_xlfn.IFS(C668=":",":",C668&gt;=P$19,1,C668&gt;=P$20,2,C668&lt;P$20,3)</f>
        <v>1</v>
      </c>
      <c r="H668" s="43"/>
      <c r="Y668" s="26"/>
    </row>
    <row r="669" spans="1:25" s="29" customFormat="1" ht="12" customHeight="1">
      <c r="A669" s="96" t="s">
        <v>1931</v>
      </c>
      <c r="B669" s="97" t="s">
        <v>1932</v>
      </c>
      <c r="C669" s="27">
        <v>86.5</v>
      </c>
      <c r="D669" s="27">
        <v>4.1420620000000001</v>
      </c>
      <c r="E669" s="59"/>
      <c r="F669" s="29" cm="1">
        <f t="array" ref="F669">_xlfn.IFS(C669=":",":",C669&gt;=P$19,1,C669&gt;=P$20,2,C669&lt;P$20,3)</f>
        <v>1</v>
      </c>
      <c r="H669" s="43"/>
      <c r="Y669" s="26"/>
    </row>
    <row r="670" spans="1:25" s="29" customFormat="1" ht="12" customHeight="1">
      <c r="A670" s="96" t="s">
        <v>1933</v>
      </c>
      <c r="B670" s="97" t="s">
        <v>1934</v>
      </c>
      <c r="C670" s="27">
        <v>70.099999999999994</v>
      </c>
      <c r="D670" s="27">
        <v>2.3630800000000001</v>
      </c>
      <c r="E670" s="59"/>
      <c r="F670" s="29" cm="1">
        <f t="array" ref="F670">_xlfn.IFS(C670=":",":",C670&gt;=P$19,1,C670&gt;=P$20,2,C670&lt;P$20,3)</f>
        <v>1</v>
      </c>
      <c r="H670" s="43"/>
      <c r="Y670" s="26"/>
    </row>
    <row r="671" spans="1:25" s="29" customFormat="1" ht="12" customHeight="1">
      <c r="A671" s="96" t="s">
        <v>1935</v>
      </c>
      <c r="B671" s="97" t="s">
        <v>1936</v>
      </c>
      <c r="C671" s="27">
        <v>67.900000000000006</v>
      </c>
      <c r="D671" s="27">
        <v>5.7166819999999996</v>
      </c>
      <c r="E671" s="59"/>
      <c r="F671" s="29" cm="1">
        <f t="array" ref="F671">_xlfn.IFS(C671=":",":",C671&gt;=P$19,1,C671&gt;=P$20,2,C671&lt;P$20,3)</f>
        <v>1</v>
      </c>
      <c r="H671" s="43"/>
      <c r="Y671" s="26"/>
    </row>
    <row r="672" spans="1:25" s="29" customFormat="1" ht="12" customHeight="1">
      <c r="A672" s="96" t="s">
        <v>1937</v>
      </c>
      <c r="B672" s="97" t="s">
        <v>1938</v>
      </c>
      <c r="C672" s="27">
        <v>69.8</v>
      </c>
      <c r="D672" s="27">
        <v>3.3798300000000001</v>
      </c>
      <c r="E672" s="59"/>
      <c r="F672" s="29" cm="1">
        <f t="array" ref="F672">_xlfn.IFS(C672=":",":",C672&gt;=P$19,1,C672&gt;=P$20,2,C672&lt;P$20,3)</f>
        <v>1</v>
      </c>
      <c r="H672" s="43"/>
      <c r="Y672" s="26"/>
    </row>
    <row r="673" spans="1:25" s="29" customFormat="1" ht="12" customHeight="1">
      <c r="A673" s="96" t="s">
        <v>1939</v>
      </c>
      <c r="B673" s="97" t="s">
        <v>1940</v>
      </c>
      <c r="C673" s="27">
        <v>74.2</v>
      </c>
      <c r="D673" s="27">
        <v>5.6962570000000001</v>
      </c>
      <c r="E673" s="59"/>
      <c r="F673" s="29" cm="1">
        <f t="array" ref="F673">_xlfn.IFS(C673=":",":",C673&gt;=P$19,1,C673&gt;=P$20,2,C673&lt;P$20,3)</f>
        <v>1</v>
      </c>
      <c r="H673" s="43"/>
      <c r="Y673" s="26"/>
    </row>
    <row r="674" spans="1:25" s="29" customFormat="1" ht="12" customHeight="1">
      <c r="A674" s="96" t="s">
        <v>1941</v>
      </c>
      <c r="B674" s="97" t="s">
        <v>1942</v>
      </c>
      <c r="C674" s="27">
        <v>86.5</v>
      </c>
      <c r="D674" s="27">
        <v>0.92305499999999996</v>
      </c>
      <c r="E674" s="59"/>
      <c r="F674" s="29" cm="1">
        <f t="array" ref="F674">_xlfn.IFS(C674=":",":",C674&gt;=P$19,1,C674&gt;=P$20,2,C674&lt;P$20,3)</f>
        <v>1</v>
      </c>
      <c r="H674" s="43"/>
      <c r="Y674" s="26"/>
    </row>
    <row r="675" spans="1:25" s="29" customFormat="1" ht="12" customHeight="1">
      <c r="A675" s="96" t="s">
        <v>1943</v>
      </c>
      <c r="B675" s="97" t="s">
        <v>1944</v>
      </c>
      <c r="C675" s="27">
        <v>74.8</v>
      </c>
      <c r="D675" s="27">
        <v>8.2814530000000008</v>
      </c>
      <c r="E675" s="59"/>
      <c r="F675" s="29" cm="1">
        <f t="array" ref="F675">_xlfn.IFS(C675=":",":",C675&gt;=P$19,1,C675&gt;=P$20,2,C675&lt;P$20,3)</f>
        <v>1</v>
      </c>
      <c r="H675" s="43"/>
      <c r="Y675" s="26"/>
    </row>
    <row r="676" spans="1:25" s="29" customFormat="1" ht="12" customHeight="1">
      <c r="A676" s="96" t="s">
        <v>1945</v>
      </c>
      <c r="B676" s="97" t="s">
        <v>1946</v>
      </c>
      <c r="C676" s="27">
        <v>67.8</v>
      </c>
      <c r="D676" s="27">
        <v>15.998882</v>
      </c>
      <c r="E676" s="59"/>
      <c r="F676" s="29" cm="1">
        <f t="array" ref="F676">_xlfn.IFS(C676=":",":",C676&gt;=P$19,1,C676&gt;=P$20,2,C676&lt;P$20,3)</f>
        <v>1</v>
      </c>
      <c r="H676" s="43"/>
      <c r="Y676" s="26"/>
    </row>
    <row r="677" spans="1:25" s="29" customFormat="1" ht="12" customHeight="1">
      <c r="A677" s="96" t="s">
        <v>1947</v>
      </c>
      <c r="B677" s="97" t="s">
        <v>1948</v>
      </c>
      <c r="C677" s="27">
        <v>68.8</v>
      </c>
      <c r="D677" s="27">
        <v>12.019371</v>
      </c>
      <c r="E677" s="59"/>
      <c r="F677" s="29" cm="1">
        <f t="array" ref="F677">_xlfn.IFS(C677=":",":",C677&gt;=P$19,1,C677&gt;=P$20,2,C677&lt;P$20,3)</f>
        <v>1</v>
      </c>
      <c r="H677" s="43"/>
      <c r="Y677" s="26"/>
    </row>
    <row r="678" spans="1:25" s="29" customFormat="1" ht="12" customHeight="1">
      <c r="A678" s="96" t="s">
        <v>1949</v>
      </c>
      <c r="B678" s="97" t="s">
        <v>1950</v>
      </c>
      <c r="C678" s="27">
        <v>75</v>
      </c>
      <c r="D678" s="27">
        <v>3.9196140000000002</v>
      </c>
      <c r="E678" s="59"/>
      <c r="F678" s="29" cm="1">
        <f t="array" ref="F678">_xlfn.IFS(C678=":",":",C678&gt;=P$19,1,C678&gt;=P$20,2,C678&lt;P$20,3)</f>
        <v>1</v>
      </c>
      <c r="H678" s="43"/>
      <c r="Y678" s="26"/>
    </row>
    <row r="679" spans="1:25" s="29" customFormat="1" ht="12" customHeight="1">
      <c r="A679" s="96" t="s">
        <v>1951</v>
      </c>
      <c r="B679" s="97" t="s">
        <v>2831</v>
      </c>
      <c r="C679" s="27">
        <v>77.400000000000006</v>
      </c>
      <c r="D679" s="27">
        <v>4.5189310000000003</v>
      </c>
      <c r="E679" s="59"/>
      <c r="F679" s="29" cm="1">
        <f t="array" ref="F679">_xlfn.IFS(C679=":",":",C679&gt;=P$19,1,C679&gt;=P$20,2,C679&lt;P$20,3)</f>
        <v>1</v>
      </c>
      <c r="H679" s="43"/>
      <c r="Y679" s="26"/>
    </row>
    <row r="680" spans="1:25" s="29" customFormat="1" ht="12" customHeight="1">
      <c r="A680" s="96" t="s">
        <v>1952</v>
      </c>
      <c r="B680" s="97" t="s">
        <v>1953</v>
      </c>
      <c r="C680" s="27">
        <v>54.6</v>
      </c>
      <c r="D680" s="27">
        <v>13.733772</v>
      </c>
      <c r="E680" s="59"/>
      <c r="F680" s="29" cm="1">
        <f t="array" ref="F680">_xlfn.IFS(C680=":",":",C680&gt;=P$19,1,C680&gt;=P$20,2,C680&lt;P$20,3)</f>
        <v>2</v>
      </c>
      <c r="H680" s="43"/>
      <c r="Y680" s="26"/>
    </row>
    <row r="681" spans="1:25" s="29" customFormat="1" ht="12" customHeight="1">
      <c r="A681" s="96" t="s">
        <v>1954</v>
      </c>
      <c r="B681" s="97" t="s">
        <v>1955</v>
      </c>
      <c r="C681" s="27">
        <v>75</v>
      </c>
      <c r="D681" s="27">
        <v>11.760757999999999</v>
      </c>
      <c r="E681" s="59"/>
      <c r="F681" s="29" cm="1">
        <f t="array" ref="F681">_xlfn.IFS(C681=":",":",C681&gt;=P$19,1,C681&gt;=P$20,2,C681&lt;P$20,3)</f>
        <v>1</v>
      </c>
      <c r="H681" s="43"/>
      <c r="Y681" s="26"/>
    </row>
    <row r="682" spans="1:25" ht="12" customHeight="1">
      <c r="A682" s="96" t="s">
        <v>1956</v>
      </c>
      <c r="B682" s="97" t="s">
        <v>1957</v>
      </c>
      <c r="C682" s="27">
        <v>67.900000000000006</v>
      </c>
      <c r="D682" s="27">
        <v>17.718585999999998</v>
      </c>
      <c r="F682" s="29" cm="1">
        <f t="array" ref="F682">_xlfn.IFS(C682=":",":",C682&gt;=P$19,1,C682&gt;=P$20,2,C682&lt;P$20,3)</f>
        <v>1</v>
      </c>
      <c r="H682" s="43"/>
      <c r="I682" s="29"/>
      <c r="J682" s="29"/>
      <c r="Y682" s="26"/>
    </row>
    <row r="683" spans="1:25" ht="12" customHeight="1">
      <c r="A683" s="96" t="s">
        <v>1958</v>
      </c>
      <c r="B683" s="97" t="s">
        <v>1959</v>
      </c>
      <c r="C683" s="27">
        <v>64.5</v>
      </c>
      <c r="D683" s="27">
        <v>4.926857</v>
      </c>
      <c r="F683" s="29" cm="1">
        <f t="array" ref="F683">_xlfn.IFS(C683=":",":",C683&gt;=P$19,1,C683&gt;=P$20,2,C683&lt;P$20,3)</f>
        <v>2</v>
      </c>
      <c r="H683" s="43"/>
      <c r="I683" s="29"/>
      <c r="J683" s="29"/>
      <c r="Y683" s="26"/>
    </row>
    <row r="684" spans="1:25" ht="12" customHeight="1">
      <c r="A684" s="96" t="s">
        <v>1960</v>
      </c>
      <c r="B684" s="97" t="s">
        <v>1961</v>
      </c>
      <c r="C684" s="27">
        <v>70.7</v>
      </c>
      <c r="D684" s="27">
        <v>5.8648100000000003</v>
      </c>
      <c r="F684" s="29" cm="1">
        <f t="array" ref="F684">_xlfn.IFS(C684=":",":",C684&gt;=P$19,1,C684&gt;=P$20,2,C684&lt;P$20,3)</f>
        <v>1</v>
      </c>
      <c r="H684" s="43"/>
      <c r="I684" s="29"/>
      <c r="J684" s="29"/>
      <c r="Y684" s="26"/>
    </row>
    <row r="685" spans="1:25" ht="12" customHeight="1">
      <c r="A685" s="96" t="s">
        <v>1962</v>
      </c>
      <c r="B685" s="97" t="s">
        <v>1963</v>
      </c>
      <c r="C685" s="27">
        <v>61.1</v>
      </c>
      <c r="D685" s="27">
        <v>5.0192459999999999</v>
      </c>
      <c r="F685" s="29" cm="1">
        <f t="array" ref="F685">_xlfn.IFS(C685=":",":",C685&gt;=P$19,1,C685&gt;=P$20,2,C685&lt;P$20,3)</f>
        <v>2</v>
      </c>
      <c r="H685" s="43"/>
      <c r="I685" s="29"/>
      <c r="J685" s="29"/>
      <c r="Y685" s="26"/>
    </row>
    <row r="686" spans="1:25" ht="12" customHeight="1">
      <c r="A686" s="96" t="s">
        <v>1964</v>
      </c>
      <c r="B686" s="97" t="s">
        <v>253</v>
      </c>
      <c r="C686" s="27">
        <v>85.9</v>
      </c>
      <c r="D686" s="27">
        <v>1.2806550000000001</v>
      </c>
      <c r="F686" s="29" cm="1">
        <f t="array" ref="F686">_xlfn.IFS(C686=":",":",C686&gt;=P$19,1,C686&gt;=P$20,2,C686&lt;P$20,3)</f>
        <v>1</v>
      </c>
      <c r="H686" s="43"/>
      <c r="I686" s="29"/>
      <c r="J686" s="29"/>
      <c r="Y686" s="26"/>
    </row>
    <row r="687" spans="1:25" ht="12" customHeight="1">
      <c r="A687" s="96" t="s">
        <v>1965</v>
      </c>
      <c r="B687" s="97" t="s">
        <v>255</v>
      </c>
      <c r="C687" s="27">
        <v>85.4</v>
      </c>
      <c r="D687" s="27">
        <v>1.2099850000000001</v>
      </c>
      <c r="F687" s="29" cm="1">
        <f t="array" ref="F687">_xlfn.IFS(C687=":",":",C687&gt;=P$19,1,C687&gt;=P$20,2,C687&lt;P$20,3)</f>
        <v>1</v>
      </c>
      <c r="H687" s="43"/>
      <c r="I687" s="29"/>
      <c r="J687" s="29"/>
      <c r="Y687" s="26"/>
    </row>
    <row r="688" spans="1:25" ht="12" customHeight="1">
      <c r="A688" s="96" t="s">
        <v>1966</v>
      </c>
      <c r="B688" s="97" t="s">
        <v>257</v>
      </c>
      <c r="C688" s="27">
        <v>89.7</v>
      </c>
      <c r="D688" s="27">
        <v>0.41500900000000002</v>
      </c>
      <c r="F688" s="29" cm="1">
        <f t="array" ref="F688">_xlfn.IFS(C688=":",":",C688&gt;=P$19,1,C688&gt;=P$20,2,C688&lt;P$20,3)</f>
        <v>1</v>
      </c>
      <c r="H688" s="43"/>
      <c r="I688" s="29"/>
      <c r="J688" s="29"/>
      <c r="Y688" s="26"/>
    </row>
    <row r="689" spans="1:25" ht="12" customHeight="1">
      <c r="A689" s="96" t="s">
        <v>1967</v>
      </c>
      <c r="B689" s="97" t="s">
        <v>259</v>
      </c>
      <c r="C689" s="27">
        <v>92</v>
      </c>
      <c r="D689" s="27">
        <v>1.54887</v>
      </c>
      <c r="F689" s="29" cm="1">
        <f t="array" ref="F689">_xlfn.IFS(C689=":",":",C689&gt;=P$19,1,C689&gt;=P$20,2,C689&lt;P$20,3)</f>
        <v>1</v>
      </c>
      <c r="H689" s="43"/>
      <c r="I689" s="29"/>
      <c r="J689" s="29"/>
      <c r="Y689" s="26"/>
    </row>
    <row r="690" spans="1:25" ht="12" customHeight="1">
      <c r="A690" s="96" t="s">
        <v>1968</v>
      </c>
      <c r="B690" s="97" t="s">
        <v>18</v>
      </c>
      <c r="C690" s="27">
        <v>97.5</v>
      </c>
      <c r="D690" s="27">
        <v>0.166875</v>
      </c>
      <c r="F690" s="29" cm="1">
        <f t="array" ref="F690">_xlfn.IFS(C690=":",":",C690&gt;=P$19,1,C690&gt;=P$20,2,C690&lt;P$20,3)</f>
        <v>1</v>
      </c>
      <c r="H690" s="43"/>
      <c r="I690" s="29"/>
      <c r="J690" s="29"/>
      <c r="Y690" s="26"/>
    </row>
    <row r="691" spans="1:25" ht="12" customHeight="1">
      <c r="A691" s="96" t="s">
        <v>1969</v>
      </c>
      <c r="B691" s="97" t="s">
        <v>2877</v>
      </c>
      <c r="C691" s="27">
        <v>67.3</v>
      </c>
      <c r="D691" s="27">
        <v>8.4258E-2</v>
      </c>
      <c r="F691" s="29" cm="1">
        <f t="array" ref="F691">_xlfn.IFS(C691=":",":",C691&gt;=P$19,1,C691&gt;=P$20,2,C691&lt;P$20,3)</f>
        <v>1</v>
      </c>
      <c r="H691" s="43"/>
      <c r="I691" s="29"/>
      <c r="J691" s="29"/>
      <c r="Y691" s="26"/>
    </row>
    <row r="692" spans="1:25" ht="12" customHeight="1">
      <c r="A692" s="96" t="s">
        <v>1970</v>
      </c>
      <c r="B692" s="97" t="s">
        <v>2878</v>
      </c>
      <c r="C692" s="27">
        <v>70</v>
      </c>
      <c r="D692" s="27">
        <v>4.292E-2</v>
      </c>
      <c r="E692" s="43"/>
      <c r="F692" s="29" cm="1">
        <f t="array" ref="F692">_xlfn.IFS(C692=":",":",C692&gt;=P$19,1,C692&gt;=P$20,2,C692&lt;P$20,3)</f>
        <v>1</v>
      </c>
      <c r="H692" s="43"/>
      <c r="I692" s="29"/>
      <c r="J692" s="29"/>
      <c r="Y692" s="26"/>
    </row>
    <row r="693" spans="1:25" ht="12" customHeight="1">
      <c r="A693" s="96" t="s">
        <v>1971</v>
      </c>
      <c r="B693" s="97" t="s">
        <v>2879</v>
      </c>
      <c r="C693" s="27">
        <v>74.2</v>
      </c>
      <c r="D693" s="27">
        <v>6.6678000000000001E-2</v>
      </c>
      <c r="E693" s="43"/>
      <c r="F693" s="29" cm="1">
        <f t="array" ref="F693">_xlfn.IFS(C693=":",":",C693&gt;=P$19,1,C693&gt;=P$20,2,C693&lt;P$20,3)</f>
        <v>1</v>
      </c>
      <c r="H693" s="43"/>
      <c r="I693" s="29"/>
      <c r="J693" s="29"/>
      <c r="Y693" s="26"/>
    </row>
    <row r="694" spans="1:25" ht="12" customHeight="1">
      <c r="A694" s="96" t="s">
        <v>1972</v>
      </c>
      <c r="B694" s="97" t="s">
        <v>2880</v>
      </c>
      <c r="C694" s="27">
        <v>38.799999999999997</v>
      </c>
      <c r="D694" s="27">
        <v>7.1509000000000003E-2</v>
      </c>
      <c r="E694" s="43"/>
      <c r="F694" s="29" cm="1">
        <f t="array" ref="F694">_xlfn.IFS(C694=":",":",C694&gt;=P$19,1,C694&gt;=P$20,2,C694&lt;P$20,3)</f>
        <v>2</v>
      </c>
      <c r="H694" s="43"/>
      <c r="I694" s="29"/>
      <c r="J694" s="29"/>
      <c r="Y694" s="26"/>
    </row>
    <row r="695" spans="1:25" ht="12" customHeight="1">
      <c r="A695" s="96" t="s">
        <v>1973</v>
      </c>
      <c r="B695" s="97" t="s">
        <v>2881</v>
      </c>
      <c r="C695" s="27">
        <v>57.5</v>
      </c>
      <c r="D695" s="27">
        <v>0.26555400000000001</v>
      </c>
      <c r="E695" s="43"/>
      <c r="F695" s="29" cm="1">
        <f t="array" ref="F695">_xlfn.IFS(C695=":",":",C695&gt;=P$19,1,C695&gt;=P$20,2,C695&lt;P$20,3)</f>
        <v>2</v>
      </c>
      <c r="H695" s="43"/>
      <c r="I695" s="29"/>
      <c r="J695" s="29"/>
      <c r="Y695" s="26"/>
    </row>
    <row r="696" spans="1:25" ht="12" customHeight="1">
      <c r="A696" s="96" t="s">
        <v>1974</v>
      </c>
      <c r="B696" s="97" t="s">
        <v>2882</v>
      </c>
      <c r="C696" s="27">
        <v>70</v>
      </c>
      <c r="D696" s="27">
        <v>0.15810099999999999</v>
      </c>
      <c r="E696" s="43"/>
      <c r="F696" s="29" cm="1">
        <f t="array" ref="F696">_xlfn.IFS(C696=":",":",C696&gt;=P$19,1,C696&gt;=P$20,2,C696&lt;P$20,3)</f>
        <v>1</v>
      </c>
      <c r="H696" s="43"/>
      <c r="I696" s="29"/>
      <c r="J696" s="29"/>
      <c r="Y696" s="26"/>
    </row>
    <row r="697" spans="1:25" ht="12" customHeight="1">
      <c r="A697" s="96" t="s">
        <v>1975</v>
      </c>
      <c r="B697" s="97" t="s">
        <v>2883</v>
      </c>
      <c r="C697" s="27">
        <v>14.8</v>
      </c>
      <c r="D697" s="27">
        <v>0.599607</v>
      </c>
      <c r="E697" s="43"/>
      <c r="F697" s="29" cm="1">
        <f t="array" ref="F697">_xlfn.IFS(C697=":",":",C697&gt;=P$19,1,C697&gt;=P$20,2,C697&lt;P$20,3)</f>
        <v>3</v>
      </c>
      <c r="H697" s="43"/>
      <c r="I697" s="29"/>
      <c r="J697" s="29"/>
      <c r="Y697" s="26"/>
    </row>
    <row r="698" spans="1:25" ht="12" customHeight="1">
      <c r="A698" s="96" t="s">
        <v>1976</v>
      </c>
      <c r="B698" s="97" t="s">
        <v>2884</v>
      </c>
      <c r="C698" s="27">
        <v>53.4</v>
      </c>
      <c r="D698" s="27">
        <v>7.3166999999999996E-2</v>
      </c>
      <c r="E698" s="43"/>
      <c r="F698" s="29" cm="1">
        <f t="array" ref="F698">_xlfn.IFS(C698=":",":",C698&gt;=P$19,1,C698&gt;=P$20,2,C698&lt;P$20,3)</f>
        <v>2</v>
      </c>
      <c r="H698" s="43"/>
      <c r="I698" s="29"/>
      <c r="J698" s="29"/>
      <c r="Y698" s="26"/>
    </row>
    <row r="699" spans="1:25" ht="12" customHeight="1">
      <c r="A699" s="96" t="s">
        <v>1977</v>
      </c>
      <c r="B699" s="97" t="s">
        <v>2885</v>
      </c>
      <c r="C699" s="27">
        <v>10.3</v>
      </c>
      <c r="D699" s="27">
        <v>15.410030000000001</v>
      </c>
      <c r="E699" s="43"/>
      <c r="F699" s="29" cm="1">
        <f t="array" ref="F699">_xlfn.IFS(C699=":",":",C699&gt;=P$19,1,C699&gt;=P$20,2,C699&lt;P$20,3)</f>
        <v>3</v>
      </c>
      <c r="H699" s="43"/>
      <c r="I699" s="29"/>
      <c r="J699" s="29"/>
      <c r="Y699" s="26"/>
    </row>
    <row r="700" spans="1:25" ht="12" customHeight="1">
      <c r="A700" s="96" t="s">
        <v>1978</v>
      </c>
      <c r="B700" s="97" t="s">
        <v>2886</v>
      </c>
      <c r="C700" s="27">
        <v>7.7</v>
      </c>
      <c r="D700" s="27">
        <v>2.9382890000000002</v>
      </c>
      <c r="E700" s="43"/>
      <c r="F700" s="29" cm="1">
        <f t="array" ref="F700">_xlfn.IFS(C700=":",":",C700&gt;=P$19,1,C700&gt;=P$20,2,C700&lt;P$20,3)</f>
        <v>3</v>
      </c>
      <c r="H700" s="43"/>
      <c r="I700" s="29"/>
      <c r="J700" s="29"/>
      <c r="Y700" s="26"/>
    </row>
    <row r="701" spans="1:25" ht="12" customHeight="1">
      <c r="A701" s="96" t="s">
        <v>1979</v>
      </c>
      <c r="B701" s="97" t="s">
        <v>2887</v>
      </c>
      <c r="C701" s="27">
        <v>12.3</v>
      </c>
      <c r="D701" s="27">
        <v>10.46111</v>
      </c>
      <c r="E701" s="43"/>
      <c r="F701" s="29" cm="1">
        <f t="array" ref="F701">_xlfn.IFS(C701=":",":",C701&gt;=P$19,1,C701&gt;=P$20,2,C701&lt;P$20,3)</f>
        <v>3</v>
      </c>
      <c r="H701" s="43"/>
      <c r="I701" s="29"/>
      <c r="J701" s="29"/>
      <c r="Y701" s="26"/>
    </row>
    <row r="702" spans="1:25" ht="12" customHeight="1">
      <c r="A702" s="96" t="s">
        <v>1980</v>
      </c>
      <c r="B702" s="97" t="s">
        <v>2888</v>
      </c>
      <c r="C702" s="27">
        <v>14.7</v>
      </c>
      <c r="D702" s="27">
        <v>5.1297300000000003</v>
      </c>
      <c r="E702" s="43"/>
      <c r="F702" s="29" cm="1">
        <f t="array" ref="F702">_xlfn.IFS(C702=":",":",C702&gt;=P$19,1,C702&gt;=P$20,2,C702&lt;P$20,3)</f>
        <v>3</v>
      </c>
      <c r="H702" s="43"/>
      <c r="I702" s="29"/>
      <c r="J702" s="29"/>
      <c r="Y702" s="26"/>
    </row>
    <row r="703" spans="1:25" ht="12" customHeight="1">
      <c r="A703" s="96" t="s">
        <v>1981</v>
      </c>
      <c r="B703" s="97" t="s">
        <v>1982</v>
      </c>
      <c r="C703" s="27">
        <v>7.6</v>
      </c>
      <c r="D703" s="27">
        <v>18.266024999999999</v>
      </c>
      <c r="E703" s="43"/>
      <c r="F703" s="29" cm="1">
        <f t="array" ref="F703">_xlfn.IFS(C703=":",":",C703&gt;=P$19,1,C703&gt;=P$20,2,C703&lt;P$20,3)</f>
        <v>3</v>
      </c>
      <c r="H703" s="43"/>
      <c r="I703" s="29"/>
      <c r="J703" s="29"/>
      <c r="Y703" s="26"/>
    </row>
    <row r="704" spans="1:25" ht="12" customHeight="1">
      <c r="A704" s="96" t="s">
        <v>1983</v>
      </c>
      <c r="B704" s="97" t="s">
        <v>1984</v>
      </c>
      <c r="C704" s="27">
        <v>4.4000000000000004</v>
      </c>
      <c r="D704" s="27">
        <v>27.881796999999999</v>
      </c>
      <c r="E704" s="43"/>
      <c r="F704" s="29" cm="1">
        <f t="array" ref="F704">_xlfn.IFS(C704=":",":",C704&gt;=P$19,1,C704&gt;=P$20,2,C704&lt;P$20,3)</f>
        <v>3</v>
      </c>
      <c r="H704" s="43"/>
      <c r="I704" s="29"/>
      <c r="J704" s="29"/>
      <c r="Y704" s="26"/>
    </row>
    <row r="705" spans="1:25" ht="12" customHeight="1">
      <c r="A705" s="96" t="s">
        <v>1985</v>
      </c>
      <c r="B705" s="97" t="s">
        <v>2889</v>
      </c>
      <c r="C705" s="27">
        <v>7.2</v>
      </c>
      <c r="D705" s="27">
        <v>8.2937080000000005</v>
      </c>
      <c r="E705" s="43"/>
      <c r="F705" s="29" cm="1">
        <f t="array" ref="F705">_xlfn.IFS(C705=":",":",C705&gt;=P$19,1,C705&gt;=P$20,2,C705&lt;P$20,3)</f>
        <v>3</v>
      </c>
      <c r="H705" s="43"/>
      <c r="I705" s="29"/>
      <c r="J705" s="29"/>
      <c r="Y705" s="26"/>
    </row>
    <row r="706" spans="1:25" ht="12" customHeight="1">
      <c r="A706" s="96" t="s">
        <v>1986</v>
      </c>
      <c r="B706" s="97" t="s">
        <v>525</v>
      </c>
      <c r="C706" s="27">
        <v>19.3</v>
      </c>
      <c r="D706" s="27">
        <v>2.6464430000000001</v>
      </c>
      <c r="E706" s="43"/>
      <c r="F706" s="29" cm="1">
        <f t="array" ref="F706">_xlfn.IFS(C706=":",":",C706&gt;=P$19,1,C706&gt;=P$20,2,C706&lt;P$20,3)</f>
        <v>3</v>
      </c>
      <c r="H706" s="43"/>
      <c r="I706" s="29"/>
      <c r="J706" s="29"/>
      <c r="Y706" s="26"/>
    </row>
    <row r="707" spans="1:25" ht="12" customHeight="1">
      <c r="A707" s="96" t="s">
        <v>1987</v>
      </c>
      <c r="B707" s="97" t="s">
        <v>2890</v>
      </c>
      <c r="C707" s="27">
        <v>49.5</v>
      </c>
      <c r="D707" s="27">
        <v>0.22473899999999999</v>
      </c>
      <c r="E707" s="43"/>
      <c r="F707" s="29" cm="1">
        <f t="array" ref="F707">_xlfn.IFS(C707=":",":",C707&gt;=P$19,1,C707&gt;=P$20,2,C707&lt;P$20,3)</f>
        <v>2</v>
      </c>
      <c r="H707" s="43"/>
      <c r="I707" s="29"/>
      <c r="J707" s="29"/>
      <c r="Y707" s="26"/>
    </row>
    <row r="708" spans="1:25" ht="12" customHeight="1">
      <c r="A708" s="96" t="s">
        <v>1988</v>
      </c>
      <c r="B708" s="97" t="s">
        <v>2891</v>
      </c>
      <c r="C708" s="27">
        <v>49.5</v>
      </c>
      <c r="D708" s="27">
        <v>0.25443100000000002</v>
      </c>
      <c r="E708" s="43"/>
      <c r="F708" s="29" cm="1">
        <f t="array" ref="F708">_xlfn.IFS(C708=":",":",C708&gt;=P$19,1,C708&gt;=P$20,2,C708&lt;P$20,3)</f>
        <v>2</v>
      </c>
      <c r="H708" s="43"/>
      <c r="I708" s="29"/>
      <c r="J708" s="29"/>
      <c r="Y708" s="26"/>
    </row>
    <row r="709" spans="1:25" ht="12" customHeight="1">
      <c r="A709" s="96" t="s">
        <v>1989</v>
      </c>
      <c r="B709" s="97" t="s">
        <v>2892</v>
      </c>
      <c r="C709" s="27">
        <v>49.5</v>
      </c>
      <c r="D709" s="27">
        <v>4.1869999999999997E-2</v>
      </c>
      <c r="E709" s="43"/>
      <c r="F709" s="29" cm="1">
        <f t="array" ref="F709">_xlfn.IFS(C709=":",":",C709&gt;=P$19,1,C709&gt;=P$20,2,C709&lt;P$20,3)</f>
        <v>2</v>
      </c>
      <c r="H709" s="43"/>
      <c r="I709" s="29"/>
      <c r="J709" s="29"/>
      <c r="Y709" s="26"/>
    </row>
    <row r="710" spans="1:25" ht="12" customHeight="1">
      <c r="A710" s="96" t="s">
        <v>1990</v>
      </c>
      <c r="B710" s="97" t="s">
        <v>2893</v>
      </c>
      <c r="C710" s="27">
        <v>50.3</v>
      </c>
      <c r="D710" s="27">
        <v>0.43511899999999998</v>
      </c>
      <c r="E710" s="43"/>
      <c r="F710" s="29" cm="1">
        <f t="array" ref="F710">_xlfn.IFS(C710=":",":",C710&gt;=P$19,1,C710&gt;=P$20,2,C710&lt;P$20,3)</f>
        <v>2</v>
      </c>
      <c r="H710" s="43"/>
      <c r="I710" s="29"/>
      <c r="J710" s="29"/>
      <c r="Y710" s="26"/>
    </row>
    <row r="711" spans="1:25" ht="12" customHeight="1">
      <c r="A711" s="96" t="s">
        <v>1991</v>
      </c>
      <c r="B711" s="97" t="s">
        <v>2894</v>
      </c>
      <c r="C711" s="27">
        <v>28.3</v>
      </c>
      <c r="D711" s="27">
        <v>0.29861100000000002</v>
      </c>
      <c r="E711" s="43"/>
      <c r="F711" s="29" cm="1">
        <f t="array" ref="F711">_xlfn.IFS(C711=":",":",C711&gt;=P$19,1,C711&gt;=P$20,2,C711&lt;P$20,3)</f>
        <v>3</v>
      </c>
      <c r="H711" s="43"/>
      <c r="I711" s="29"/>
      <c r="J711" s="29"/>
      <c r="Y711" s="26"/>
    </row>
    <row r="712" spans="1:25" ht="12" customHeight="1">
      <c r="A712" s="96" t="s">
        <v>1992</v>
      </c>
      <c r="B712" s="97" t="s">
        <v>1993</v>
      </c>
      <c r="C712" s="27">
        <v>60.2</v>
      </c>
      <c r="D712" s="27">
        <v>6.4480339999999998</v>
      </c>
      <c r="E712" s="43"/>
      <c r="F712" s="29" cm="1">
        <f t="array" ref="F712">_xlfn.IFS(C712=":",":",C712&gt;=P$19,1,C712&gt;=P$20,2,C712&lt;P$20,3)</f>
        <v>2</v>
      </c>
      <c r="H712" s="43"/>
      <c r="I712" s="29"/>
      <c r="J712" s="29"/>
      <c r="Y712" s="26"/>
    </row>
    <row r="713" spans="1:25" ht="12" customHeight="1">
      <c r="A713" s="96" t="s">
        <v>1994</v>
      </c>
      <c r="B713" s="97" t="s">
        <v>1995</v>
      </c>
      <c r="C713" s="27">
        <v>74</v>
      </c>
      <c r="D713" s="27">
        <v>0.34801300000000002</v>
      </c>
      <c r="E713" s="43"/>
      <c r="F713" s="29" cm="1">
        <f t="array" ref="F713">_xlfn.IFS(C713=":",":",C713&gt;=P$19,1,C713&gt;=P$20,2,C713&lt;P$20,3)</f>
        <v>1</v>
      </c>
      <c r="H713" s="43"/>
      <c r="I713" s="29"/>
      <c r="J713" s="29"/>
      <c r="Y713" s="26"/>
    </row>
    <row r="714" spans="1:25" ht="12" customHeight="1">
      <c r="A714" s="96" t="s">
        <v>1996</v>
      </c>
      <c r="B714" s="97" t="s">
        <v>1997</v>
      </c>
      <c r="C714" s="27">
        <v>68.5</v>
      </c>
      <c r="D714" s="27">
        <v>0.26674999999999999</v>
      </c>
      <c r="E714" s="43"/>
      <c r="F714" s="29" cm="1">
        <f t="array" ref="F714">_xlfn.IFS(C714=":",":",C714&gt;=P$19,1,C714&gt;=P$20,2,C714&lt;P$20,3)</f>
        <v>1</v>
      </c>
      <c r="H714" s="43"/>
      <c r="I714" s="29"/>
      <c r="J714" s="29"/>
      <c r="Y714" s="26"/>
    </row>
    <row r="715" spans="1:25" ht="12" customHeight="1">
      <c r="A715" s="96" t="s">
        <v>1998</v>
      </c>
      <c r="B715" s="97" t="s">
        <v>1999</v>
      </c>
      <c r="C715" s="27">
        <v>19.399999999999999</v>
      </c>
      <c r="D715" s="27">
        <v>3.0746630000000001</v>
      </c>
      <c r="E715" s="43"/>
      <c r="F715" s="29" cm="1">
        <f t="array" ref="F715">_xlfn.IFS(C715=":",":",C715&gt;=P$19,1,C715&gt;=P$20,2,C715&lt;P$20,3)</f>
        <v>3</v>
      </c>
      <c r="H715" s="43"/>
      <c r="I715" s="29"/>
      <c r="J715" s="29"/>
      <c r="Y715" s="26"/>
    </row>
    <row r="716" spans="1:25" ht="12" customHeight="1">
      <c r="A716" s="96" t="s">
        <v>2000</v>
      </c>
      <c r="B716" s="97" t="s">
        <v>2001</v>
      </c>
      <c r="C716" s="27">
        <v>41</v>
      </c>
      <c r="D716" s="27">
        <v>1.3471280000000001</v>
      </c>
      <c r="E716" s="43"/>
      <c r="F716" s="29" cm="1">
        <f t="array" ref="F716">_xlfn.IFS(C716=":",":",C716&gt;=P$19,1,C716&gt;=P$20,2,C716&lt;P$20,3)</f>
        <v>2</v>
      </c>
      <c r="H716" s="43"/>
      <c r="I716" s="29"/>
      <c r="J716" s="29"/>
      <c r="Y716" s="26"/>
    </row>
    <row r="717" spans="1:25" ht="12" customHeight="1">
      <c r="A717" s="96" t="s">
        <v>2002</v>
      </c>
      <c r="B717" s="97" t="s">
        <v>2003</v>
      </c>
      <c r="C717" s="27">
        <v>56.1</v>
      </c>
      <c r="D717" s="27">
        <v>1.8277060000000001</v>
      </c>
      <c r="E717" s="43"/>
      <c r="F717" s="29" cm="1">
        <f t="array" ref="F717">_xlfn.IFS(C717=":",":",C717&gt;=P$19,1,C717&gt;=P$20,2,C717&lt;P$20,3)</f>
        <v>2</v>
      </c>
      <c r="H717" s="43"/>
      <c r="I717" s="29"/>
      <c r="J717" s="29"/>
      <c r="Y717" s="26"/>
    </row>
    <row r="718" spans="1:25" ht="12" customHeight="1">
      <c r="A718" s="96" t="s">
        <v>2004</v>
      </c>
      <c r="B718" s="97" t="s">
        <v>2005</v>
      </c>
      <c r="C718" s="27">
        <v>41.3</v>
      </c>
      <c r="D718" s="27">
        <v>0.39432400000000001</v>
      </c>
      <c r="E718" s="43"/>
      <c r="F718" s="29" cm="1">
        <f t="array" ref="F718">_xlfn.IFS(C718=":",":",C718&gt;=P$19,1,C718&gt;=P$20,2,C718&lt;P$20,3)</f>
        <v>2</v>
      </c>
      <c r="H718" s="43"/>
      <c r="I718" s="29"/>
      <c r="J718" s="29"/>
      <c r="Y718" s="26"/>
    </row>
    <row r="719" spans="1:25" ht="12" customHeight="1">
      <c r="A719" s="96" t="s">
        <v>2006</v>
      </c>
      <c r="B719" s="97" t="s">
        <v>2007</v>
      </c>
      <c r="C719" s="27">
        <v>54.6</v>
      </c>
      <c r="D719" s="27">
        <v>0.68911900000000004</v>
      </c>
      <c r="E719" s="43"/>
      <c r="F719" s="29" cm="1">
        <f t="array" ref="F719">_xlfn.IFS(C719=":",":",C719&gt;=P$19,1,C719&gt;=P$20,2,C719&lt;P$20,3)</f>
        <v>2</v>
      </c>
      <c r="H719" s="43"/>
      <c r="I719" s="29"/>
      <c r="J719" s="29"/>
      <c r="Y719" s="26"/>
    </row>
    <row r="720" spans="1:25" ht="12" customHeight="1">
      <c r="A720" s="96" t="s">
        <v>2008</v>
      </c>
      <c r="B720" s="97" t="s">
        <v>528</v>
      </c>
      <c r="C720" s="27">
        <v>58.5</v>
      </c>
      <c r="D720" s="27">
        <v>3.6950590000000001</v>
      </c>
      <c r="E720" s="43"/>
      <c r="F720" s="29" cm="1">
        <f t="array" ref="F720">_xlfn.IFS(C720=":",":",C720&gt;=P$19,1,C720&gt;=P$20,2,C720&lt;P$20,3)</f>
        <v>2</v>
      </c>
      <c r="H720" s="43"/>
      <c r="I720" s="29"/>
      <c r="J720" s="29"/>
      <c r="Y720" s="26"/>
    </row>
    <row r="721" spans="1:25" ht="12" customHeight="1">
      <c r="A721" s="96" t="s">
        <v>2009</v>
      </c>
      <c r="B721" s="97" t="s">
        <v>2010</v>
      </c>
      <c r="C721" s="27">
        <v>53.2</v>
      </c>
      <c r="D721" s="27">
        <v>3.3853719999999998</v>
      </c>
      <c r="E721" s="43"/>
      <c r="F721" s="29" cm="1">
        <f t="array" ref="F721">_xlfn.IFS(C721=":",":",C721&gt;=P$19,1,C721&gt;=P$20,2,C721&lt;P$20,3)</f>
        <v>2</v>
      </c>
      <c r="H721" s="43"/>
      <c r="I721" s="29"/>
      <c r="J721" s="29"/>
      <c r="Y721" s="26"/>
    </row>
    <row r="722" spans="1:25" ht="12" customHeight="1">
      <c r="A722" s="96" t="s">
        <v>2011</v>
      </c>
      <c r="B722" s="97" t="s">
        <v>2012</v>
      </c>
      <c r="C722" s="27">
        <v>70.7</v>
      </c>
      <c r="D722" s="27">
        <v>5.1904380000000003</v>
      </c>
      <c r="E722" s="43"/>
      <c r="F722" s="29" cm="1">
        <f t="array" ref="F722">_xlfn.IFS(C722=":",":",C722&gt;=P$19,1,C722&gt;=P$20,2,C722&lt;P$20,3)</f>
        <v>1</v>
      </c>
      <c r="H722" s="43"/>
      <c r="I722" s="29"/>
      <c r="J722" s="29"/>
      <c r="Y722" s="26"/>
    </row>
    <row r="723" spans="1:25" ht="12" customHeight="1">
      <c r="A723" s="96" t="s">
        <v>2013</v>
      </c>
      <c r="B723" s="97" t="s">
        <v>2014</v>
      </c>
      <c r="C723" s="27">
        <v>49.5</v>
      </c>
      <c r="D723" s="27">
        <v>4.597499</v>
      </c>
      <c r="E723" s="43"/>
      <c r="F723" s="29" cm="1">
        <f t="array" ref="F723">_xlfn.IFS(C723=":",":",C723&gt;=P$19,1,C723&gt;=P$20,2,C723&lt;P$20,3)</f>
        <v>2</v>
      </c>
      <c r="H723" s="43"/>
      <c r="I723" s="29"/>
      <c r="J723" s="29"/>
      <c r="Y723" s="26"/>
    </row>
    <row r="724" spans="1:25" ht="12" customHeight="1">
      <c r="A724" s="96" t="s">
        <v>2015</v>
      </c>
      <c r="B724" s="97" t="s">
        <v>2016</v>
      </c>
      <c r="C724" s="27">
        <v>33.5</v>
      </c>
      <c r="D724" s="27">
        <v>2.9555570000000002</v>
      </c>
      <c r="E724" s="43"/>
      <c r="F724" s="29" cm="1">
        <f t="array" ref="F724">_xlfn.IFS(C724=":",":",C724&gt;=P$19,1,C724&gt;=P$20,2,C724&lt;P$20,3)</f>
        <v>3</v>
      </c>
      <c r="H724" s="43"/>
      <c r="I724" s="29"/>
      <c r="J724" s="29"/>
      <c r="Y724" s="26"/>
    </row>
    <row r="725" spans="1:25" ht="12" customHeight="1">
      <c r="A725" s="96" t="s">
        <v>2017</v>
      </c>
      <c r="B725" s="97" t="s">
        <v>2018</v>
      </c>
      <c r="C725" s="27">
        <v>36</v>
      </c>
      <c r="D725" s="27">
        <v>2.5447150000000001</v>
      </c>
      <c r="E725" s="43"/>
      <c r="F725" s="29" cm="1">
        <f t="array" ref="F725">_xlfn.IFS(C725=":",":",C725&gt;=P$19,1,C725&gt;=P$20,2,C725&lt;P$20,3)</f>
        <v>2</v>
      </c>
      <c r="H725" s="43"/>
      <c r="I725" s="29"/>
      <c r="J725" s="29"/>
      <c r="Y725" s="26"/>
    </row>
    <row r="726" spans="1:25" ht="12" customHeight="1">
      <c r="A726" s="96" t="s">
        <v>2019</v>
      </c>
      <c r="B726" s="97" t="s">
        <v>2020</v>
      </c>
      <c r="C726" s="27">
        <v>16.600000000000001</v>
      </c>
      <c r="D726" s="27">
        <v>3.51213</v>
      </c>
      <c r="E726" s="43"/>
      <c r="F726" s="29" cm="1">
        <f t="array" ref="F726">_xlfn.IFS(C726=":",":",C726&gt;=P$19,1,C726&gt;=P$20,2,C726&lt;P$20,3)</f>
        <v>3</v>
      </c>
      <c r="H726" s="43"/>
      <c r="I726" s="29"/>
      <c r="J726" s="29"/>
      <c r="Y726" s="26"/>
    </row>
    <row r="727" spans="1:25" ht="12" customHeight="1">
      <c r="A727" s="96" t="s">
        <v>2021</v>
      </c>
      <c r="B727" s="97" t="s">
        <v>2022</v>
      </c>
      <c r="C727" s="27">
        <v>28.7</v>
      </c>
      <c r="D727" s="27">
        <v>0.85544100000000001</v>
      </c>
      <c r="E727" s="43"/>
      <c r="F727" s="29" cm="1">
        <f t="array" ref="F727">_xlfn.IFS(C727=":",":",C727&gt;=P$19,1,C727&gt;=P$20,2,C727&lt;P$20,3)</f>
        <v>3</v>
      </c>
      <c r="H727" s="43"/>
      <c r="I727" s="29"/>
      <c r="J727" s="29"/>
      <c r="Y727" s="26"/>
    </row>
    <row r="728" spans="1:25" ht="12" customHeight="1">
      <c r="A728" s="96" t="s">
        <v>2023</v>
      </c>
      <c r="B728" s="97" t="s">
        <v>2024</v>
      </c>
      <c r="C728" s="27">
        <v>52.4</v>
      </c>
      <c r="D728" s="27">
        <v>3.6337510000000002</v>
      </c>
      <c r="E728" s="43"/>
      <c r="F728" s="29" cm="1">
        <f t="array" ref="F728">_xlfn.IFS(C728=":",":",C728&gt;=P$19,1,C728&gt;=P$20,2,C728&lt;P$20,3)</f>
        <v>2</v>
      </c>
      <c r="H728" s="43"/>
      <c r="I728" s="29"/>
      <c r="J728" s="29"/>
      <c r="Y728" s="26"/>
    </row>
    <row r="729" spans="1:25" ht="12" customHeight="1">
      <c r="A729" s="96" t="s">
        <v>2025</v>
      </c>
      <c r="B729" s="97" t="s">
        <v>2026</v>
      </c>
      <c r="C729" s="27">
        <v>49.8</v>
      </c>
      <c r="D729" s="27">
        <v>2.6378210000000002</v>
      </c>
      <c r="E729" s="43"/>
      <c r="F729" s="29" cm="1">
        <f t="array" ref="F729">_xlfn.IFS(C729=":",":",C729&gt;=P$19,1,C729&gt;=P$20,2,C729&lt;P$20,3)</f>
        <v>2</v>
      </c>
      <c r="H729" s="43"/>
      <c r="I729" s="29"/>
      <c r="J729" s="29"/>
      <c r="Y729" s="26"/>
    </row>
    <row r="730" spans="1:25" ht="12" customHeight="1">
      <c r="A730" s="96" t="s">
        <v>2027</v>
      </c>
      <c r="B730" s="97" t="s">
        <v>2028</v>
      </c>
      <c r="C730" s="27">
        <v>28</v>
      </c>
      <c r="D730" s="27">
        <v>11.068441</v>
      </c>
      <c r="E730" s="43"/>
      <c r="F730" s="29" cm="1">
        <f t="array" ref="F730">_xlfn.IFS(C730=":",":",C730&gt;=P$19,1,C730&gt;=P$20,2,C730&lt;P$20,3)</f>
        <v>3</v>
      </c>
      <c r="H730" s="43"/>
      <c r="I730" s="29"/>
      <c r="J730" s="29"/>
      <c r="Y730" s="26"/>
    </row>
    <row r="731" spans="1:25" ht="12" customHeight="1">
      <c r="A731" s="96" t="s">
        <v>2029</v>
      </c>
      <c r="B731" s="97" t="s">
        <v>2030</v>
      </c>
      <c r="C731" s="27">
        <v>70.5</v>
      </c>
      <c r="D731" s="27">
        <v>0.51306300000000005</v>
      </c>
      <c r="E731" s="43"/>
      <c r="F731" s="29" cm="1">
        <f t="array" ref="F731">_xlfn.IFS(C731=":",":",C731&gt;=P$19,1,C731&gt;=P$20,2,C731&lt;P$20,3)</f>
        <v>1</v>
      </c>
      <c r="H731" s="43"/>
      <c r="I731" s="29"/>
      <c r="J731" s="29"/>
      <c r="Y731" s="26"/>
    </row>
    <row r="732" spans="1:25" ht="12" customHeight="1">
      <c r="A732" s="96" t="s">
        <v>2031</v>
      </c>
      <c r="B732" s="97" t="s">
        <v>2032</v>
      </c>
      <c r="C732" s="27">
        <v>74.599999999999994</v>
      </c>
      <c r="D732" s="27">
        <v>0.18421100000000001</v>
      </c>
      <c r="E732" s="43"/>
      <c r="F732" s="29" cm="1">
        <f t="array" ref="F732">_xlfn.IFS(C732=":",":",C732&gt;=P$19,1,C732&gt;=P$20,2,C732&lt;P$20,3)</f>
        <v>1</v>
      </c>
      <c r="H732" s="43"/>
      <c r="I732" s="29"/>
      <c r="J732" s="29"/>
      <c r="Y732" s="26"/>
    </row>
    <row r="733" spans="1:25" ht="12" customHeight="1">
      <c r="A733" s="96" t="s">
        <v>2033</v>
      </c>
      <c r="B733" s="97" t="s">
        <v>2034</v>
      </c>
      <c r="C733" s="27">
        <v>64.3</v>
      </c>
      <c r="D733" s="27">
        <v>0.41851699999999997</v>
      </c>
      <c r="E733" s="43"/>
      <c r="F733" s="29" cm="1">
        <f t="array" ref="F733">_xlfn.IFS(C733=":",":",C733&gt;=P$19,1,C733&gt;=P$20,2,C733&lt;P$20,3)</f>
        <v>2</v>
      </c>
      <c r="H733" s="43"/>
      <c r="I733" s="29"/>
      <c r="J733" s="29"/>
      <c r="Y733" s="26"/>
    </row>
    <row r="734" spans="1:25" ht="12" customHeight="1">
      <c r="A734" s="96" t="s">
        <v>2035</v>
      </c>
      <c r="B734" s="97" t="s">
        <v>2036</v>
      </c>
      <c r="C734" s="27">
        <v>64.7</v>
      </c>
      <c r="D734" s="27">
        <v>0.70849600000000001</v>
      </c>
      <c r="E734" s="43"/>
      <c r="F734" s="29" cm="1">
        <f t="array" ref="F734">_xlfn.IFS(C734=":",":",C734&gt;=P$19,1,C734&gt;=P$20,2,C734&lt;P$20,3)</f>
        <v>2</v>
      </c>
      <c r="H734" s="43"/>
      <c r="I734" s="29"/>
      <c r="J734" s="29"/>
      <c r="Y734" s="26"/>
    </row>
    <row r="735" spans="1:25" ht="12" customHeight="1">
      <c r="A735" s="96" t="s">
        <v>2037</v>
      </c>
      <c r="B735" s="97" t="s">
        <v>2038</v>
      </c>
      <c r="C735" s="27">
        <v>32.9</v>
      </c>
      <c r="D735" s="27">
        <v>18.011675</v>
      </c>
      <c r="E735" s="43"/>
      <c r="F735" s="29" cm="1">
        <f t="array" ref="F735">_xlfn.IFS(C735=":",":",C735&gt;=P$19,1,C735&gt;=P$20,2,C735&lt;P$20,3)</f>
        <v>3</v>
      </c>
      <c r="H735" s="43"/>
      <c r="I735" s="29"/>
      <c r="J735" s="29"/>
      <c r="Y735" s="26"/>
    </row>
    <row r="736" spans="1:25" ht="12" customHeight="1">
      <c r="A736" s="96" t="s">
        <v>2039</v>
      </c>
      <c r="B736" s="97" t="s">
        <v>2040</v>
      </c>
      <c r="C736" s="27">
        <v>64.8</v>
      </c>
      <c r="D736" s="27">
        <v>1.042268</v>
      </c>
      <c r="E736" s="43"/>
      <c r="F736" s="29" cm="1">
        <f t="array" ref="F736">_xlfn.IFS(C736=":",":",C736&gt;=P$19,1,C736&gt;=P$20,2,C736&lt;P$20,3)</f>
        <v>2</v>
      </c>
      <c r="H736" s="43"/>
      <c r="I736" s="29"/>
      <c r="J736" s="29"/>
      <c r="Y736" s="26"/>
    </row>
    <row r="737" spans="1:25" ht="12" customHeight="1">
      <c r="A737" s="96" t="s">
        <v>2041</v>
      </c>
      <c r="B737" s="97" t="s">
        <v>2895</v>
      </c>
      <c r="C737" s="27">
        <v>89.3</v>
      </c>
      <c r="D737" s="27">
        <v>1.316146</v>
      </c>
      <c r="E737" s="43"/>
      <c r="F737" s="29" cm="1">
        <f t="array" ref="F737">_xlfn.IFS(C737=":",":",C737&gt;=P$19,1,C737&gt;=P$20,2,C737&lt;P$20,3)</f>
        <v>1</v>
      </c>
      <c r="H737" s="43"/>
      <c r="I737" s="29"/>
      <c r="J737" s="29"/>
      <c r="Y737" s="26"/>
    </row>
    <row r="738" spans="1:25" ht="12" customHeight="1">
      <c r="A738" s="96" t="s">
        <v>2042</v>
      </c>
      <c r="B738" s="97" t="s">
        <v>2043</v>
      </c>
      <c r="C738" s="27">
        <v>85.6</v>
      </c>
      <c r="D738" s="27">
        <v>3.2763610000000001</v>
      </c>
      <c r="E738" s="43"/>
      <c r="F738" s="29" cm="1">
        <f t="array" ref="F738">_xlfn.IFS(C738=":",":",C738&gt;=P$19,1,C738&gt;=P$20,2,C738&lt;P$20,3)</f>
        <v>1</v>
      </c>
      <c r="H738" s="43"/>
      <c r="Y738" s="26"/>
    </row>
    <row r="739" spans="1:25" ht="12" customHeight="1">
      <c r="A739" s="96" t="s">
        <v>2044</v>
      </c>
      <c r="B739" s="97" t="s">
        <v>2045</v>
      </c>
      <c r="C739" s="27">
        <v>77.5</v>
      </c>
      <c r="D739" s="27">
        <v>1.34629</v>
      </c>
      <c r="E739" s="43"/>
      <c r="F739" s="29" cm="1">
        <f t="array" ref="F739">_xlfn.IFS(C739=":",":",C739&gt;=P$19,1,C739&gt;=P$20,2,C739&lt;P$20,3)</f>
        <v>1</v>
      </c>
      <c r="H739" s="43"/>
      <c r="Y739" s="26"/>
    </row>
    <row r="740" spans="1:25" ht="12" customHeight="1">
      <c r="A740" s="96" t="s">
        <v>2046</v>
      </c>
      <c r="B740" s="97" t="s">
        <v>2047</v>
      </c>
      <c r="C740" s="27">
        <v>86.2</v>
      </c>
      <c r="D740" s="27">
        <v>1.2374069999999999</v>
      </c>
      <c r="E740" s="43"/>
      <c r="F740" s="29" cm="1">
        <f t="array" ref="F740">_xlfn.IFS(C740=":",":",C740&gt;=P$19,1,C740&gt;=P$20,2,C740&lt;P$20,3)</f>
        <v>1</v>
      </c>
      <c r="H740" s="43"/>
      <c r="Y740" s="26"/>
    </row>
    <row r="741" spans="1:25" ht="12" customHeight="1">
      <c r="A741" s="96" t="s">
        <v>2048</v>
      </c>
      <c r="B741" s="97" t="s">
        <v>2049</v>
      </c>
      <c r="C741" s="27">
        <v>86.6</v>
      </c>
      <c r="D741" s="27">
        <v>7.7565999999999996E-2</v>
      </c>
      <c r="E741" s="43"/>
      <c r="F741" s="29" cm="1">
        <f t="array" ref="F741">_xlfn.IFS(C741=":",":",C741&gt;=P$19,1,C741&gt;=P$20,2,C741&lt;P$20,3)</f>
        <v>1</v>
      </c>
      <c r="H741" s="43"/>
      <c r="Y741" s="26"/>
    </row>
    <row r="742" spans="1:25" ht="12" customHeight="1">
      <c r="A742" s="96" t="s">
        <v>2050</v>
      </c>
      <c r="B742" s="97" t="s">
        <v>2051</v>
      </c>
      <c r="C742" s="27">
        <v>91.6</v>
      </c>
      <c r="D742" s="27">
        <v>0.378718</v>
      </c>
      <c r="E742" s="43"/>
      <c r="F742" s="29" cm="1">
        <f t="array" ref="F742">_xlfn.IFS(C742=":",":",C742&gt;=P$19,1,C742&gt;=P$20,2,C742&lt;P$20,3)</f>
        <v>1</v>
      </c>
      <c r="H742" s="43"/>
      <c r="Y742" s="26"/>
    </row>
    <row r="743" spans="1:25" ht="12" customHeight="1">
      <c r="A743" s="96" t="s">
        <v>2052</v>
      </c>
      <c r="B743" s="99" t="s">
        <v>2053</v>
      </c>
      <c r="C743" s="27">
        <v>78.400000000000006</v>
      </c>
      <c r="D743" s="27">
        <v>1.372374</v>
      </c>
      <c r="E743" s="43"/>
      <c r="F743" s="29" cm="1">
        <f t="array" ref="F743">_xlfn.IFS(C743=":",":",C743&gt;=P$19,1,C743&gt;=P$20,2,C743&lt;P$20,3)</f>
        <v>1</v>
      </c>
      <c r="H743" s="43"/>
      <c r="Y743" s="26"/>
    </row>
    <row r="744" spans="1:25" ht="12" customHeight="1">
      <c r="A744" s="96" t="s">
        <v>2054</v>
      </c>
      <c r="B744" s="97" t="s">
        <v>2055</v>
      </c>
      <c r="C744" s="27">
        <v>80.400000000000006</v>
      </c>
      <c r="D744" s="27">
        <v>0.130273</v>
      </c>
      <c r="E744" s="43"/>
      <c r="F744" s="29" cm="1">
        <f t="array" ref="F744">_xlfn.IFS(C744=":",":",C744&gt;=P$19,1,C744&gt;=P$20,2,C744&lt;P$20,3)</f>
        <v>1</v>
      </c>
      <c r="H744" s="43"/>
      <c r="Y744" s="26"/>
    </row>
    <row r="745" spans="1:25" ht="12" customHeight="1">
      <c r="A745" s="96" t="s">
        <v>2056</v>
      </c>
      <c r="B745" s="97" t="s">
        <v>2057</v>
      </c>
      <c r="C745" s="27">
        <v>39.299999999999997</v>
      </c>
      <c r="D745" s="27">
        <v>14.387862</v>
      </c>
      <c r="E745" s="43"/>
      <c r="F745" s="29" cm="1">
        <f t="array" ref="F745">_xlfn.IFS(C745=":",":",C745&gt;=P$19,1,C745&gt;=P$20,2,C745&lt;P$20,3)</f>
        <v>2</v>
      </c>
      <c r="H745" s="43"/>
      <c r="Y745" s="26"/>
    </row>
    <row r="746" spans="1:25" ht="12" customHeight="1">
      <c r="A746" s="96" t="s">
        <v>2058</v>
      </c>
      <c r="B746" s="97" t="s">
        <v>2059</v>
      </c>
      <c r="C746" s="27">
        <v>72.2</v>
      </c>
      <c r="D746" s="27">
        <v>0.30393500000000001</v>
      </c>
      <c r="E746" s="43"/>
      <c r="F746" s="29" cm="1">
        <f t="array" ref="F746">_xlfn.IFS(C746=":",":",C746&gt;=P$19,1,C746&gt;=P$20,2,C746&lt;P$20,3)</f>
        <v>1</v>
      </c>
      <c r="H746" s="43"/>
      <c r="Y746" s="26"/>
    </row>
    <row r="747" spans="1:25" ht="12" customHeight="1">
      <c r="A747" s="96" t="s">
        <v>2060</v>
      </c>
      <c r="B747" s="97" t="s">
        <v>2061</v>
      </c>
      <c r="C747" s="27">
        <v>51.5</v>
      </c>
      <c r="D747" s="27">
        <v>5.1750179999999997</v>
      </c>
      <c r="E747" s="43"/>
      <c r="F747" s="29" cm="1">
        <f t="array" ref="F747">_xlfn.IFS(C747=":",":",C747&gt;=P$19,1,C747&gt;=P$20,2,C747&lt;P$20,3)</f>
        <v>2</v>
      </c>
      <c r="H747" s="43"/>
      <c r="Y747" s="26"/>
    </row>
    <row r="748" spans="1:25" ht="12" customHeight="1">
      <c r="A748" s="96" t="s">
        <v>2062</v>
      </c>
      <c r="B748" s="97" t="s">
        <v>2063</v>
      </c>
      <c r="C748" s="27">
        <v>72.099999999999994</v>
      </c>
      <c r="D748" s="27">
        <v>1.25284</v>
      </c>
      <c r="E748" s="43"/>
      <c r="F748" s="29" cm="1">
        <f t="array" ref="F748">_xlfn.IFS(C748=":",":",C748&gt;=P$19,1,C748&gt;=P$20,2,C748&lt;P$20,3)</f>
        <v>1</v>
      </c>
      <c r="H748" s="43"/>
      <c r="Y748" s="26"/>
    </row>
    <row r="749" spans="1:25" ht="12" customHeight="1">
      <c r="A749" s="96" t="s">
        <v>2064</v>
      </c>
      <c r="B749" s="97" t="s">
        <v>2065</v>
      </c>
      <c r="C749" s="27">
        <v>59.4</v>
      </c>
      <c r="D749" s="27">
        <v>2.3848319999999998</v>
      </c>
      <c r="E749" s="43"/>
      <c r="F749" s="29" cm="1">
        <f t="array" ref="F749">_xlfn.IFS(C749=":",":",C749&gt;=P$19,1,C749&gt;=P$20,2,C749&lt;P$20,3)</f>
        <v>2</v>
      </c>
      <c r="H749" s="43"/>
      <c r="Y749" s="26"/>
    </row>
    <row r="750" spans="1:25" ht="12" customHeight="1">
      <c r="A750" s="96" t="s">
        <v>2066</v>
      </c>
      <c r="B750" s="97" t="s">
        <v>2067</v>
      </c>
      <c r="C750" s="27">
        <v>70.7</v>
      </c>
      <c r="D750" s="27">
        <v>5.8004420000000003</v>
      </c>
      <c r="E750" s="43"/>
      <c r="F750" s="29" cm="1">
        <f t="array" ref="F750">_xlfn.IFS(C750=":",":",C750&gt;=P$19,1,C750&gt;=P$20,2,C750&lt;P$20,3)</f>
        <v>1</v>
      </c>
      <c r="H750" s="43"/>
      <c r="Y750" s="26"/>
    </row>
    <row r="751" spans="1:25" ht="12" customHeight="1">
      <c r="A751" s="96" t="s">
        <v>2068</v>
      </c>
      <c r="B751" s="97" t="s">
        <v>2069</v>
      </c>
      <c r="C751" s="27">
        <v>79.7</v>
      </c>
      <c r="D751" s="27">
        <v>4.407368</v>
      </c>
      <c r="E751" s="43"/>
      <c r="F751" s="29" cm="1">
        <f t="array" ref="F751">_xlfn.IFS(C751=":",":",C751&gt;=P$19,1,C751&gt;=P$20,2,C751&lt;P$20,3)</f>
        <v>1</v>
      </c>
      <c r="H751" s="43"/>
      <c r="Y751" s="26"/>
    </row>
    <row r="752" spans="1:25" ht="12" customHeight="1">
      <c r="A752" s="96" t="s">
        <v>2070</v>
      </c>
      <c r="B752" s="97" t="s">
        <v>2071</v>
      </c>
      <c r="C752" s="27">
        <v>45.1</v>
      </c>
      <c r="D752" s="27">
        <v>3.612174</v>
      </c>
      <c r="E752" s="43"/>
      <c r="F752" s="29" cm="1">
        <f t="array" ref="F752">_xlfn.IFS(C752=":",":",C752&gt;=P$19,1,C752&gt;=P$20,2,C752&lt;P$20,3)</f>
        <v>2</v>
      </c>
      <c r="H752" s="43"/>
      <c r="Y752" s="26"/>
    </row>
    <row r="753" spans="1:25" ht="12" customHeight="1">
      <c r="A753" s="96" t="s">
        <v>2072</v>
      </c>
      <c r="B753" s="97" t="s">
        <v>2073</v>
      </c>
      <c r="C753" s="27">
        <v>68.400000000000006</v>
      </c>
      <c r="D753" s="27">
        <v>0.43670500000000001</v>
      </c>
      <c r="E753" s="43"/>
      <c r="F753" s="29" cm="1">
        <f t="array" ref="F753">_xlfn.IFS(C753=":",":",C753&gt;=P$19,1,C753&gt;=P$20,2,C753&lt;P$20,3)</f>
        <v>1</v>
      </c>
      <c r="H753" s="43"/>
      <c r="Y753" s="26"/>
    </row>
    <row r="754" spans="1:25" ht="12" customHeight="1">
      <c r="A754" s="96" t="s">
        <v>2074</v>
      </c>
      <c r="B754" s="97" t="s">
        <v>2075</v>
      </c>
      <c r="C754" s="27">
        <v>88.9</v>
      </c>
      <c r="D754" s="27">
        <v>0.64921399999999996</v>
      </c>
      <c r="E754" s="43"/>
      <c r="F754" s="29" cm="1">
        <f t="array" ref="F754">_xlfn.IFS(C754=":",":",C754&gt;=P$19,1,C754&gt;=P$20,2,C754&lt;P$20,3)</f>
        <v>1</v>
      </c>
      <c r="H754" s="43"/>
      <c r="Y754" s="26"/>
    </row>
    <row r="755" spans="1:25" ht="12" customHeight="1">
      <c r="A755" s="96" t="s">
        <v>2076</v>
      </c>
      <c r="B755" s="97" t="s">
        <v>2077</v>
      </c>
      <c r="C755" s="27">
        <v>79.8</v>
      </c>
      <c r="D755" s="27">
        <v>1.862158</v>
      </c>
      <c r="E755" s="43"/>
      <c r="F755" s="29" cm="1">
        <f t="array" ref="F755">_xlfn.IFS(C755=":",":",C755&gt;=P$19,1,C755&gt;=P$20,2,C755&lt;P$20,3)</f>
        <v>1</v>
      </c>
      <c r="H755" s="43"/>
      <c r="Y755" s="26"/>
    </row>
    <row r="756" spans="1:25" ht="12" customHeight="1">
      <c r="A756" s="96" t="s">
        <v>2078</v>
      </c>
      <c r="B756" s="97" t="s">
        <v>2079</v>
      </c>
      <c r="C756" s="27">
        <v>90.4</v>
      </c>
      <c r="D756" s="27">
        <v>3.329526</v>
      </c>
      <c r="E756" s="43"/>
      <c r="F756" s="29" cm="1">
        <f t="array" ref="F756">_xlfn.IFS(C756=":",":",C756&gt;=P$19,1,C756&gt;=P$20,2,C756&lt;P$20,3)</f>
        <v>1</v>
      </c>
      <c r="H756" s="43"/>
      <c r="Y756" s="26"/>
    </row>
    <row r="757" spans="1:25" ht="12" customHeight="1">
      <c r="A757" s="96" t="s">
        <v>2080</v>
      </c>
      <c r="B757" s="97" t="s">
        <v>2081</v>
      </c>
      <c r="C757" s="27">
        <v>91</v>
      </c>
      <c r="D757" s="27">
        <v>0.670041</v>
      </c>
      <c r="E757" s="43"/>
      <c r="F757" s="29" cm="1">
        <f t="array" ref="F757">_xlfn.IFS(C757=":",":",C757&gt;=P$19,1,C757&gt;=P$20,2,C757&lt;P$20,3)</f>
        <v>1</v>
      </c>
      <c r="H757" s="43"/>
      <c r="Y757" s="26"/>
    </row>
    <row r="758" spans="1:25" ht="12" customHeight="1">
      <c r="A758" s="96" t="s">
        <v>2082</v>
      </c>
      <c r="B758" s="97" t="s">
        <v>2083</v>
      </c>
      <c r="C758" s="27">
        <v>84.5</v>
      </c>
      <c r="D758" s="27">
        <v>1.188987</v>
      </c>
      <c r="E758" s="43"/>
      <c r="F758" s="29" cm="1">
        <f t="array" ref="F758">_xlfn.IFS(C758=":",":",C758&gt;=P$19,1,C758&gt;=P$20,2,C758&lt;P$20,3)</f>
        <v>1</v>
      </c>
      <c r="H758" s="43"/>
      <c r="Y758" s="26"/>
    </row>
    <row r="759" spans="1:25" ht="12" customHeight="1">
      <c r="A759" s="96" t="s">
        <v>2084</v>
      </c>
      <c r="B759" s="97" t="s">
        <v>2085</v>
      </c>
      <c r="C759" s="27">
        <v>62.5</v>
      </c>
      <c r="D759" s="27">
        <v>2.463657</v>
      </c>
      <c r="E759" s="43"/>
      <c r="F759" s="29" cm="1">
        <f t="array" ref="F759">_xlfn.IFS(C759=":",":",C759&gt;=P$19,1,C759&gt;=P$20,2,C759&lt;P$20,3)</f>
        <v>2</v>
      </c>
      <c r="H759" s="43"/>
      <c r="Y759" s="26"/>
    </row>
    <row r="760" spans="1:25" ht="12" customHeight="1">
      <c r="A760" s="96" t="s">
        <v>2086</v>
      </c>
      <c r="B760" s="97" t="s">
        <v>3022</v>
      </c>
      <c r="C760" s="27">
        <v>76.400000000000006</v>
      </c>
      <c r="D760" s="27">
        <v>0.491759</v>
      </c>
      <c r="E760" s="43"/>
      <c r="F760" s="29" cm="1">
        <f t="array" ref="F760">_xlfn.IFS(C760=":",":",C760&gt;=P$19,1,C760&gt;=P$20,2,C760&lt;P$20,3)</f>
        <v>1</v>
      </c>
      <c r="H760" s="43"/>
      <c r="Y760" s="26"/>
    </row>
    <row r="761" spans="1:25" ht="12" customHeight="1">
      <c r="A761" s="96" t="s">
        <v>2087</v>
      </c>
      <c r="B761" s="97" t="s">
        <v>2088</v>
      </c>
      <c r="C761" s="27">
        <v>62.9</v>
      </c>
      <c r="D761" s="27">
        <v>2.5447259999999998</v>
      </c>
      <c r="E761" s="43"/>
      <c r="F761" s="29" cm="1">
        <f t="array" ref="F761">_xlfn.IFS(C761=":",":",C761&gt;=P$19,1,C761&gt;=P$20,2,C761&lt;P$20,3)</f>
        <v>2</v>
      </c>
      <c r="H761" s="43"/>
      <c r="Y761" s="26"/>
    </row>
    <row r="762" spans="1:25" ht="12" customHeight="1">
      <c r="A762" s="96" t="s">
        <v>2089</v>
      </c>
      <c r="B762" s="97" t="s">
        <v>2090</v>
      </c>
      <c r="C762" s="27">
        <v>43.2</v>
      </c>
      <c r="D762" s="27">
        <v>4.2835140000000003</v>
      </c>
      <c r="E762" s="43"/>
      <c r="F762" s="29" cm="1">
        <f t="array" ref="F762">_xlfn.IFS(C762=":",":",C762&gt;=P$19,1,C762&gt;=P$20,2,C762&lt;P$20,3)</f>
        <v>2</v>
      </c>
      <c r="H762" s="43"/>
      <c r="Y762" s="26"/>
    </row>
    <row r="763" spans="1:25" ht="12" customHeight="1">
      <c r="A763" s="96" t="s">
        <v>2091</v>
      </c>
      <c r="B763" s="97" t="s">
        <v>2092</v>
      </c>
      <c r="C763" s="27">
        <v>42.5</v>
      </c>
      <c r="D763" s="27">
        <v>3.9919190000000002</v>
      </c>
      <c r="E763" s="43"/>
      <c r="F763" s="29" cm="1">
        <f t="array" ref="F763">_xlfn.IFS(C763=":",":",C763&gt;=P$19,1,C763&gt;=P$20,2,C763&lt;P$20,3)</f>
        <v>2</v>
      </c>
      <c r="H763" s="43"/>
      <c r="Y763" s="26"/>
    </row>
    <row r="764" spans="1:25" ht="12" customHeight="1">
      <c r="A764" s="96" t="s">
        <v>2093</v>
      </c>
      <c r="B764" s="97" t="s">
        <v>2094</v>
      </c>
      <c r="C764" s="27">
        <v>57.5</v>
      </c>
      <c r="D764" s="27">
        <v>1.4304349999999999</v>
      </c>
      <c r="E764" s="43"/>
      <c r="F764" s="29" cm="1">
        <f t="array" ref="F764">_xlfn.IFS(C764=":",":",C764&gt;=P$19,1,C764&gt;=P$20,2,C764&lt;P$20,3)</f>
        <v>2</v>
      </c>
      <c r="H764" s="43"/>
      <c r="Y764" s="26"/>
    </row>
    <row r="765" spans="1:25" ht="12" customHeight="1">
      <c r="A765" s="96" t="s">
        <v>2095</v>
      </c>
      <c r="B765" s="97" t="s">
        <v>2096</v>
      </c>
      <c r="C765" s="27">
        <v>82</v>
      </c>
      <c r="D765" s="27">
        <v>0.24471999999999999</v>
      </c>
      <c r="E765" s="43"/>
      <c r="F765" s="29" cm="1">
        <f t="array" ref="F765">_xlfn.IFS(C765=":",":",C765&gt;=P$19,1,C765&gt;=P$20,2,C765&lt;P$20,3)</f>
        <v>1</v>
      </c>
      <c r="H765" s="43"/>
      <c r="J765" s="44"/>
      <c r="Y765" s="26"/>
    </row>
    <row r="766" spans="1:25" ht="12" customHeight="1">
      <c r="A766" s="96" t="s">
        <v>2097</v>
      </c>
      <c r="B766" s="97" t="s">
        <v>2098</v>
      </c>
      <c r="C766" s="27">
        <v>66.5</v>
      </c>
      <c r="D766" s="27">
        <v>0.14101</v>
      </c>
      <c r="E766" s="43"/>
      <c r="F766" s="29" cm="1">
        <f t="array" ref="F766">_xlfn.IFS(C766=":",":",C766&gt;=P$19,1,C766&gt;=P$20,2,C766&lt;P$20,3)</f>
        <v>1</v>
      </c>
      <c r="H766" s="43"/>
      <c r="J766" s="29"/>
      <c r="Y766" s="26"/>
    </row>
    <row r="767" spans="1:25" ht="12" customHeight="1">
      <c r="A767" s="96" t="s">
        <v>2099</v>
      </c>
      <c r="B767" s="97" t="s">
        <v>2100</v>
      </c>
      <c r="C767" s="27">
        <v>43.7</v>
      </c>
      <c r="D767" s="27">
        <v>2.0887190000000002</v>
      </c>
      <c r="E767" s="43"/>
      <c r="F767" s="29" cm="1">
        <f t="array" ref="F767">_xlfn.IFS(C767=":",":",C767&gt;=P$19,1,C767&gt;=P$20,2,C767&lt;P$20,3)</f>
        <v>2</v>
      </c>
      <c r="H767" s="43"/>
      <c r="J767" s="29"/>
      <c r="Y767" s="26"/>
    </row>
    <row r="768" spans="1:25" ht="12" customHeight="1">
      <c r="A768" s="96" t="s">
        <v>2101</v>
      </c>
      <c r="B768" s="97" t="s">
        <v>2102</v>
      </c>
      <c r="C768" s="27">
        <v>64.5</v>
      </c>
      <c r="D768" s="27">
        <v>1.149211</v>
      </c>
      <c r="E768" s="43"/>
      <c r="F768" s="29" cm="1">
        <f t="array" ref="F768">_xlfn.IFS(C768=":",":",C768&gt;=P$19,1,C768&gt;=P$20,2,C768&lt;P$20,3)</f>
        <v>2</v>
      </c>
      <c r="H768" s="43"/>
      <c r="J768" s="29"/>
      <c r="Y768" s="26"/>
    </row>
    <row r="769" spans="1:25" ht="12" customHeight="1">
      <c r="A769" s="96" t="s">
        <v>2103</v>
      </c>
      <c r="B769" s="97" t="s">
        <v>2104</v>
      </c>
      <c r="C769" s="27">
        <v>49.5</v>
      </c>
      <c r="D769" s="27">
        <v>1.473984</v>
      </c>
      <c r="E769" s="43"/>
      <c r="F769" s="29" cm="1">
        <f t="array" ref="F769">_xlfn.IFS(C769=":",":",C769&gt;=P$19,1,C769&gt;=P$20,2,C769&lt;P$20,3)</f>
        <v>2</v>
      </c>
      <c r="H769" s="43"/>
      <c r="J769" s="29"/>
      <c r="Y769" s="26"/>
    </row>
    <row r="770" spans="1:25" ht="12" customHeight="1">
      <c r="A770" s="96" t="s">
        <v>2105</v>
      </c>
      <c r="B770" s="97" t="s">
        <v>2106</v>
      </c>
      <c r="C770" s="27">
        <v>43.5</v>
      </c>
      <c r="D770" s="27">
        <v>8.3339540000000003</v>
      </c>
      <c r="E770" s="43"/>
      <c r="F770" s="29" cm="1">
        <f t="array" ref="F770">_xlfn.IFS(C770=":",":",C770&gt;=P$19,1,C770&gt;=P$20,2,C770&lt;P$20,3)</f>
        <v>2</v>
      </c>
      <c r="H770" s="43"/>
      <c r="J770" s="29"/>
      <c r="Y770" s="26"/>
    </row>
    <row r="771" spans="1:25" ht="12" customHeight="1">
      <c r="A771" s="96" t="s">
        <v>2107</v>
      </c>
      <c r="B771" s="97" t="s">
        <v>2108</v>
      </c>
      <c r="C771" s="27">
        <v>52.1</v>
      </c>
      <c r="D771" s="27">
        <v>2.5426690000000001</v>
      </c>
      <c r="E771" s="43"/>
      <c r="F771" s="29" cm="1">
        <f t="array" ref="F771">_xlfn.IFS(C771=":",":",C771&gt;=P$19,1,C771&gt;=P$20,2,C771&lt;P$20,3)</f>
        <v>2</v>
      </c>
      <c r="H771" s="43"/>
      <c r="J771" s="29"/>
      <c r="Y771" s="26"/>
    </row>
    <row r="772" spans="1:25" ht="12" customHeight="1">
      <c r="A772" s="96" t="s">
        <v>2109</v>
      </c>
      <c r="B772" s="97" t="s">
        <v>2110</v>
      </c>
      <c r="C772" s="27">
        <v>48.1</v>
      </c>
      <c r="D772" s="27">
        <v>1.589361</v>
      </c>
      <c r="E772" s="43"/>
      <c r="F772" s="29" cm="1">
        <f t="array" ref="F772">_xlfn.IFS(C772=":",":",C772&gt;=P$19,1,C772&gt;=P$20,2,C772&lt;P$20,3)</f>
        <v>2</v>
      </c>
      <c r="H772" s="43"/>
      <c r="J772" s="29"/>
      <c r="Y772" s="26"/>
    </row>
    <row r="773" spans="1:25" ht="12" customHeight="1">
      <c r="A773" s="96" t="s">
        <v>2111</v>
      </c>
      <c r="B773" s="97" t="s">
        <v>2112</v>
      </c>
      <c r="C773" s="27">
        <v>57.3</v>
      </c>
      <c r="D773" s="27">
        <v>0.73550199999999999</v>
      </c>
      <c r="E773" s="43"/>
      <c r="F773" s="29" cm="1">
        <f t="array" ref="F773">_xlfn.IFS(C773=":",":",C773&gt;=P$19,1,C773&gt;=P$20,2,C773&lt;P$20,3)</f>
        <v>2</v>
      </c>
      <c r="H773" s="43"/>
      <c r="J773" s="29"/>
      <c r="Y773" s="26"/>
    </row>
    <row r="774" spans="1:25" ht="12" customHeight="1">
      <c r="A774" s="96" t="s">
        <v>2113</v>
      </c>
      <c r="B774" s="97" t="s">
        <v>2114</v>
      </c>
      <c r="C774" s="27">
        <v>62.3</v>
      </c>
      <c r="D774" s="27">
        <v>2.4087649999999998</v>
      </c>
      <c r="E774" s="43"/>
      <c r="F774" s="29" cm="1">
        <f t="array" ref="F774">_xlfn.IFS(C774=":",":",C774&gt;=P$19,1,C774&gt;=P$20,2,C774&lt;P$20,3)</f>
        <v>2</v>
      </c>
      <c r="H774" s="43"/>
      <c r="I774" s="43"/>
      <c r="J774" s="65"/>
      <c r="Y774" s="26"/>
    </row>
    <row r="775" spans="1:25" ht="12" customHeight="1">
      <c r="A775" s="96" t="s">
        <v>2115</v>
      </c>
      <c r="B775" s="97" t="s">
        <v>2116</v>
      </c>
      <c r="C775" s="27">
        <v>28.3</v>
      </c>
      <c r="D775" s="27">
        <v>37.046802999999997</v>
      </c>
      <c r="E775" s="43"/>
      <c r="F775" s="29" cm="1">
        <f t="array" ref="F775">_xlfn.IFS(C775=":",":",C775&gt;=P$19,1,C775&gt;=P$20,2,C775&lt;P$20,3)</f>
        <v>3</v>
      </c>
      <c r="H775" s="43"/>
      <c r="I775" s="43"/>
      <c r="J775" s="65"/>
      <c r="Y775" s="26"/>
    </row>
    <row r="776" spans="1:25" ht="12" customHeight="1">
      <c r="A776" s="96" t="s">
        <v>2117</v>
      </c>
      <c r="B776" s="97" t="s">
        <v>2118</v>
      </c>
      <c r="C776" s="27">
        <v>56.1</v>
      </c>
      <c r="D776" s="27">
        <v>19.644628000000001</v>
      </c>
      <c r="E776" s="43"/>
      <c r="F776" s="29" cm="1">
        <f t="array" ref="F776">_xlfn.IFS(C776=":",":",C776&gt;=P$19,1,C776&gt;=P$20,2,C776&lt;P$20,3)</f>
        <v>2</v>
      </c>
      <c r="H776" s="43"/>
      <c r="I776" s="43"/>
      <c r="J776" s="65"/>
      <c r="Y776" s="26"/>
    </row>
    <row r="777" spans="1:25" ht="12" customHeight="1">
      <c r="A777" s="96" t="s">
        <v>2119</v>
      </c>
      <c r="B777" s="97" t="s">
        <v>2120</v>
      </c>
      <c r="C777" s="27">
        <v>21.4</v>
      </c>
      <c r="D777" s="27">
        <v>19.540991000000002</v>
      </c>
      <c r="E777" s="43"/>
      <c r="F777" s="29" cm="1">
        <f t="array" ref="F777">_xlfn.IFS(C777=":",":",C777&gt;=P$19,1,C777&gt;=P$20,2,C777&lt;P$20,3)</f>
        <v>3</v>
      </c>
      <c r="H777" s="43"/>
      <c r="I777" s="43"/>
      <c r="J777" s="65"/>
      <c r="Y777" s="26"/>
    </row>
    <row r="778" spans="1:25" ht="12" customHeight="1">
      <c r="A778" s="96" t="s">
        <v>2121</v>
      </c>
      <c r="B778" s="97" t="s">
        <v>2122</v>
      </c>
      <c r="C778" s="27">
        <v>66</v>
      </c>
      <c r="D778" s="27">
        <v>2.322953</v>
      </c>
      <c r="E778" s="43"/>
      <c r="F778" s="29" cm="1">
        <f t="array" ref="F778">_xlfn.IFS(C778=":",":",C778&gt;=P$19,1,C778&gt;=P$20,2,C778&lt;P$20,3)</f>
        <v>1</v>
      </c>
      <c r="H778" s="43"/>
      <c r="I778" s="43"/>
      <c r="J778" s="65"/>
      <c r="Y778" s="26"/>
    </row>
    <row r="779" spans="1:25" ht="12" customHeight="1">
      <c r="A779" s="96" t="s">
        <v>2123</v>
      </c>
      <c r="B779" s="97" t="s">
        <v>2124</v>
      </c>
      <c r="C779" s="27">
        <v>55</v>
      </c>
      <c r="D779" s="27">
        <v>4.0190169999999998</v>
      </c>
      <c r="E779" s="43"/>
      <c r="F779" s="29" cm="1">
        <f t="array" ref="F779">_xlfn.IFS(C779=":",":",C779&gt;=P$19,1,C779&gt;=P$20,2,C779&lt;P$20,3)</f>
        <v>2</v>
      </c>
      <c r="H779" s="43"/>
      <c r="Y779" s="26"/>
    </row>
    <row r="780" spans="1:25" ht="12" customHeight="1">
      <c r="A780" s="96" t="s">
        <v>2125</v>
      </c>
      <c r="B780" s="97" t="s">
        <v>2126</v>
      </c>
      <c r="C780" s="27">
        <v>48</v>
      </c>
      <c r="D780" s="27">
        <v>2.1118139999999999</v>
      </c>
      <c r="E780" s="43"/>
      <c r="F780" s="29" cm="1">
        <f t="array" ref="F780">_xlfn.IFS(C780=":",":",C780&gt;=P$19,1,C780&gt;=P$20,2,C780&lt;P$20,3)</f>
        <v>2</v>
      </c>
      <c r="H780" s="43"/>
      <c r="Y780" s="26"/>
    </row>
    <row r="781" spans="1:25" ht="12" customHeight="1">
      <c r="A781" s="96" t="s">
        <v>2127</v>
      </c>
      <c r="B781" s="97" t="s">
        <v>2128</v>
      </c>
      <c r="C781" s="27">
        <v>22.8</v>
      </c>
      <c r="D781" s="27">
        <v>38.843564999999998</v>
      </c>
      <c r="E781" s="43"/>
      <c r="F781" s="29" cm="1">
        <f t="array" ref="F781">_xlfn.IFS(C781=":",":",C781&gt;=P$19,1,C781&gt;=P$20,2,C781&lt;P$20,3)</f>
        <v>3</v>
      </c>
      <c r="H781" s="43"/>
      <c r="Y781" s="26"/>
    </row>
    <row r="782" spans="1:25" ht="12" customHeight="1">
      <c r="A782" s="96" t="s">
        <v>2129</v>
      </c>
      <c r="B782" s="97" t="s">
        <v>2130</v>
      </c>
      <c r="C782" s="27">
        <v>59.7</v>
      </c>
      <c r="D782" s="27">
        <v>5.2963699999999996</v>
      </c>
      <c r="E782" s="43"/>
      <c r="F782" s="29" cm="1">
        <f t="array" ref="F782">_xlfn.IFS(C782=":",":",C782&gt;=P$19,1,C782&gt;=P$20,2,C782&lt;P$20,3)</f>
        <v>2</v>
      </c>
      <c r="H782" s="43"/>
      <c r="Y782" s="26"/>
    </row>
    <row r="783" spans="1:25" ht="12" customHeight="1">
      <c r="A783" s="96" t="s">
        <v>2131</v>
      </c>
      <c r="B783" s="97" t="s">
        <v>2132</v>
      </c>
      <c r="C783" s="27">
        <v>55.6</v>
      </c>
      <c r="D783" s="27">
        <v>1.3376669999999999</v>
      </c>
      <c r="E783" s="43"/>
      <c r="F783" s="29" cm="1">
        <f t="array" ref="F783">_xlfn.IFS(C783=":",":",C783&gt;=P$19,1,C783&gt;=P$20,2,C783&lt;P$20,3)</f>
        <v>2</v>
      </c>
      <c r="H783" s="43"/>
      <c r="Y783" s="26"/>
    </row>
    <row r="784" spans="1:25" ht="12" customHeight="1">
      <c r="A784" s="96" t="s">
        <v>2133</v>
      </c>
      <c r="B784" s="97" t="s">
        <v>2134</v>
      </c>
      <c r="C784" s="27">
        <v>59.3</v>
      </c>
      <c r="D784" s="27">
        <v>0.622031</v>
      </c>
      <c r="E784" s="43"/>
      <c r="F784" s="29" cm="1">
        <f t="array" ref="F784">_xlfn.IFS(C784=":",":",C784&gt;=P$19,1,C784&gt;=P$20,2,C784&lt;P$20,3)</f>
        <v>2</v>
      </c>
      <c r="H784" s="43"/>
      <c r="Y784" s="26"/>
    </row>
    <row r="785" spans="1:25" ht="12" customHeight="1">
      <c r="A785" s="96" t="s">
        <v>2135</v>
      </c>
      <c r="B785" s="97" t="s">
        <v>2136</v>
      </c>
      <c r="C785" s="27">
        <v>41.9</v>
      </c>
      <c r="D785" s="27">
        <v>5.8234469999999998</v>
      </c>
      <c r="E785" s="43"/>
      <c r="F785" s="29" cm="1">
        <f t="array" ref="F785">_xlfn.IFS(C785=":",":",C785&gt;=P$19,1,C785&gt;=P$20,2,C785&lt;P$20,3)</f>
        <v>2</v>
      </c>
      <c r="H785" s="43"/>
      <c r="I785" s="5"/>
      <c r="Y785" s="26"/>
    </row>
    <row r="786" spans="1:25" ht="12" customHeight="1">
      <c r="A786" s="96" t="s">
        <v>2137</v>
      </c>
      <c r="B786" s="97" t="s">
        <v>2138</v>
      </c>
      <c r="C786" s="27">
        <v>28.6</v>
      </c>
      <c r="D786" s="27">
        <v>1.945227</v>
      </c>
      <c r="E786" s="43"/>
      <c r="F786" s="29" cm="1">
        <f t="array" ref="F786">_xlfn.IFS(C786=":",":",C786&gt;=P$19,1,C786&gt;=P$20,2,C786&lt;P$20,3)</f>
        <v>3</v>
      </c>
      <c r="H786" s="43"/>
      <c r="I786" s="5"/>
      <c r="Y786" s="26"/>
    </row>
    <row r="787" spans="1:25" ht="12" customHeight="1">
      <c r="A787" s="96" t="s">
        <v>2139</v>
      </c>
      <c r="B787" s="97" t="s">
        <v>2140</v>
      </c>
      <c r="C787" s="27">
        <v>43.7</v>
      </c>
      <c r="D787" s="27">
        <v>1.7532749999999999</v>
      </c>
      <c r="E787" s="43"/>
      <c r="F787" s="29" cm="1">
        <f t="array" ref="F787">_xlfn.IFS(C787=":",":",C787&gt;=P$19,1,C787&gt;=P$20,2,C787&lt;P$20,3)</f>
        <v>2</v>
      </c>
      <c r="H787" s="43"/>
      <c r="I787" s="5"/>
      <c r="Y787" s="26"/>
    </row>
    <row r="788" spans="1:25" ht="12" customHeight="1">
      <c r="A788" s="96" t="s">
        <v>2141</v>
      </c>
      <c r="B788" s="97" t="s">
        <v>2142</v>
      </c>
      <c r="C788" s="27">
        <v>72.3</v>
      </c>
      <c r="D788" s="27">
        <v>0.57284000000000002</v>
      </c>
      <c r="E788" s="43"/>
      <c r="F788" s="29" cm="1">
        <f t="array" ref="F788">_xlfn.IFS(C788=":",":",C788&gt;=P$19,1,C788&gt;=P$20,2,C788&lt;P$20,3)</f>
        <v>1</v>
      </c>
      <c r="H788" s="43"/>
      <c r="I788" s="5"/>
      <c r="Y788" s="26"/>
    </row>
    <row r="789" spans="1:25" ht="12" customHeight="1">
      <c r="A789" s="96" t="s">
        <v>2143</v>
      </c>
      <c r="B789" s="97" t="s">
        <v>2144</v>
      </c>
      <c r="C789" s="27">
        <v>67.8</v>
      </c>
      <c r="D789" s="27">
        <v>1.457954</v>
      </c>
      <c r="E789" s="43"/>
      <c r="F789" s="29" cm="1">
        <f t="array" ref="F789">_xlfn.IFS(C789=":",":",C789&gt;=P$19,1,C789&gt;=P$20,2,C789&lt;P$20,3)</f>
        <v>1</v>
      </c>
      <c r="H789" s="43"/>
      <c r="I789" s="5"/>
      <c r="Y789" s="26"/>
    </row>
    <row r="790" spans="1:25" ht="12" customHeight="1">
      <c r="A790" s="96" t="s">
        <v>2145</v>
      </c>
      <c r="B790" s="97" t="s">
        <v>2896</v>
      </c>
      <c r="C790" s="27">
        <v>70.7</v>
      </c>
      <c r="D790" s="27">
        <v>0.771343</v>
      </c>
      <c r="E790" s="43"/>
      <c r="F790" s="29" cm="1">
        <f t="array" ref="F790">_xlfn.IFS(C790=":",":",C790&gt;=P$19,1,C790&gt;=P$20,2,C790&lt;P$20,3)</f>
        <v>1</v>
      </c>
      <c r="H790" s="43"/>
      <c r="I790" s="5"/>
      <c r="Y790" s="26"/>
    </row>
    <row r="791" spans="1:25" ht="12" customHeight="1">
      <c r="A791" s="96" t="s">
        <v>2146</v>
      </c>
      <c r="B791" s="97" t="s">
        <v>2147</v>
      </c>
      <c r="C791" s="27">
        <v>69</v>
      </c>
      <c r="D791" s="27">
        <v>1.886585</v>
      </c>
      <c r="E791" s="43"/>
      <c r="F791" s="29" cm="1">
        <f t="array" ref="F791">_xlfn.IFS(C791=":",":",C791&gt;=P$19,1,C791&gt;=P$20,2,C791&lt;P$20,3)</f>
        <v>1</v>
      </c>
      <c r="H791" s="43"/>
      <c r="I791" s="5"/>
      <c r="Y791" s="26"/>
    </row>
    <row r="792" spans="1:25" ht="12" customHeight="1">
      <c r="A792" s="96" t="s">
        <v>2148</v>
      </c>
      <c r="B792" s="97" t="s">
        <v>2149</v>
      </c>
      <c r="C792" s="27">
        <v>50.7</v>
      </c>
      <c r="D792" s="27">
        <v>5.9138400000000004</v>
      </c>
      <c r="E792" s="43"/>
      <c r="F792" s="29" cm="1">
        <f t="array" ref="F792">_xlfn.IFS(C792=":",":",C792&gt;=P$19,1,C792&gt;=P$20,2,C792&lt;P$20,3)</f>
        <v>2</v>
      </c>
      <c r="H792" s="43"/>
      <c r="I792" s="5"/>
      <c r="Y792" s="26"/>
    </row>
    <row r="793" spans="1:25" ht="12" customHeight="1">
      <c r="A793" s="100" t="s">
        <v>2150</v>
      </c>
      <c r="B793" s="99" t="s">
        <v>2151</v>
      </c>
      <c r="C793" s="27">
        <v>61.9</v>
      </c>
      <c r="D793" s="27">
        <v>2.815429</v>
      </c>
      <c r="E793" s="43"/>
      <c r="F793" s="29" cm="1">
        <f t="array" ref="F793">_xlfn.IFS(C793=":",":",C793&gt;=P$19,1,C793&gt;=P$20,2,C793&lt;P$20,3)</f>
        <v>2</v>
      </c>
      <c r="H793" s="43"/>
      <c r="I793" s="5"/>
      <c r="Y793" s="26"/>
    </row>
    <row r="794" spans="1:25" ht="12" customHeight="1">
      <c r="A794" s="96" t="s">
        <v>2152</v>
      </c>
      <c r="B794" s="97" t="s">
        <v>2153</v>
      </c>
      <c r="C794" s="27">
        <v>76.8</v>
      </c>
      <c r="D794" s="27">
        <v>6.6331119999999997</v>
      </c>
      <c r="E794" s="43"/>
      <c r="F794" s="29" cm="1">
        <f t="array" ref="F794">_xlfn.IFS(C794=":",":",C794&gt;=P$19,1,C794&gt;=P$20,2,C794&lt;P$20,3)</f>
        <v>1</v>
      </c>
      <c r="H794" s="43"/>
      <c r="I794" s="5"/>
      <c r="Y794" s="26"/>
    </row>
    <row r="795" spans="1:25" ht="12" customHeight="1">
      <c r="A795" s="96" t="s">
        <v>2154</v>
      </c>
      <c r="B795" s="97" t="s">
        <v>2155</v>
      </c>
      <c r="C795" s="27">
        <v>81</v>
      </c>
      <c r="D795" s="27">
        <v>5.709136</v>
      </c>
      <c r="E795" s="59"/>
      <c r="F795" s="29" cm="1">
        <f t="array" ref="F795">_xlfn.IFS(C795=":",":",C795&gt;=P$19,1,C795&gt;=P$20,2,C795&lt;P$20,3)</f>
        <v>1</v>
      </c>
      <c r="H795" s="43"/>
      <c r="I795" s="5"/>
      <c r="Y795" s="26"/>
    </row>
    <row r="796" spans="1:25" ht="12" customHeight="1">
      <c r="A796" s="96" t="s">
        <v>2156</v>
      </c>
      <c r="B796" s="97" t="s">
        <v>2157</v>
      </c>
      <c r="C796" s="27">
        <v>72.3</v>
      </c>
      <c r="D796" s="27">
        <v>15.022581000000001</v>
      </c>
      <c r="E796" s="59"/>
      <c r="F796" s="29" cm="1">
        <f t="array" ref="F796">_xlfn.IFS(C796=":",":",C796&gt;=P$19,1,C796&gt;=P$20,2,C796&lt;P$20,3)</f>
        <v>1</v>
      </c>
      <c r="H796" s="43"/>
      <c r="I796" s="5"/>
      <c r="Y796" s="26"/>
    </row>
    <row r="797" spans="1:25" ht="12" customHeight="1">
      <c r="A797" s="96" t="s">
        <v>2158</v>
      </c>
      <c r="B797" s="97" t="s">
        <v>2159</v>
      </c>
      <c r="C797" s="27">
        <v>73.400000000000006</v>
      </c>
      <c r="D797" s="27">
        <v>1.072327</v>
      </c>
      <c r="E797" s="59"/>
      <c r="F797" s="29" cm="1">
        <f t="array" ref="F797">_xlfn.IFS(C797=":",":",C797&gt;=P$19,1,C797&gt;=P$20,2,C797&lt;P$20,3)</f>
        <v>1</v>
      </c>
      <c r="H797" s="43"/>
      <c r="I797" s="5"/>
      <c r="Y797" s="26"/>
    </row>
    <row r="798" spans="1:25" ht="12" customHeight="1">
      <c r="A798" s="96" t="s">
        <v>2160</v>
      </c>
      <c r="B798" s="97" t="s">
        <v>2161</v>
      </c>
      <c r="C798" s="27">
        <v>49.5</v>
      </c>
      <c r="D798" s="27">
        <v>3.4562210000000002</v>
      </c>
      <c r="E798" s="59"/>
      <c r="F798" s="29" cm="1">
        <f t="array" ref="F798">_xlfn.IFS(C798=":",":",C798&gt;=P$19,1,C798&gt;=P$20,2,C798&lt;P$20,3)</f>
        <v>2</v>
      </c>
      <c r="H798" s="43"/>
      <c r="I798" s="5"/>
      <c r="Y798" s="26"/>
    </row>
    <row r="799" spans="1:25" ht="12" customHeight="1">
      <c r="A799" s="96" t="s">
        <v>2162</v>
      </c>
      <c r="B799" s="97" t="s">
        <v>2163</v>
      </c>
      <c r="C799" s="27">
        <v>34.700000000000003</v>
      </c>
      <c r="D799" s="27">
        <v>2.299944</v>
      </c>
      <c r="E799" s="59"/>
      <c r="F799" s="29" cm="1">
        <f t="array" ref="F799">_xlfn.IFS(C799=":",":",C799&gt;=P$19,1,C799&gt;=P$20,2,C799&lt;P$20,3)</f>
        <v>3</v>
      </c>
      <c r="H799" s="43"/>
      <c r="I799" s="5"/>
      <c r="Y799" s="26"/>
    </row>
    <row r="800" spans="1:25" ht="12" customHeight="1">
      <c r="A800" s="96" t="s">
        <v>2164</v>
      </c>
      <c r="B800" s="97" t="s">
        <v>2165</v>
      </c>
      <c r="C800" s="27">
        <v>20.7</v>
      </c>
      <c r="D800" s="27">
        <v>12.952026999999999</v>
      </c>
      <c r="E800" s="59"/>
      <c r="F800" s="29" cm="1">
        <f t="array" ref="F800">_xlfn.IFS(C800=":",":",C800&gt;=P$19,1,C800&gt;=P$20,2,C800&lt;P$20,3)</f>
        <v>3</v>
      </c>
      <c r="H800" s="43"/>
      <c r="I800" s="5"/>
      <c r="Y800" s="26"/>
    </row>
    <row r="801" spans="1:25" ht="12" customHeight="1">
      <c r="A801" s="96" t="s">
        <v>2166</v>
      </c>
      <c r="B801" s="97" t="s">
        <v>2167</v>
      </c>
      <c r="C801" s="27">
        <v>40.799999999999997</v>
      </c>
      <c r="D801" s="27">
        <v>0.52778499999999995</v>
      </c>
      <c r="E801" s="59"/>
      <c r="F801" s="29" cm="1">
        <f t="array" ref="F801">_xlfn.IFS(C801=":",":",C801&gt;=P$19,1,C801&gt;=P$20,2,C801&lt;P$20,3)</f>
        <v>2</v>
      </c>
      <c r="H801" s="43"/>
      <c r="Y801" s="26"/>
    </row>
    <row r="802" spans="1:25" ht="12" customHeight="1">
      <c r="A802" s="96" t="s">
        <v>2168</v>
      </c>
      <c r="B802" s="97" t="s">
        <v>2169</v>
      </c>
      <c r="C802" s="27">
        <v>58.4</v>
      </c>
      <c r="D802" s="27">
        <v>9.2604710000000008</v>
      </c>
      <c r="E802" s="59"/>
      <c r="F802" s="29" cm="1">
        <f t="array" ref="F802">_xlfn.IFS(C802=":",":",C802&gt;=P$19,1,C802&gt;=P$20,2,C802&lt;P$20,3)</f>
        <v>2</v>
      </c>
      <c r="H802" s="43"/>
      <c r="Y802" s="26"/>
    </row>
    <row r="803" spans="1:25" ht="12" customHeight="1">
      <c r="A803" s="96" t="s">
        <v>2170</v>
      </c>
      <c r="B803" s="97" t="s">
        <v>2171</v>
      </c>
      <c r="C803" s="27">
        <v>39.299999999999997</v>
      </c>
      <c r="D803" s="27">
        <v>3.5326029999999999</v>
      </c>
      <c r="E803" s="59"/>
      <c r="F803" s="29" cm="1">
        <f t="array" ref="F803">_xlfn.IFS(C803=":",":",C803&gt;=P$19,1,C803&gt;=P$20,2,C803&lt;P$20,3)</f>
        <v>2</v>
      </c>
      <c r="H803" s="43"/>
      <c r="Y803" s="26"/>
    </row>
    <row r="804" spans="1:25" ht="12" customHeight="1">
      <c r="A804" s="96" t="s">
        <v>2172</v>
      </c>
      <c r="B804" s="97" t="s">
        <v>2173</v>
      </c>
      <c r="C804" s="27">
        <v>44.1</v>
      </c>
      <c r="D804" s="27">
        <v>1.8131390000000001</v>
      </c>
      <c r="E804" s="59"/>
      <c r="F804" s="29" cm="1">
        <f t="array" ref="F804">_xlfn.IFS(C804=":",":",C804&gt;=P$19,1,C804&gt;=P$20,2,C804&lt;P$20,3)</f>
        <v>2</v>
      </c>
      <c r="H804" s="43"/>
      <c r="Y804" s="26"/>
    </row>
    <row r="805" spans="1:25" ht="12" customHeight="1">
      <c r="A805" s="96" t="s">
        <v>2174</v>
      </c>
      <c r="B805" s="97" t="s">
        <v>2175</v>
      </c>
      <c r="C805" s="27">
        <v>34.299999999999997</v>
      </c>
      <c r="D805" s="27">
        <v>5.5090649999999997</v>
      </c>
      <c r="E805" s="59"/>
      <c r="F805" s="29" cm="1">
        <f t="array" ref="F805">_xlfn.IFS(C805=":",":",C805&gt;=P$19,1,C805&gt;=P$20,2,C805&lt;P$20,3)</f>
        <v>3</v>
      </c>
      <c r="H805" s="43"/>
      <c r="Y805" s="26"/>
    </row>
    <row r="806" spans="1:25" ht="12" customHeight="1">
      <c r="A806" s="96" t="s">
        <v>2176</v>
      </c>
      <c r="B806" s="97" t="s">
        <v>2177</v>
      </c>
      <c r="C806" s="27">
        <v>67.5</v>
      </c>
      <c r="D806" s="27">
        <v>5.7972390000000003</v>
      </c>
      <c r="E806" s="59"/>
      <c r="F806" s="29" cm="1">
        <f t="array" ref="F806">_xlfn.IFS(C806=":",":",C806&gt;=P$19,1,C806&gt;=P$20,2,C806&lt;P$20,3)</f>
        <v>1</v>
      </c>
      <c r="H806" s="43"/>
      <c r="Y806" s="26"/>
    </row>
    <row r="807" spans="1:25" ht="12" customHeight="1">
      <c r="A807" s="96" t="s">
        <v>2178</v>
      </c>
      <c r="B807" s="97" t="s">
        <v>2179</v>
      </c>
      <c r="C807" s="27">
        <v>64.400000000000006</v>
      </c>
      <c r="D807" s="27">
        <v>5.8241379999999996</v>
      </c>
      <c r="E807" s="59"/>
      <c r="F807" s="29" cm="1">
        <f t="array" ref="F807">_xlfn.IFS(C807=":",":",C807&gt;=P$19,1,C807&gt;=P$20,2,C807&lt;P$20,3)</f>
        <v>2</v>
      </c>
      <c r="H807" s="43"/>
      <c r="Y807" s="26"/>
    </row>
    <row r="808" spans="1:25" ht="12" customHeight="1">
      <c r="A808" s="96" t="s">
        <v>2180</v>
      </c>
      <c r="B808" s="97" t="s">
        <v>2181</v>
      </c>
      <c r="C808" s="27">
        <v>66.400000000000006</v>
      </c>
      <c r="D808" s="27">
        <v>0.92690399999999995</v>
      </c>
      <c r="E808" s="59"/>
      <c r="F808" s="29" cm="1">
        <f t="array" ref="F808">_xlfn.IFS(C808=":",":",C808&gt;=P$19,1,C808&gt;=P$20,2,C808&lt;P$20,3)</f>
        <v>1</v>
      </c>
      <c r="H808" s="43"/>
      <c r="Y808" s="26"/>
    </row>
    <row r="809" spans="1:25" s="29" customFormat="1" ht="12" customHeight="1">
      <c r="A809" s="96" t="s">
        <v>2182</v>
      </c>
      <c r="B809" s="97" t="s">
        <v>2183</v>
      </c>
      <c r="C809" s="27">
        <v>76.099999999999994</v>
      </c>
      <c r="D809" s="27">
        <v>2.940509</v>
      </c>
      <c r="E809" s="59"/>
      <c r="F809" s="29" cm="1">
        <f t="array" ref="F809">_xlfn.IFS(C809=":",":",C809&gt;=P$19,1,C809&gt;=P$20,2,C809&lt;P$20,3)</f>
        <v>1</v>
      </c>
      <c r="H809" s="43"/>
      <c r="I809" s="44"/>
      <c r="Y809" s="26"/>
    </row>
    <row r="810" spans="1:25" s="29" customFormat="1" ht="12" customHeight="1">
      <c r="A810" s="96" t="s">
        <v>2184</v>
      </c>
      <c r="B810" s="97" t="s">
        <v>2185</v>
      </c>
      <c r="C810" s="27">
        <v>80.7</v>
      </c>
      <c r="D810" s="27">
        <v>2.8088989999999998</v>
      </c>
      <c r="E810" s="59"/>
      <c r="F810" s="29" cm="1">
        <f t="array" ref="F810">_xlfn.IFS(C810=":",":",C810&gt;=P$19,1,C810&gt;=P$20,2,C810&lt;P$20,3)</f>
        <v>1</v>
      </c>
      <c r="H810" s="43"/>
      <c r="I810" s="44"/>
      <c r="Y810" s="26"/>
    </row>
    <row r="811" spans="1:25" s="29" customFormat="1" ht="12" customHeight="1">
      <c r="A811" s="96" t="s">
        <v>2186</v>
      </c>
      <c r="B811" s="97" t="s">
        <v>2187</v>
      </c>
      <c r="C811" s="27">
        <v>84.4</v>
      </c>
      <c r="D811" s="27">
        <v>1.5669439999999999</v>
      </c>
      <c r="E811" s="43"/>
      <c r="F811" s="29" cm="1">
        <f t="array" ref="F811">_xlfn.IFS(C811=":",":",C811&gt;=P$19,1,C811&gt;=P$20,2,C811&lt;P$20,3)</f>
        <v>1</v>
      </c>
      <c r="H811" s="43"/>
      <c r="I811" s="44"/>
      <c r="Y811" s="26"/>
    </row>
    <row r="812" spans="1:25" s="29" customFormat="1" ht="12" customHeight="1">
      <c r="A812" s="96" t="s">
        <v>2188</v>
      </c>
      <c r="B812" s="97" t="s">
        <v>2189</v>
      </c>
      <c r="C812" s="27">
        <v>85.9</v>
      </c>
      <c r="D812" s="27">
        <v>1.7273229999999999</v>
      </c>
      <c r="E812" s="43"/>
      <c r="F812" s="29" cm="1">
        <f t="array" ref="F812">_xlfn.IFS(C812=":",":",C812&gt;=P$19,1,C812&gt;=P$20,2,C812&lt;P$20,3)</f>
        <v>1</v>
      </c>
      <c r="H812" s="43"/>
      <c r="I812" s="44"/>
      <c r="Y812" s="26"/>
    </row>
    <row r="813" spans="1:25" s="29" customFormat="1" ht="12" customHeight="1">
      <c r="A813" s="96" t="s">
        <v>2190</v>
      </c>
      <c r="B813" s="97" t="s">
        <v>2191</v>
      </c>
      <c r="C813" s="27">
        <v>87.7</v>
      </c>
      <c r="D813" s="27">
        <v>1.437999</v>
      </c>
      <c r="E813" s="43"/>
      <c r="F813" s="29" cm="1">
        <f t="array" ref="F813">_xlfn.IFS(C813=":",":",C813&gt;=P$19,1,C813&gt;=P$20,2,C813&lt;P$20,3)</f>
        <v>1</v>
      </c>
      <c r="H813" s="43"/>
      <c r="I813" s="44"/>
      <c r="Y813" s="26"/>
    </row>
    <row r="814" spans="1:25" s="29" customFormat="1" ht="12" customHeight="1">
      <c r="A814" s="96" t="s">
        <v>2192</v>
      </c>
      <c r="B814" s="97" t="s">
        <v>2193</v>
      </c>
      <c r="C814" s="27">
        <v>75.2</v>
      </c>
      <c r="D814" s="27">
        <v>1.201068</v>
      </c>
      <c r="E814" s="43"/>
      <c r="F814" s="29" cm="1">
        <f t="array" ref="F814">_xlfn.IFS(C814=":",":",C814&gt;=P$19,1,C814&gt;=P$20,2,C814&lt;P$20,3)</f>
        <v>1</v>
      </c>
      <c r="H814" s="43"/>
      <c r="I814" s="44"/>
      <c r="Y814" s="26"/>
    </row>
    <row r="815" spans="1:25" s="29" customFormat="1" ht="12" customHeight="1">
      <c r="A815" s="96" t="s">
        <v>2194</v>
      </c>
      <c r="B815" s="97" t="s">
        <v>2195</v>
      </c>
      <c r="C815" s="27">
        <v>85.1</v>
      </c>
      <c r="D815" s="27">
        <v>0.15865000000000001</v>
      </c>
      <c r="E815" s="43"/>
      <c r="F815" s="29" cm="1">
        <f t="array" ref="F815">_xlfn.IFS(C815=":",":",C815&gt;=P$19,1,C815&gt;=P$20,2,C815&lt;P$20,3)</f>
        <v>1</v>
      </c>
      <c r="H815" s="43"/>
      <c r="I815" s="44"/>
      <c r="Y815" s="26"/>
    </row>
    <row r="816" spans="1:25" s="29" customFormat="1" ht="12" customHeight="1">
      <c r="A816" s="96" t="s">
        <v>2196</v>
      </c>
      <c r="B816" s="97" t="s">
        <v>2197</v>
      </c>
      <c r="C816" s="27">
        <v>28.3</v>
      </c>
      <c r="D816" s="27">
        <v>47.220329</v>
      </c>
      <c r="E816" s="43"/>
      <c r="F816" s="29" cm="1">
        <f t="array" ref="F816">_xlfn.IFS(C816=":",":",C816&gt;=P$19,1,C816&gt;=P$20,2,C816&lt;P$20,3)</f>
        <v>3</v>
      </c>
      <c r="H816" s="43"/>
      <c r="I816" s="44"/>
      <c r="Y816" s="26"/>
    </row>
    <row r="817" spans="1:25" s="29" customFormat="1" ht="12" customHeight="1">
      <c r="A817" s="96" t="s">
        <v>2198</v>
      </c>
      <c r="B817" s="97" t="s">
        <v>2199</v>
      </c>
      <c r="C817" s="27">
        <v>88.7</v>
      </c>
      <c r="D817" s="27">
        <v>1.9436850000000001</v>
      </c>
      <c r="E817" s="43"/>
      <c r="F817" s="29" cm="1">
        <f t="array" ref="F817">_xlfn.IFS(C817=":",":",C817&gt;=P$19,1,C817&gt;=P$20,2,C817&lt;P$20,3)</f>
        <v>1</v>
      </c>
      <c r="H817" s="43"/>
      <c r="I817" s="44"/>
      <c r="Y817" s="26"/>
    </row>
    <row r="818" spans="1:25" s="29" customFormat="1" ht="12" customHeight="1">
      <c r="A818" s="96" t="s">
        <v>2200</v>
      </c>
      <c r="B818" s="97" t="s">
        <v>2201</v>
      </c>
      <c r="C818" s="27">
        <v>69.599999999999994</v>
      </c>
      <c r="D818" s="27">
        <v>1.229835</v>
      </c>
      <c r="E818" s="43"/>
      <c r="F818" s="29" cm="1">
        <f t="array" ref="F818">_xlfn.IFS(C818=":",":",C818&gt;=P$19,1,C818&gt;=P$20,2,C818&lt;P$20,3)</f>
        <v>1</v>
      </c>
      <c r="H818" s="43"/>
      <c r="I818" s="44"/>
      <c r="Y818" s="26"/>
    </row>
    <row r="819" spans="1:25" s="29" customFormat="1" ht="12" customHeight="1">
      <c r="A819" s="96" t="s">
        <v>2202</v>
      </c>
      <c r="B819" s="97" t="s">
        <v>3023</v>
      </c>
      <c r="C819" s="27">
        <v>7.5</v>
      </c>
      <c r="D819" s="27">
        <v>17.909478</v>
      </c>
      <c r="E819" s="43"/>
      <c r="F819" s="29" cm="1">
        <f t="array" ref="F819">_xlfn.IFS(C819=":",":",C819&gt;=P$19,1,C819&gt;=P$20,2,C819&lt;P$20,3)</f>
        <v>3</v>
      </c>
      <c r="H819" s="43"/>
      <c r="I819" s="44"/>
      <c r="Y819" s="26"/>
    </row>
    <row r="820" spans="1:25" s="29" customFormat="1" ht="12" customHeight="1">
      <c r="A820" s="96" t="s">
        <v>2204</v>
      </c>
      <c r="B820" s="97" t="s">
        <v>2205</v>
      </c>
      <c r="C820" s="27">
        <v>79.7</v>
      </c>
      <c r="D820" s="27">
        <v>0.20347399999999999</v>
      </c>
      <c r="E820" s="43"/>
      <c r="F820" s="29" cm="1">
        <f t="array" ref="F820">_xlfn.IFS(C820=":",":",C820&gt;=P$19,1,C820&gt;=P$20,2,C820&lt;P$20,3)</f>
        <v>1</v>
      </c>
      <c r="H820" s="43"/>
      <c r="I820" s="44"/>
      <c r="Y820" s="26"/>
    </row>
    <row r="821" spans="1:25" s="29" customFormat="1" ht="12" customHeight="1">
      <c r="A821" s="96" t="s">
        <v>2207</v>
      </c>
      <c r="B821" s="97" t="s">
        <v>2208</v>
      </c>
      <c r="C821" s="27">
        <v>77.8</v>
      </c>
      <c r="D821" s="27">
        <v>0.19173899999999999</v>
      </c>
      <c r="E821" s="43"/>
      <c r="F821" s="29" cm="1">
        <f t="array" ref="F821">_xlfn.IFS(C821=":",":",C821&gt;=P$19,1,C821&gt;=P$20,2,C821&lt;P$20,3)</f>
        <v>1</v>
      </c>
      <c r="H821" s="43"/>
      <c r="I821" s="44"/>
      <c r="Y821" s="26"/>
    </row>
    <row r="822" spans="1:25" s="29" customFormat="1" ht="12" customHeight="1">
      <c r="A822" s="96" t="s">
        <v>3078</v>
      </c>
      <c r="B822" s="97" t="s">
        <v>2897</v>
      </c>
      <c r="C822" s="27">
        <v>24.7</v>
      </c>
      <c r="D822" s="27">
        <v>3.2235360000000002</v>
      </c>
      <c r="E822" s="43"/>
      <c r="F822" s="29" cm="1">
        <f t="array" ref="F822">_xlfn.IFS(C822=":",":",C822&gt;=P$19,1,C822&gt;=P$20,2,C822&lt;P$20,3)</f>
        <v>3</v>
      </c>
      <c r="H822" s="43"/>
      <c r="I822" s="44"/>
      <c r="Y822" s="26"/>
    </row>
    <row r="823" spans="1:25" s="29" customFormat="1" ht="12" customHeight="1">
      <c r="A823" s="96" t="s">
        <v>3079</v>
      </c>
      <c r="B823" s="97" t="s">
        <v>2203</v>
      </c>
      <c r="C823" s="27">
        <v>65.7</v>
      </c>
      <c r="D823" s="27">
        <v>0.67226699999999995</v>
      </c>
      <c r="E823" s="43"/>
      <c r="F823" s="29" cm="1">
        <f t="array" ref="F823">_xlfn.IFS(C823=":",":",C823&gt;=P$19,1,C823&gt;=P$20,2,C823&lt;P$20,3)</f>
        <v>1</v>
      </c>
      <c r="H823" s="43"/>
      <c r="I823" s="44"/>
      <c r="Y823" s="26"/>
    </row>
    <row r="824" spans="1:25" s="29" customFormat="1" ht="12" customHeight="1">
      <c r="A824" s="96" t="s">
        <v>3080</v>
      </c>
      <c r="B824" s="97" t="s">
        <v>2206</v>
      </c>
      <c r="C824" s="27">
        <v>75.099999999999994</v>
      </c>
      <c r="D824" s="27">
        <v>0.40119700000000003</v>
      </c>
      <c r="E824" s="43"/>
      <c r="F824" s="29" cm="1">
        <f t="array" ref="F824">_xlfn.IFS(C824=":",":",C824&gt;=P$19,1,C824&gt;=P$20,2,C824&lt;P$20,3)</f>
        <v>1</v>
      </c>
      <c r="H824" s="43"/>
      <c r="I824" s="44"/>
      <c r="Y824" s="26"/>
    </row>
    <row r="825" spans="1:25" ht="12" customHeight="1">
      <c r="A825" s="96" t="s">
        <v>2209</v>
      </c>
      <c r="B825" s="97" t="s">
        <v>2210</v>
      </c>
      <c r="C825" s="27">
        <v>38.5</v>
      </c>
      <c r="D825" s="27">
        <v>2.616927</v>
      </c>
      <c r="E825" s="43"/>
      <c r="F825" s="29" cm="1">
        <f t="array" ref="F825">_xlfn.IFS(C825=":",":",C825&gt;=P$19,1,C825&gt;=P$20,2,C825&lt;P$20,3)</f>
        <v>2</v>
      </c>
      <c r="H825" s="43"/>
      <c r="Y825" s="26"/>
    </row>
    <row r="826" spans="1:25" ht="12" customHeight="1">
      <c r="A826" s="96" t="s">
        <v>2211</v>
      </c>
      <c r="B826" s="97" t="s">
        <v>2212</v>
      </c>
      <c r="C826" s="27">
        <v>76.099999999999994</v>
      </c>
      <c r="D826" s="27">
        <v>1.1931750000000001</v>
      </c>
      <c r="E826" s="43"/>
      <c r="F826" s="29" cm="1">
        <f t="array" ref="F826">_xlfn.IFS(C826=":",":",C826&gt;=P$19,1,C826&gt;=P$20,2,C826&lt;P$20,3)</f>
        <v>1</v>
      </c>
      <c r="H826" s="43"/>
      <c r="Y826" s="26"/>
    </row>
    <row r="827" spans="1:25" ht="12" customHeight="1">
      <c r="A827" s="96" t="s">
        <v>2213</v>
      </c>
      <c r="B827" s="97" t="s">
        <v>2214</v>
      </c>
      <c r="C827" s="27">
        <v>64.3</v>
      </c>
      <c r="D827" s="27">
        <v>1.485242</v>
      </c>
      <c r="E827" s="43"/>
      <c r="F827" s="29" cm="1">
        <f t="array" ref="F827">_xlfn.IFS(C827=":",":",C827&gt;=P$19,1,C827&gt;=P$20,2,C827&lt;P$20,3)</f>
        <v>2</v>
      </c>
      <c r="H827" s="43"/>
      <c r="Y827" s="26"/>
    </row>
    <row r="828" spans="1:25" ht="12" customHeight="1">
      <c r="A828" s="96" t="s">
        <v>2215</v>
      </c>
      <c r="B828" s="97" t="s">
        <v>2898</v>
      </c>
      <c r="C828" s="27">
        <v>82.2</v>
      </c>
      <c r="D828" s="27">
        <v>2.2436219999999998</v>
      </c>
      <c r="E828" s="43"/>
      <c r="F828" s="29" cm="1">
        <f t="array" ref="F828">_xlfn.IFS(C828=":",":",C828&gt;=P$19,1,C828&gt;=P$20,2,C828&lt;P$20,3)</f>
        <v>1</v>
      </c>
      <c r="H828" s="43"/>
      <c r="Y828" s="26"/>
    </row>
    <row r="829" spans="1:25" ht="12" customHeight="1">
      <c r="A829" s="100" t="s">
        <v>2216</v>
      </c>
      <c r="B829" s="99" t="s">
        <v>2899</v>
      </c>
      <c r="C829" s="27">
        <v>75.900000000000006</v>
      </c>
      <c r="D829" s="27">
        <v>9.3618999999999994E-2</v>
      </c>
      <c r="E829" s="43"/>
      <c r="F829" s="29" cm="1">
        <f t="array" ref="F829">_xlfn.IFS(C829=":",":",C829&gt;=P$19,1,C829&gt;=P$20,2,C829&lt;P$20,3)</f>
        <v>1</v>
      </c>
      <c r="H829" s="43"/>
      <c r="Y829" s="26"/>
    </row>
    <row r="830" spans="1:25" ht="12" customHeight="1">
      <c r="A830" s="96" t="s">
        <v>2217</v>
      </c>
      <c r="B830" s="97" t="s">
        <v>2900</v>
      </c>
      <c r="C830" s="27">
        <v>68.3</v>
      </c>
      <c r="D830" s="27">
        <v>0.164767</v>
      </c>
      <c r="E830" s="43"/>
      <c r="F830" s="29" cm="1">
        <f t="array" ref="F830">_xlfn.IFS(C830=":",":",C830&gt;=P$19,1,C830&gt;=P$20,2,C830&lt;P$20,3)</f>
        <v>1</v>
      </c>
      <c r="H830" s="43"/>
      <c r="Y830" s="26"/>
    </row>
    <row r="831" spans="1:25" ht="12" customHeight="1">
      <c r="A831" s="96" t="s">
        <v>2218</v>
      </c>
      <c r="B831" s="97" t="s">
        <v>2901</v>
      </c>
      <c r="C831" s="27">
        <v>54</v>
      </c>
      <c r="D831" s="27">
        <v>0.29625200000000002</v>
      </c>
      <c r="E831" s="43"/>
      <c r="F831" s="29" cm="1">
        <f t="array" ref="F831">_xlfn.IFS(C831=":",":",C831&gt;=P$19,1,C831&gt;=P$20,2,C831&lt;P$20,3)</f>
        <v>2</v>
      </c>
      <c r="H831" s="43"/>
      <c r="Y831" s="26"/>
    </row>
    <row r="832" spans="1:25" ht="12" customHeight="1">
      <c r="A832" s="96" t="s">
        <v>2219</v>
      </c>
      <c r="B832" s="97" t="s">
        <v>2902</v>
      </c>
      <c r="C832" s="27">
        <v>83.5</v>
      </c>
      <c r="D832" s="27">
        <v>4.1714000000000001E-2</v>
      </c>
      <c r="E832" s="43"/>
      <c r="F832" s="29" cm="1">
        <f t="array" ref="F832">_xlfn.IFS(C832=":",":",C832&gt;=P$19,1,C832&gt;=P$20,2,C832&lt;P$20,3)</f>
        <v>1</v>
      </c>
      <c r="H832" s="43"/>
      <c r="Y832" s="26"/>
    </row>
    <row r="833" spans="1:25" ht="12" customHeight="1">
      <c r="A833" s="96" t="s">
        <v>2220</v>
      </c>
      <c r="B833" s="97" t="s">
        <v>2903</v>
      </c>
      <c r="C833" s="27">
        <v>80.7</v>
      </c>
      <c r="D833" s="27">
        <v>0.14027700000000001</v>
      </c>
      <c r="E833" s="43"/>
      <c r="F833" s="29" cm="1">
        <f t="array" ref="F833">_xlfn.IFS(C833=":",":",C833&gt;=P$19,1,C833&gt;=P$20,2,C833&lt;P$20,3)</f>
        <v>1</v>
      </c>
      <c r="H833" s="43"/>
      <c r="I833" s="5"/>
      <c r="Y833" s="26"/>
    </row>
    <row r="834" spans="1:25" ht="12" customHeight="1">
      <c r="A834" s="96" t="s">
        <v>2221</v>
      </c>
      <c r="B834" s="97" t="s">
        <v>2222</v>
      </c>
      <c r="C834" s="27">
        <v>90.6</v>
      </c>
      <c r="D834" s="27">
        <v>0.36452899999999999</v>
      </c>
      <c r="E834" s="43"/>
      <c r="F834" s="29" cm="1">
        <f t="array" ref="F834">_xlfn.IFS(C834=":",":",C834&gt;=P$19,1,C834&gt;=P$20,2,C834&lt;P$20,3)</f>
        <v>1</v>
      </c>
      <c r="H834" s="43"/>
      <c r="I834" s="5"/>
      <c r="Y834" s="26"/>
    </row>
    <row r="835" spans="1:25" ht="12" customHeight="1">
      <c r="A835" s="96" t="s">
        <v>2223</v>
      </c>
      <c r="B835" s="97" t="s">
        <v>309</v>
      </c>
      <c r="C835" s="27">
        <v>12.5</v>
      </c>
      <c r="D835" s="27">
        <v>3.684469</v>
      </c>
      <c r="E835" s="43"/>
      <c r="F835" s="29" cm="1">
        <f t="array" ref="F835">_xlfn.IFS(C835=":",":",C835&gt;=P$19,1,C835&gt;=P$20,2,C835&lt;P$20,3)</f>
        <v>3</v>
      </c>
      <c r="H835" s="43"/>
      <c r="I835" s="5"/>
      <c r="Y835" s="26"/>
    </row>
    <row r="836" spans="1:25" ht="12" customHeight="1">
      <c r="A836" s="96" t="s">
        <v>2224</v>
      </c>
      <c r="B836" s="97" t="s">
        <v>26</v>
      </c>
      <c r="C836" s="27">
        <v>16.5</v>
      </c>
      <c r="D836" s="27">
        <v>10.922488</v>
      </c>
      <c r="E836" s="43"/>
      <c r="F836" s="29" cm="1">
        <f t="array" ref="F836">_xlfn.IFS(C836=":",":",C836&gt;=P$19,1,C836&gt;=P$20,2,C836&lt;P$20,3)</f>
        <v>3</v>
      </c>
      <c r="H836" s="43"/>
      <c r="I836" s="5"/>
      <c r="Y836" s="26"/>
    </row>
    <row r="837" spans="1:25" ht="12" customHeight="1">
      <c r="A837" s="96" t="s">
        <v>2225</v>
      </c>
      <c r="B837" s="97" t="s">
        <v>313</v>
      </c>
      <c r="C837" s="27">
        <v>68.599999999999994</v>
      </c>
      <c r="D837" s="27">
        <v>1.408733</v>
      </c>
      <c r="E837" s="43"/>
      <c r="F837" s="29" cm="1">
        <f t="array" ref="F837">_xlfn.IFS(C837=":",":",C837&gt;=P$19,1,C837&gt;=P$20,2,C837&lt;P$20,3)</f>
        <v>1</v>
      </c>
      <c r="H837" s="43"/>
      <c r="I837" s="5"/>
      <c r="Y837" s="26"/>
    </row>
    <row r="838" spans="1:25" ht="12" customHeight="1">
      <c r="A838" s="96" t="s">
        <v>2226</v>
      </c>
      <c r="B838" s="97" t="s">
        <v>2227</v>
      </c>
      <c r="C838" s="27">
        <v>70.099999999999994</v>
      </c>
      <c r="D838" s="27">
        <v>0.69768699999999995</v>
      </c>
      <c r="E838" s="43"/>
      <c r="F838" s="29" cm="1">
        <f t="array" ref="F838">_xlfn.IFS(C838=":",":",C838&gt;=P$19,1,C838&gt;=P$20,2,C838&lt;P$20,3)</f>
        <v>1</v>
      </c>
      <c r="H838" s="43"/>
      <c r="I838" s="5"/>
      <c r="Y838" s="26"/>
    </row>
    <row r="839" spans="1:25" ht="12" customHeight="1">
      <c r="A839" s="96" t="s">
        <v>2228</v>
      </c>
      <c r="B839" s="97" t="s">
        <v>2229</v>
      </c>
      <c r="C839" s="27">
        <v>78.3</v>
      </c>
      <c r="D839" s="27">
        <v>0.59423099999999995</v>
      </c>
      <c r="E839" s="43"/>
      <c r="F839" s="29" cm="1">
        <f t="array" ref="F839">_xlfn.IFS(C839=":",":",C839&gt;=P$19,1,C839&gt;=P$20,2,C839&lt;P$20,3)</f>
        <v>1</v>
      </c>
      <c r="H839" s="43"/>
      <c r="I839" s="5"/>
      <c r="Y839" s="26"/>
    </row>
    <row r="840" spans="1:25" ht="12" customHeight="1">
      <c r="A840" s="96" t="s">
        <v>2230</v>
      </c>
      <c r="B840" s="97" t="s">
        <v>2231</v>
      </c>
      <c r="C840" s="27">
        <v>77.3</v>
      </c>
      <c r="D840" s="27">
        <v>2.680574</v>
      </c>
      <c r="E840" s="43"/>
      <c r="F840" s="29" cm="1">
        <f t="array" ref="F840">_xlfn.IFS(C840=":",":",C840&gt;=P$19,1,C840&gt;=P$20,2,C840&lt;P$20,3)</f>
        <v>1</v>
      </c>
      <c r="H840" s="43"/>
      <c r="I840" s="5"/>
      <c r="Y840" s="26"/>
    </row>
    <row r="841" spans="1:25" ht="12" customHeight="1">
      <c r="A841" s="96" t="s">
        <v>2232</v>
      </c>
      <c r="B841" s="97" t="s">
        <v>2904</v>
      </c>
      <c r="C841" s="27">
        <v>52.6</v>
      </c>
      <c r="D841" s="27">
        <v>1.3074790000000001</v>
      </c>
      <c r="E841" s="43"/>
      <c r="F841" s="29" cm="1">
        <f t="array" ref="F841">_xlfn.IFS(C841=":",":",C841&gt;=P$19,1,C841&gt;=P$20,2,C841&lt;P$20,3)</f>
        <v>2</v>
      </c>
      <c r="H841" s="43"/>
      <c r="I841" s="5"/>
      <c r="Y841" s="26"/>
    </row>
    <row r="842" spans="1:25" ht="12" customHeight="1">
      <c r="A842" s="100" t="s">
        <v>2233</v>
      </c>
      <c r="B842" s="99" t="s">
        <v>2234</v>
      </c>
      <c r="C842" s="27">
        <v>52.3</v>
      </c>
      <c r="D842" s="27">
        <v>1.55145</v>
      </c>
      <c r="E842" s="43"/>
      <c r="F842" s="29" cm="1">
        <f t="array" ref="F842">_xlfn.IFS(C842=":",":",C842&gt;=P$19,1,C842&gt;=P$20,2,C842&lt;P$20,3)</f>
        <v>2</v>
      </c>
      <c r="H842" s="43"/>
      <c r="I842" s="5"/>
      <c r="Y842" s="26"/>
    </row>
    <row r="843" spans="1:25" ht="12" customHeight="1">
      <c r="A843" s="96" t="s">
        <v>2235</v>
      </c>
      <c r="B843" s="97" t="s">
        <v>2236</v>
      </c>
      <c r="C843" s="27">
        <v>67.599999999999994</v>
      </c>
      <c r="D843" s="27">
        <v>2.6695319999999998</v>
      </c>
      <c r="E843" s="43"/>
      <c r="F843" s="29" cm="1">
        <f t="array" ref="F843">_xlfn.IFS(C843=":",":",C843&gt;=P$19,1,C843&gt;=P$20,2,C843&lt;P$20,3)</f>
        <v>1</v>
      </c>
      <c r="H843" s="43"/>
      <c r="I843" s="5"/>
      <c r="Y843" s="26"/>
    </row>
    <row r="844" spans="1:25" ht="12" customHeight="1">
      <c r="A844" s="96" t="s">
        <v>2237</v>
      </c>
      <c r="B844" s="97" t="s">
        <v>2238</v>
      </c>
      <c r="C844" s="27">
        <v>83</v>
      </c>
      <c r="D844" s="27">
        <v>0.65633900000000001</v>
      </c>
      <c r="E844" s="43"/>
      <c r="F844" s="29" cm="1">
        <f t="array" ref="F844">_xlfn.IFS(C844=":",":",C844&gt;=P$19,1,C844&gt;=P$20,2,C844&lt;P$20,3)</f>
        <v>1</v>
      </c>
      <c r="H844" s="43"/>
      <c r="I844" s="5"/>
      <c r="Y844" s="26"/>
    </row>
    <row r="845" spans="1:25" ht="12" customHeight="1">
      <c r="A845" s="96" t="s">
        <v>2239</v>
      </c>
      <c r="B845" s="97" t="s">
        <v>2240</v>
      </c>
      <c r="C845" s="27">
        <v>78.400000000000006</v>
      </c>
      <c r="D845" s="27">
        <v>1.9401900000000001</v>
      </c>
      <c r="E845" s="43"/>
      <c r="F845" s="29" cm="1">
        <f t="array" ref="F845">_xlfn.IFS(C845=":",":",C845&gt;=P$19,1,C845&gt;=P$20,2,C845&lt;P$20,3)</f>
        <v>1</v>
      </c>
      <c r="H845" s="43"/>
      <c r="I845" s="5"/>
      <c r="Y845" s="26"/>
    </row>
    <row r="846" spans="1:25" ht="12" customHeight="1">
      <c r="A846" s="96" t="s">
        <v>2241</v>
      </c>
      <c r="B846" s="97" t="s">
        <v>2242</v>
      </c>
      <c r="C846" s="27">
        <v>83.6</v>
      </c>
      <c r="D846" s="27">
        <v>0.165154</v>
      </c>
      <c r="E846" s="43"/>
      <c r="F846" s="29" cm="1">
        <f t="array" ref="F846">_xlfn.IFS(C846=":",":",C846&gt;=P$19,1,C846&gt;=P$20,2,C846&lt;P$20,3)</f>
        <v>1</v>
      </c>
      <c r="H846" s="43"/>
      <c r="I846" s="5"/>
      <c r="Y846" s="26"/>
    </row>
    <row r="847" spans="1:25" ht="12" customHeight="1">
      <c r="A847" s="96" t="s">
        <v>2243</v>
      </c>
      <c r="B847" s="97" t="s">
        <v>2244</v>
      </c>
      <c r="C847" s="27">
        <v>75.599999999999994</v>
      </c>
      <c r="D847" s="27">
        <v>1.126841</v>
      </c>
      <c r="E847" s="43"/>
      <c r="F847" s="29" cm="1">
        <f t="array" ref="F847">_xlfn.IFS(C847=":",":",C847&gt;=P$19,1,C847&gt;=P$20,2,C847&lt;P$20,3)</f>
        <v>1</v>
      </c>
      <c r="H847" s="43"/>
      <c r="I847" s="5"/>
      <c r="Y847" s="26"/>
    </row>
    <row r="848" spans="1:25" ht="12" customHeight="1">
      <c r="A848" s="96" t="s">
        <v>2245</v>
      </c>
      <c r="B848" s="97" t="s">
        <v>2246</v>
      </c>
      <c r="C848" s="27">
        <v>88.4</v>
      </c>
      <c r="D848" s="27">
        <v>1.3368990000000001</v>
      </c>
      <c r="E848" s="43"/>
      <c r="F848" s="29" cm="1">
        <f t="array" ref="F848">_xlfn.IFS(C848=":",":",C848&gt;=P$19,1,C848&gt;=P$20,2,C848&lt;P$20,3)</f>
        <v>1</v>
      </c>
      <c r="H848" s="43"/>
      <c r="I848" s="5"/>
      <c r="Y848" s="26"/>
    </row>
    <row r="849" spans="1:25" ht="12" customHeight="1">
      <c r="A849" s="96" t="s">
        <v>2247</v>
      </c>
      <c r="B849" s="97" t="s">
        <v>2248</v>
      </c>
      <c r="C849" s="27">
        <v>88.8</v>
      </c>
      <c r="D849" s="27">
        <v>0.14899699999999999</v>
      </c>
      <c r="E849" s="43"/>
      <c r="F849" s="29" cm="1">
        <f t="array" ref="F849">_xlfn.IFS(C849=":",":",C849&gt;=P$19,1,C849&gt;=P$20,2,C849&lt;P$20,3)</f>
        <v>1</v>
      </c>
      <c r="H849" s="43"/>
      <c r="I849" s="5"/>
      <c r="Y849" s="26"/>
    </row>
    <row r="850" spans="1:25" ht="12" customHeight="1">
      <c r="A850" s="96" t="s">
        <v>2249</v>
      </c>
      <c r="B850" s="97" t="s">
        <v>2250</v>
      </c>
      <c r="C850" s="27">
        <v>58.5</v>
      </c>
      <c r="D850" s="27">
        <v>1.478885</v>
      </c>
      <c r="E850" s="43"/>
      <c r="F850" s="29" cm="1">
        <f t="array" ref="F850">_xlfn.IFS(C850=":",":",C850&gt;=P$19,1,C850&gt;=P$20,2,C850&lt;P$20,3)</f>
        <v>2</v>
      </c>
      <c r="H850" s="43"/>
      <c r="I850" s="5"/>
      <c r="Y850" s="26"/>
    </row>
    <row r="851" spans="1:25" ht="12" customHeight="1">
      <c r="A851" s="96" t="s">
        <v>2251</v>
      </c>
      <c r="B851" s="97" t="s">
        <v>2252</v>
      </c>
      <c r="C851" s="27">
        <v>81.2</v>
      </c>
      <c r="D851" s="27">
        <v>0.54320400000000002</v>
      </c>
      <c r="E851" s="43"/>
      <c r="F851" s="29" cm="1">
        <f t="array" ref="F851">_xlfn.IFS(C851=":",":",C851&gt;=P$19,1,C851&gt;=P$20,2,C851&lt;P$20,3)</f>
        <v>1</v>
      </c>
      <c r="H851" s="43"/>
      <c r="I851" s="5"/>
      <c r="Y851" s="26"/>
    </row>
    <row r="852" spans="1:25" ht="12" customHeight="1">
      <c r="A852" s="96" t="s">
        <v>2253</v>
      </c>
      <c r="B852" s="101" t="s">
        <v>2254</v>
      </c>
      <c r="C852" s="27">
        <v>72.5</v>
      </c>
      <c r="D852" s="27">
        <v>0.44830399999999998</v>
      </c>
      <c r="E852" s="43"/>
      <c r="F852" s="29" cm="1">
        <f t="array" ref="F852">_xlfn.IFS(C852=":",":",C852&gt;=P$19,1,C852&gt;=P$20,2,C852&lt;P$20,3)</f>
        <v>1</v>
      </c>
      <c r="H852" s="43"/>
      <c r="I852" s="5"/>
      <c r="Y852" s="26"/>
    </row>
    <row r="853" spans="1:25" ht="12" customHeight="1">
      <c r="A853" s="96" t="s">
        <v>2255</v>
      </c>
      <c r="B853" s="97" t="s">
        <v>2256</v>
      </c>
      <c r="C853" s="27">
        <v>67.400000000000006</v>
      </c>
      <c r="D853" s="27">
        <v>0.64062699999999995</v>
      </c>
      <c r="E853" s="43"/>
      <c r="F853" s="29" cm="1">
        <f t="array" ref="F853">_xlfn.IFS(C853=":",":",C853&gt;=P$19,1,C853&gt;=P$20,2,C853&lt;P$20,3)</f>
        <v>1</v>
      </c>
      <c r="H853" s="43"/>
      <c r="I853" s="5"/>
      <c r="Y853" s="26"/>
    </row>
    <row r="854" spans="1:25" ht="12" customHeight="1">
      <c r="A854" s="96" t="s">
        <v>2257</v>
      </c>
      <c r="B854" s="97" t="s">
        <v>2258</v>
      </c>
      <c r="C854" s="27">
        <v>82.9</v>
      </c>
      <c r="D854" s="27">
        <v>0.71423999999999999</v>
      </c>
      <c r="E854" s="43"/>
      <c r="F854" s="29" cm="1">
        <f t="array" ref="F854">_xlfn.IFS(C854=":",":",C854&gt;=P$19,1,C854&gt;=P$20,2,C854&lt;P$20,3)</f>
        <v>1</v>
      </c>
      <c r="H854" s="43"/>
      <c r="I854" s="5"/>
      <c r="Y854" s="26"/>
    </row>
    <row r="855" spans="1:25" ht="12" customHeight="1">
      <c r="A855" s="100" t="s">
        <v>2259</v>
      </c>
      <c r="B855" s="99" t="s">
        <v>3024</v>
      </c>
      <c r="C855" s="27">
        <v>59.3</v>
      </c>
      <c r="D855" s="27">
        <v>0.77095599999999997</v>
      </c>
      <c r="E855" s="43"/>
      <c r="F855" s="29" cm="1">
        <f t="array" ref="F855">_xlfn.IFS(C855=":",":",C855&gt;=P$19,1,C855&gt;=P$20,2,C855&lt;P$20,3)</f>
        <v>2</v>
      </c>
      <c r="H855" s="43"/>
      <c r="I855" s="5"/>
      <c r="Y855" s="26"/>
    </row>
    <row r="856" spans="1:25" ht="12" customHeight="1">
      <c r="A856" s="100" t="s">
        <v>2260</v>
      </c>
      <c r="B856" s="99" t="s">
        <v>326</v>
      </c>
      <c r="C856" s="27">
        <v>5.4</v>
      </c>
      <c r="D856" s="27">
        <v>10.982334</v>
      </c>
      <c r="E856" s="43"/>
      <c r="F856" s="29" cm="1">
        <f t="array" ref="F856">_xlfn.IFS(C856=":",":",C856&gt;=P$19,1,C856&gt;=P$20,2,C856&lt;P$20,3)</f>
        <v>3</v>
      </c>
      <c r="H856" s="43"/>
      <c r="I856" s="5"/>
      <c r="Y856" s="26"/>
    </row>
    <row r="857" spans="1:25" ht="12" customHeight="1">
      <c r="A857" s="100" t="s">
        <v>2261</v>
      </c>
      <c r="B857" s="99" t="s">
        <v>2905</v>
      </c>
      <c r="C857" s="27">
        <v>37.6</v>
      </c>
      <c r="D857" s="27">
        <v>0.33784500000000001</v>
      </c>
      <c r="E857" s="43"/>
      <c r="F857" s="29" cm="1">
        <f t="array" ref="F857">_xlfn.IFS(C857=":",":",C857&gt;=P$19,1,C857&gt;=P$20,2,C857&lt;P$20,3)</f>
        <v>2</v>
      </c>
      <c r="H857" s="43"/>
      <c r="I857" s="5"/>
      <c r="Y857" s="26"/>
    </row>
    <row r="858" spans="1:25" ht="12" customHeight="1">
      <c r="A858" s="96" t="s">
        <v>2263</v>
      </c>
      <c r="B858" s="97" t="s">
        <v>2264</v>
      </c>
      <c r="C858" s="27">
        <v>71.099999999999994</v>
      </c>
      <c r="D858" s="27">
        <v>0.123001</v>
      </c>
      <c r="E858" s="43"/>
      <c r="F858" s="29" cm="1">
        <f t="array" ref="F858">_xlfn.IFS(C858=":",":",C858&gt;=P$19,1,C858&gt;=P$20,2,C858&lt;P$20,3)</f>
        <v>1</v>
      </c>
      <c r="H858" s="43"/>
      <c r="I858" s="5"/>
      <c r="Y858" s="26"/>
    </row>
    <row r="859" spans="1:25" ht="12" customHeight="1">
      <c r="A859" s="96" t="s">
        <v>3081</v>
      </c>
      <c r="B859" s="97" t="s">
        <v>2262</v>
      </c>
      <c r="C859" s="27">
        <v>67.7</v>
      </c>
      <c r="D859" s="27">
        <v>0.56640599999999997</v>
      </c>
      <c r="E859" s="59"/>
      <c r="F859" s="29" cm="1">
        <f t="array" ref="F859">_xlfn.IFS(C859=":",":",C859&gt;=P$19,1,C859&gt;=P$20,2,C859&lt;P$20,3)</f>
        <v>1</v>
      </c>
      <c r="H859" s="43"/>
      <c r="I859" s="5"/>
      <c r="Y859" s="26"/>
    </row>
    <row r="860" spans="1:25" ht="12" customHeight="1">
      <c r="A860" s="96" t="s">
        <v>3082</v>
      </c>
      <c r="B860" s="97" t="s">
        <v>2265</v>
      </c>
      <c r="C860" s="27">
        <v>65.099999999999994</v>
      </c>
      <c r="D860" s="27">
        <v>1.321259</v>
      </c>
      <c r="E860" s="59"/>
      <c r="F860" s="29" cm="1">
        <f t="array" ref="F860">_xlfn.IFS(C860=":",":",C860&gt;=P$19,1,C860&gt;=P$20,2,C860&lt;P$20,3)</f>
        <v>1</v>
      </c>
      <c r="H860" s="43"/>
      <c r="I860" s="5"/>
      <c r="Y860" s="26"/>
    </row>
    <row r="861" spans="1:25" ht="12" customHeight="1">
      <c r="A861" s="96" t="s">
        <v>2268</v>
      </c>
      <c r="B861" s="97" t="s">
        <v>2269</v>
      </c>
      <c r="C861" s="27">
        <v>84.7</v>
      </c>
      <c r="D861" s="27">
        <v>0.93252999999999997</v>
      </c>
      <c r="E861" s="59"/>
      <c r="F861" s="29" cm="1">
        <f t="array" ref="F861">_xlfn.IFS(C861=":",":",C861&gt;=P$19,1,C861&gt;=P$20,2,C861&lt;P$20,3)</f>
        <v>1</v>
      </c>
      <c r="H861" s="43"/>
      <c r="I861" s="5"/>
      <c r="Y861" s="26"/>
    </row>
    <row r="862" spans="1:25" ht="12" customHeight="1">
      <c r="A862" s="96" t="s">
        <v>3083</v>
      </c>
      <c r="B862" s="97" t="s">
        <v>2266</v>
      </c>
      <c r="C862" s="27">
        <v>76.900000000000006</v>
      </c>
      <c r="D862" s="27">
        <v>4.0950709999999999</v>
      </c>
      <c r="E862" s="59"/>
      <c r="F862" s="29" cm="1">
        <f t="array" ref="F862">_xlfn.IFS(C862=":",":",C862&gt;=P$19,1,C862&gt;=P$20,2,C862&lt;P$20,3)</f>
        <v>1</v>
      </c>
      <c r="H862" s="43"/>
      <c r="I862" s="5"/>
      <c r="Y862" s="26"/>
    </row>
    <row r="863" spans="1:25" ht="12" customHeight="1">
      <c r="A863" s="96" t="s">
        <v>3084</v>
      </c>
      <c r="B863" s="97" t="s">
        <v>2267</v>
      </c>
      <c r="C863" s="27">
        <v>68.400000000000006</v>
      </c>
      <c r="D863" s="27">
        <v>1.99515</v>
      </c>
      <c r="E863" s="59"/>
      <c r="F863" s="29" cm="1">
        <f t="array" ref="F863">_xlfn.IFS(C863=":",":",C863&gt;=P$19,1,C863&gt;=P$20,2,C863&lt;P$20,3)</f>
        <v>1</v>
      </c>
      <c r="H863" s="43"/>
      <c r="I863" s="5"/>
      <c r="Y863" s="26"/>
    </row>
    <row r="864" spans="1:25" ht="12" customHeight="1">
      <c r="A864" s="96" t="s">
        <v>2270</v>
      </c>
      <c r="B864" s="97" t="s">
        <v>2271</v>
      </c>
      <c r="C864" s="27">
        <v>83.2</v>
      </c>
      <c r="D864" s="27">
        <v>3.4547699999999999</v>
      </c>
      <c r="E864" s="59"/>
      <c r="F864" s="29" cm="1">
        <f t="array" ref="F864">_xlfn.IFS(C864=":",":",C864&gt;=P$19,1,C864&gt;=P$20,2,C864&lt;P$20,3)</f>
        <v>1</v>
      </c>
      <c r="H864" s="43"/>
      <c r="I864" s="5"/>
      <c r="Y864" s="26"/>
    </row>
    <row r="865" spans="1:25" ht="12" customHeight="1">
      <c r="A865" s="96" t="s">
        <v>2272</v>
      </c>
      <c r="B865" s="97" t="s">
        <v>2273</v>
      </c>
      <c r="C865" s="27">
        <v>75.400000000000006</v>
      </c>
      <c r="D865" s="27">
        <v>3.1380870000000001</v>
      </c>
      <c r="E865" s="59"/>
      <c r="F865" s="29" cm="1">
        <f t="array" ref="F865">_xlfn.IFS(C865=":",":",C865&gt;=P$19,1,C865&gt;=P$20,2,C865&lt;P$20,3)</f>
        <v>1</v>
      </c>
      <c r="H865" s="43"/>
      <c r="Y865" s="26"/>
    </row>
    <row r="866" spans="1:25" ht="12" customHeight="1">
      <c r="A866" s="96" t="s">
        <v>2274</v>
      </c>
      <c r="B866" s="97" t="s">
        <v>2275</v>
      </c>
      <c r="C866" s="27">
        <v>90.9</v>
      </c>
      <c r="D866" s="27">
        <v>1.088306</v>
      </c>
      <c r="E866" s="59"/>
      <c r="F866" s="29" cm="1">
        <f t="array" ref="F866">_xlfn.IFS(C866=":",":",C866&gt;=P$19,1,C866&gt;=P$20,2,C866&lt;P$20,3)</f>
        <v>1</v>
      </c>
      <c r="H866" s="43"/>
      <c r="Y866" s="26"/>
    </row>
    <row r="867" spans="1:25" ht="12" customHeight="1">
      <c r="A867" s="96" t="s">
        <v>2276</v>
      </c>
      <c r="B867" s="97" t="s">
        <v>2277</v>
      </c>
      <c r="C867" s="27">
        <v>79.3</v>
      </c>
      <c r="D867" s="27">
        <v>3.9521679999999999</v>
      </c>
      <c r="E867" s="59"/>
      <c r="F867" s="29" cm="1">
        <f t="array" ref="F867">_xlfn.IFS(C867=":",":",C867&gt;=P$19,1,C867&gt;=P$20,2,C867&lt;P$20,3)</f>
        <v>1</v>
      </c>
      <c r="H867" s="43"/>
      <c r="Y867" s="26"/>
    </row>
    <row r="868" spans="1:25" ht="12" customHeight="1">
      <c r="A868" s="96" t="s">
        <v>2278</v>
      </c>
      <c r="B868" s="97" t="s">
        <v>2279</v>
      </c>
      <c r="C868" s="27">
        <v>79.900000000000006</v>
      </c>
      <c r="D868" s="27">
        <v>0.45089000000000001</v>
      </c>
      <c r="E868" s="59"/>
      <c r="F868" s="29" cm="1">
        <f t="array" ref="F868">_xlfn.IFS(C868=":",":",C868&gt;=P$19,1,C868&gt;=P$20,2,C868&lt;P$20,3)</f>
        <v>1</v>
      </c>
      <c r="H868" s="43"/>
      <c r="Y868" s="26"/>
    </row>
    <row r="869" spans="1:25" ht="12" customHeight="1">
      <c r="A869" s="96" t="s">
        <v>2280</v>
      </c>
      <c r="B869" s="97" t="s">
        <v>2281</v>
      </c>
      <c r="C869" s="27">
        <v>85</v>
      </c>
      <c r="D869" s="27">
        <v>3.9842219999999999</v>
      </c>
      <c r="E869" s="59"/>
      <c r="F869" s="29" cm="1">
        <f t="array" ref="F869">_xlfn.IFS(C869=":",":",C869&gt;=P$19,1,C869&gt;=P$20,2,C869&lt;P$20,3)</f>
        <v>1</v>
      </c>
      <c r="H869" s="43"/>
      <c r="Y869" s="26"/>
    </row>
    <row r="870" spans="1:25" ht="12" customHeight="1">
      <c r="A870" s="96" t="s">
        <v>2282</v>
      </c>
      <c r="B870" s="97" t="s">
        <v>2283</v>
      </c>
      <c r="C870" s="27">
        <v>85.6</v>
      </c>
      <c r="D870" s="27">
        <v>7.8309899999999999</v>
      </c>
      <c r="E870" s="59"/>
      <c r="F870" s="29" cm="1">
        <f t="array" ref="F870">_xlfn.IFS(C870=":",":",C870&gt;=P$19,1,C870&gt;=P$20,2,C870&lt;P$20,3)</f>
        <v>1</v>
      </c>
      <c r="H870" s="43"/>
      <c r="Y870" s="26"/>
    </row>
    <row r="871" spans="1:25" ht="12" customHeight="1">
      <c r="A871" s="96" t="s">
        <v>2284</v>
      </c>
      <c r="B871" s="97" t="s">
        <v>2285</v>
      </c>
      <c r="C871" s="27">
        <v>79.599999999999994</v>
      </c>
      <c r="D871" s="27">
        <v>0.73093200000000003</v>
      </c>
      <c r="E871" s="59"/>
      <c r="F871" s="29" cm="1">
        <f t="array" ref="F871">_xlfn.IFS(C871=":",":",C871&gt;=P$19,1,C871&gt;=P$20,2,C871&lt;P$20,3)</f>
        <v>1</v>
      </c>
      <c r="H871" s="43"/>
      <c r="Y871" s="26"/>
    </row>
    <row r="872" spans="1:25" ht="12" customHeight="1">
      <c r="A872" s="96" t="s">
        <v>2286</v>
      </c>
      <c r="B872" s="97" t="s">
        <v>2287</v>
      </c>
      <c r="C872" s="27">
        <v>78</v>
      </c>
      <c r="D872" s="27">
        <v>4.177994</v>
      </c>
      <c r="E872" s="59"/>
      <c r="F872" s="29" cm="1">
        <f t="array" ref="F872">_xlfn.IFS(C872=":",":",C872&gt;=P$19,1,C872&gt;=P$20,2,C872&lt;P$20,3)</f>
        <v>1</v>
      </c>
      <c r="H872" s="43"/>
      <c r="Y872" s="26"/>
    </row>
    <row r="873" spans="1:25" s="29" customFormat="1" ht="12" customHeight="1">
      <c r="A873" s="96" t="s">
        <v>2288</v>
      </c>
      <c r="B873" s="97" t="s">
        <v>2289</v>
      </c>
      <c r="C873" s="27">
        <v>80.599999999999994</v>
      </c>
      <c r="D873" s="27">
        <v>2.480626</v>
      </c>
      <c r="E873" s="59"/>
      <c r="F873" s="29" cm="1">
        <f t="array" ref="F873">_xlfn.IFS(C873=":",":",C873&gt;=P$19,1,C873&gt;=P$20,2,C873&lt;P$20,3)</f>
        <v>1</v>
      </c>
      <c r="H873" s="43"/>
      <c r="I873" s="44"/>
      <c r="Y873" s="26"/>
    </row>
    <row r="874" spans="1:25" s="29" customFormat="1" ht="12" customHeight="1">
      <c r="A874" s="96" t="s">
        <v>2290</v>
      </c>
      <c r="B874" s="97" t="s">
        <v>339</v>
      </c>
      <c r="C874" s="27">
        <v>67.400000000000006</v>
      </c>
      <c r="D874" s="27">
        <v>2.8253560000000002</v>
      </c>
      <c r="E874" s="59"/>
      <c r="F874" s="29" cm="1">
        <f t="array" ref="F874">_xlfn.IFS(C874=":",":",C874&gt;=P$19,1,C874&gt;=P$20,2,C874&lt;P$20,3)</f>
        <v>1</v>
      </c>
      <c r="H874" s="43"/>
      <c r="I874" s="44"/>
      <c r="Y874" s="26"/>
    </row>
    <row r="875" spans="1:25" s="29" customFormat="1" ht="12" customHeight="1">
      <c r="A875" s="96" t="s">
        <v>2291</v>
      </c>
      <c r="B875" s="97" t="s">
        <v>2292</v>
      </c>
      <c r="C875" s="27">
        <v>59.8</v>
      </c>
      <c r="D875" s="27">
        <v>7.2202359999999999</v>
      </c>
      <c r="E875" s="43"/>
      <c r="F875" s="29" cm="1">
        <f t="array" ref="F875">_xlfn.IFS(C875=":",":",C875&gt;=P$19,1,C875&gt;=P$20,2,C875&lt;P$20,3)</f>
        <v>2</v>
      </c>
      <c r="H875" s="43"/>
      <c r="I875" s="44"/>
      <c r="Y875" s="26"/>
    </row>
    <row r="876" spans="1:25" s="29" customFormat="1" ht="12" customHeight="1">
      <c r="A876" s="96" t="s">
        <v>2293</v>
      </c>
      <c r="B876" s="97" t="s">
        <v>2294</v>
      </c>
      <c r="C876" s="27">
        <v>62.9</v>
      </c>
      <c r="D876" s="27">
        <v>0.82956300000000005</v>
      </c>
      <c r="E876" s="43"/>
      <c r="F876" s="29" cm="1">
        <f t="array" ref="F876">_xlfn.IFS(C876=":",":",C876&gt;=P$19,1,C876&gt;=P$20,2,C876&lt;P$20,3)</f>
        <v>2</v>
      </c>
      <c r="H876" s="43"/>
      <c r="I876" s="44"/>
      <c r="Y876" s="26"/>
    </row>
    <row r="877" spans="1:25" s="29" customFormat="1" ht="12" customHeight="1">
      <c r="A877" s="96" t="s">
        <v>2296</v>
      </c>
      <c r="B877" s="97" t="s">
        <v>2297</v>
      </c>
      <c r="C877" s="27">
        <v>24.8</v>
      </c>
      <c r="D877" s="27">
        <v>0.47231499999999998</v>
      </c>
      <c r="E877" s="43"/>
      <c r="F877" s="29" cm="1">
        <f t="array" ref="F877">_xlfn.IFS(C877=":",":",C877&gt;=P$19,1,C877&gt;=P$20,2,C877&lt;P$20,3)</f>
        <v>3</v>
      </c>
      <c r="H877" s="43"/>
      <c r="I877" s="44"/>
      <c r="Y877" s="26"/>
    </row>
    <row r="878" spans="1:25" s="29" customFormat="1" ht="12" customHeight="1">
      <c r="A878" s="96" t="s">
        <v>2298</v>
      </c>
      <c r="B878" s="97" t="s">
        <v>2299</v>
      </c>
      <c r="C878" s="27">
        <v>57.1</v>
      </c>
      <c r="D878" s="27">
        <v>0.359178</v>
      </c>
      <c r="E878" s="43"/>
      <c r="F878" s="29" cm="1">
        <f t="array" ref="F878">_xlfn.IFS(C878=":",":",C878&gt;=P$19,1,C878&gt;=P$20,2,C878&lt;P$20,3)</f>
        <v>2</v>
      </c>
      <c r="H878" s="43"/>
      <c r="I878" s="44"/>
      <c r="Y878" s="26"/>
    </row>
    <row r="879" spans="1:25" s="29" customFormat="1" ht="12" customHeight="1">
      <c r="A879" s="96" t="s">
        <v>2300</v>
      </c>
      <c r="B879" s="97" t="s">
        <v>2301</v>
      </c>
      <c r="C879" s="27">
        <v>58.1</v>
      </c>
      <c r="D879" s="27">
        <v>1.821887</v>
      </c>
      <c r="E879" s="43"/>
      <c r="F879" s="29" cm="1">
        <f t="array" ref="F879">_xlfn.IFS(C879=":",":",C879&gt;=P$19,1,C879&gt;=P$20,2,C879&lt;P$20,3)</f>
        <v>2</v>
      </c>
      <c r="H879" s="43"/>
      <c r="I879" s="44"/>
      <c r="Y879" s="26"/>
    </row>
    <row r="880" spans="1:25" s="29" customFormat="1" ht="12" customHeight="1">
      <c r="A880" s="96" t="s">
        <v>3085</v>
      </c>
      <c r="B880" s="97" t="s">
        <v>2295</v>
      </c>
      <c r="C880" s="27">
        <v>40.200000000000003</v>
      </c>
      <c r="D880" s="27">
        <v>1.8886320000000001</v>
      </c>
      <c r="E880" s="43"/>
      <c r="F880" s="29" cm="1">
        <f t="array" ref="F880">_xlfn.IFS(C880=":",":",C880&gt;=P$19,1,C880&gt;=P$20,2,C880&lt;P$20,3)</f>
        <v>2</v>
      </c>
      <c r="H880" s="43"/>
      <c r="I880" s="44"/>
      <c r="Y880" s="26"/>
    </row>
    <row r="881" spans="1:25" s="29" customFormat="1" ht="12" customHeight="1">
      <c r="A881" s="96" t="s">
        <v>3086</v>
      </c>
      <c r="B881" s="97" t="s">
        <v>2302</v>
      </c>
      <c r="C881" s="27">
        <v>23.1</v>
      </c>
      <c r="D881" s="27">
        <v>27.564315000000001</v>
      </c>
      <c r="E881" s="43"/>
      <c r="F881" s="29" cm="1">
        <f t="array" ref="F881">_xlfn.IFS(C881=":",":",C881&gt;=P$19,1,C881&gt;=P$20,2,C881&lt;P$20,3)</f>
        <v>3</v>
      </c>
      <c r="H881" s="43"/>
      <c r="I881" s="44"/>
      <c r="Y881" s="26"/>
    </row>
    <row r="882" spans="1:25" s="29" customFormat="1" ht="12" customHeight="1">
      <c r="A882" s="96" t="s">
        <v>2308</v>
      </c>
      <c r="B882" s="97" t="s">
        <v>2309</v>
      </c>
      <c r="C882" s="27">
        <v>35.200000000000003</v>
      </c>
      <c r="D882" s="27">
        <v>3.7798389999999999</v>
      </c>
      <c r="E882" s="43"/>
      <c r="F882" s="29" cm="1">
        <f t="array" ref="F882">_xlfn.IFS(C882=":",":",C882&gt;=P$19,1,C882&gt;=P$20,2,C882&lt;P$20,3)</f>
        <v>2</v>
      </c>
      <c r="H882" s="43"/>
      <c r="I882" s="44"/>
      <c r="Y882" s="26"/>
    </row>
    <row r="883" spans="1:25" s="29" customFormat="1" ht="12" customHeight="1">
      <c r="A883" s="96" t="s">
        <v>2310</v>
      </c>
      <c r="B883" s="97" t="s">
        <v>2311</v>
      </c>
      <c r="C883" s="27">
        <v>43</v>
      </c>
      <c r="D883" s="27">
        <v>9.3818970000000004</v>
      </c>
      <c r="E883" s="43"/>
      <c r="F883" s="29" cm="1">
        <f t="array" ref="F883">_xlfn.IFS(C883=":",":",C883&gt;=P$19,1,C883&gt;=P$20,2,C883&lt;P$20,3)</f>
        <v>2</v>
      </c>
      <c r="H883" s="43"/>
      <c r="I883" s="44"/>
      <c r="Y883" s="26"/>
    </row>
    <row r="884" spans="1:25" s="29" customFormat="1" ht="12" customHeight="1">
      <c r="A884" s="96" t="s">
        <v>3087</v>
      </c>
      <c r="B884" s="97" t="s">
        <v>340</v>
      </c>
      <c r="C884" s="27">
        <v>74.400000000000006</v>
      </c>
      <c r="D884" s="27">
        <v>4.6045809999999996</v>
      </c>
      <c r="E884" s="43"/>
      <c r="F884" s="29" cm="1">
        <f t="array" ref="F884">_xlfn.IFS(C884=":",":",C884&gt;=P$19,1,C884&gt;=P$20,2,C884&lt;P$20,3)</f>
        <v>1</v>
      </c>
      <c r="H884" s="43"/>
      <c r="I884" s="44"/>
      <c r="Y884" s="26"/>
    </row>
    <row r="885" spans="1:25" s="29" customFormat="1" ht="12" customHeight="1">
      <c r="A885" s="96" t="s">
        <v>3088</v>
      </c>
      <c r="B885" s="97" t="s">
        <v>2906</v>
      </c>
      <c r="C885" s="27">
        <v>44.5</v>
      </c>
      <c r="D885" s="27">
        <v>4.5966319999999996</v>
      </c>
      <c r="E885" s="43"/>
      <c r="F885" s="29" cm="1">
        <f t="array" ref="F885">_xlfn.IFS(C885=":",":",C885&gt;=P$19,1,C885&gt;=P$20,2,C885&lt;P$20,3)</f>
        <v>2</v>
      </c>
      <c r="H885" s="43"/>
      <c r="I885" s="44"/>
      <c r="Y885" s="26"/>
    </row>
    <row r="886" spans="1:25" s="29" customFormat="1" ht="12" customHeight="1">
      <c r="A886" s="96" t="s">
        <v>3089</v>
      </c>
      <c r="B886" s="97" t="s">
        <v>2303</v>
      </c>
      <c r="C886" s="27">
        <v>47.4</v>
      </c>
      <c r="D886" s="27">
        <v>0.81927799999999995</v>
      </c>
      <c r="E886" s="43"/>
      <c r="F886" s="29" cm="1">
        <f t="array" ref="F886">_xlfn.IFS(C886=":",":",C886&gt;=P$19,1,C886&gt;=P$20,2,C886&lt;P$20,3)</f>
        <v>2</v>
      </c>
      <c r="H886" s="43"/>
      <c r="I886" s="44"/>
      <c r="Y886" s="26"/>
    </row>
    <row r="887" spans="1:25" s="29" customFormat="1" ht="12" customHeight="1">
      <c r="A887" s="96" t="s">
        <v>3090</v>
      </c>
      <c r="B887" s="97" t="s">
        <v>2304</v>
      </c>
      <c r="C887" s="27">
        <v>46.1</v>
      </c>
      <c r="D887" s="27">
        <v>2.6227809999999998</v>
      </c>
      <c r="E887" s="43"/>
      <c r="F887" s="29" cm="1">
        <f t="array" ref="F887">_xlfn.IFS(C887=":",":",C887&gt;=P$19,1,C887&gt;=P$20,2,C887&lt;P$20,3)</f>
        <v>2</v>
      </c>
      <c r="H887" s="43"/>
      <c r="I887" s="44"/>
      <c r="Y887" s="26"/>
    </row>
    <row r="888" spans="1:25" s="29" customFormat="1" ht="12" customHeight="1">
      <c r="A888" s="100" t="s">
        <v>3091</v>
      </c>
      <c r="B888" s="99" t="s">
        <v>2305</v>
      </c>
      <c r="C888" s="27">
        <v>71</v>
      </c>
      <c r="D888" s="27">
        <v>0.58555000000000001</v>
      </c>
      <c r="E888" s="43"/>
      <c r="F888" s="29" cm="1">
        <f t="array" ref="F888">_xlfn.IFS(C888=":",":",C888&gt;=P$19,1,C888&gt;=P$20,2,C888&lt;P$20,3)</f>
        <v>1</v>
      </c>
      <c r="H888" s="43"/>
      <c r="I888" s="44"/>
      <c r="Y888" s="26"/>
    </row>
    <row r="889" spans="1:25" ht="12" customHeight="1">
      <c r="A889" s="96" t="s">
        <v>3092</v>
      </c>
      <c r="B889" s="97" t="s">
        <v>2306</v>
      </c>
      <c r="C889" s="27">
        <v>70.099999999999994</v>
      </c>
      <c r="D889" s="27">
        <v>0.77156100000000005</v>
      </c>
      <c r="E889" s="43"/>
      <c r="F889" s="29" cm="1">
        <f t="array" ref="F889">_xlfn.IFS(C889=":",":",C889&gt;=P$19,1,C889&gt;=P$20,2,C889&lt;P$20,3)</f>
        <v>1</v>
      </c>
      <c r="H889" s="43"/>
      <c r="Y889" s="26"/>
    </row>
    <row r="890" spans="1:25" ht="12" customHeight="1">
      <c r="A890" s="96" t="s">
        <v>3093</v>
      </c>
      <c r="B890" s="97" t="s">
        <v>2307</v>
      </c>
      <c r="C890" s="27">
        <v>45.4</v>
      </c>
      <c r="D890" s="27">
        <v>7.0997849999999998</v>
      </c>
      <c r="E890" s="43"/>
      <c r="F890" s="29" cm="1">
        <f t="array" ref="F890">_xlfn.IFS(C890=":",":",C890&gt;=P$19,1,C890&gt;=P$20,2,C890&lt;P$20,3)</f>
        <v>2</v>
      </c>
      <c r="H890" s="43"/>
      <c r="Y890" s="26"/>
    </row>
    <row r="891" spans="1:25" ht="12" customHeight="1">
      <c r="A891" s="96" t="s">
        <v>2312</v>
      </c>
      <c r="B891" s="97" t="s">
        <v>2313</v>
      </c>
      <c r="C891" s="27">
        <v>77.3</v>
      </c>
      <c r="D891" s="27">
        <v>2.3088350000000002</v>
      </c>
      <c r="E891" s="43"/>
      <c r="F891" s="29" cm="1">
        <f t="array" ref="F891">_xlfn.IFS(C891=":",":",C891&gt;=P$19,1,C891&gt;=P$20,2,C891&lt;P$20,3)</f>
        <v>1</v>
      </c>
      <c r="H891" s="43"/>
      <c r="Y891" s="26"/>
    </row>
    <row r="892" spans="1:25" ht="12" customHeight="1">
      <c r="A892" s="100" t="s">
        <v>2316</v>
      </c>
      <c r="B892" s="99" t="s">
        <v>2317</v>
      </c>
      <c r="C892" s="27">
        <v>67.099999999999994</v>
      </c>
      <c r="D892" s="27">
        <v>5.8334590000000004</v>
      </c>
      <c r="E892" s="43"/>
      <c r="F892" s="29" cm="1">
        <f t="array" ref="F892">_xlfn.IFS(C892=":",":",C892&gt;=P$19,1,C892&gt;=P$20,2,C892&lt;P$20,3)</f>
        <v>1</v>
      </c>
      <c r="H892" s="43"/>
      <c r="Y892" s="26"/>
    </row>
    <row r="893" spans="1:25" ht="12" customHeight="1">
      <c r="A893" s="100" t="s">
        <v>3094</v>
      </c>
      <c r="B893" s="99" t="s">
        <v>2314</v>
      </c>
      <c r="C893" s="27">
        <v>71.5</v>
      </c>
      <c r="D893" s="27">
        <v>3.8237040000000002</v>
      </c>
      <c r="E893" s="43"/>
      <c r="F893" s="29" cm="1">
        <f t="array" ref="F893">_xlfn.IFS(C893=":",":",C893&gt;=P$19,1,C893&gt;=P$20,2,C893&lt;P$20,3)</f>
        <v>1</v>
      </c>
      <c r="H893" s="43"/>
      <c r="Y893" s="26"/>
    </row>
    <row r="894" spans="1:25" ht="12" customHeight="1">
      <c r="A894" s="96" t="s">
        <v>3095</v>
      </c>
      <c r="B894" s="97" t="s">
        <v>2315</v>
      </c>
      <c r="C894" s="27">
        <v>85.1</v>
      </c>
      <c r="D894" s="27">
        <v>1.851467</v>
      </c>
      <c r="E894" s="43"/>
      <c r="F894" s="29" cm="1">
        <f t="array" ref="F894">_xlfn.IFS(C894=":",":",C894&gt;=P$19,1,C894&gt;=P$20,2,C894&lt;P$20,3)</f>
        <v>1</v>
      </c>
      <c r="H894" s="43"/>
      <c r="Y894" s="26"/>
    </row>
    <row r="895" spans="1:25" ht="12" customHeight="1">
      <c r="A895" s="100" t="s">
        <v>2318</v>
      </c>
      <c r="B895" s="99" t="s">
        <v>2319</v>
      </c>
      <c r="C895" s="27">
        <v>61.3</v>
      </c>
      <c r="D895" s="27">
        <v>5.2150299999999996</v>
      </c>
      <c r="E895" s="43"/>
      <c r="F895" s="29" cm="1">
        <f t="array" ref="F895">_xlfn.IFS(C895=":",":",C895&gt;=P$19,1,C895&gt;=P$20,2,C895&lt;P$20,3)</f>
        <v>2</v>
      </c>
      <c r="H895" s="43"/>
      <c r="Y895" s="26"/>
    </row>
    <row r="896" spans="1:25" ht="12" customHeight="1">
      <c r="A896" s="100" t="s">
        <v>2320</v>
      </c>
      <c r="B896" s="99" t="s">
        <v>2321</v>
      </c>
      <c r="C896" s="27">
        <v>70.599999999999994</v>
      </c>
      <c r="D896" s="27">
        <v>2.8816519999999999</v>
      </c>
      <c r="E896" s="43"/>
      <c r="F896" s="29" cm="1">
        <f t="array" ref="F896">_xlfn.IFS(C896=":",":",C896&gt;=P$19,1,C896&gt;=P$20,2,C896&lt;P$20,3)</f>
        <v>1</v>
      </c>
      <c r="H896" s="43"/>
      <c r="Y896" s="26"/>
    </row>
    <row r="897" spans="1:25" ht="12" customHeight="1">
      <c r="A897" s="96" t="s">
        <v>2322</v>
      </c>
      <c r="B897" s="97" t="s">
        <v>2323</v>
      </c>
      <c r="C897" s="27">
        <v>76.900000000000006</v>
      </c>
      <c r="D897" s="27">
        <v>5.7580559999999998</v>
      </c>
      <c r="E897" s="43"/>
      <c r="F897" s="29" cm="1">
        <f t="array" ref="F897">_xlfn.IFS(C897=":",":",C897&gt;=P$19,1,C897&gt;=P$20,2,C897&lt;P$20,3)</f>
        <v>1</v>
      </c>
      <c r="H897" s="43"/>
      <c r="I897" s="5"/>
      <c r="Y897" s="26"/>
    </row>
    <row r="898" spans="1:25" ht="12" customHeight="1">
      <c r="A898" s="96" t="s">
        <v>2324</v>
      </c>
      <c r="B898" s="97" t="s">
        <v>2325</v>
      </c>
      <c r="C898" s="27">
        <v>93.4</v>
      </c>
      <c r="D898" s="27">
        <v>0.31831100000000001</v>
      </c>
      <c r="E898" s="43"/>
      <c r="F898" s="29" cm="1">
        <f t="array" ref="F898">_xlfn.IFS(C898=":",":",C898&gt;=P$19,1,C898&gt;=P$20,2,C898&lt;P$20,3)</f>
        <v>1</v>
      </c>
      <c r="H898" s="43"/>
      <c r="I898" s="5"/>
      <c r="Y898" s="26"/>
    </row>
    <row r="899" spans="1:25" ht="12" customHeight="1">
      <c r="A899" s="96" t="s">
        <v>2326</v>
      </c>
      <c r="B899" s="97" t="s">
        <v>2327</v>
      </c>
      <c r="C899" s="27">
        <v>68.8</v>
      </c>
      <c r="D899" s="27">
        <v>1.7050179999999999</v>
      </c>
      <c r="E899" s="43"/>
      <c r="F899" s="29" cm="1">
        <f t="array" ref="F899">_xlfn.IFS(C899=":",":",C899&gt;=P$19,1,C899&gt;=P$20,2,C899&lt;P$20,3)</f>
        <v>1</v>
      </c>
      <c r="H899" s="43"/>
      <c r="I899" s="5"/>
      <c r="Y899" s="26"/>
    </row>
    <row r="900" spans="1:25" ht="12" customHeight="1">
      <c r="A900" s="96" t="s">
        <v>2328</v>
      </c>
      <c r="B900" s="97" t="s">
        <v>2329</v>
      </c>
      <c r="C900" s="27">
        <v>92.2</v>
      </c>
      <c r="D900" s="27">
        <v>0.96040300000000001</v>
      </c>
      <c r="E900" s="43"/>
      <c r="F900" s="29" cm="1">
        <f t="array" ref="F900">_xlfn.IFS(C900=":",":",C900&gt;=P$19,1,C900&gt;=P$20,2,C900&lt;P$20,3)</f>
        <v>1</v>
      </c>
      <c r="H900" s="43"/>
      <c r="I900" s="5"/>
      <c r="Y900" s="26"/>
    </row>
    <row r="901" spans="1:25" ht="12" customHeight="1">
      <c r="A901" s="96" t="s">
        <v>2330</v>
      </c>
      <c r="B901" s="97" t="s">
        <v>2331</v>
      </c>
      <c r="C901" s="27">
        <v>60</v>
      </c>
      <c r="D901" s="27">
        <v>0.71903399999999995</v>
      </c>
      <c r="E901" s="43"/>
      <c r="F901" s="29" cm="1">
        <f t="array" ref="F901">_xlfn.IFS(C901=":",":",C901&gt;=P$19,1,C901&gt;=P$20,2,C901&lt;P$20,3)</f>
        <v>2</v>
      </c>
      <c r="H901" s="43"/>
      <c r="I901" s="5"/>
      <c r="Y901" s="26"/>
    </row>
    <row r="902" spans="1:25" ht="12" customHeight="1">
      <c r="A902" s="96" t="s">
        <v>2332</v>
      </c>
      <c r="B902" s="97" t="s">
        <v>2333</v>
      </c>
      <c r="C902" s="27">
        <v>78.3</v>
      </c>
      <c r="D902" s="27">
        <v>1.181837</v>
      </c>
      <c r="E902" s="43"/>
      <c r="F902" s="29" cm="1">
        <f t="array" ref="F902">_xlfn.IFS(C902=":",":",C902&gt;=P$19,1,C902&gt;=P$20,2,C902&lt;P$20,3)</f>
        <v>1</v>
      </c>
      <c r="H902" s="43"/>
      <c r="I902" s="5"/>
      <c r="Y902" s="26"/>
    </row>
    <row r="903" spans="1:25" ht="12" customHeight="1">
      <c r="A903" s="96" t="s">
        <v>2334</v>
      </c>
      <c r="B903" s="97" t="s">
        <v>2335</v>
      </c>
      <c r="C903" s="27">
        <v>63.2</v>
      </c>
      <c r="D903" s="27">
        <v>0.380749</v>
      </c>
      <c r="E903" s="43"/>
      <c r="F903" s="29" cm="1">
        <f t="array" ref="F903">_xlfn.IFS(C903=":",":",C903&gt;=P$19,1,C903&gt;=P$20,2,C903&lt;P$20,3)</f>
        <v>2</v>
      </c>
      <c r="H903" s="43"/>
      <c r="I903" s="5"/>
      <c r="Y903" s="26"/>
    </row>
    <row r="904" spans="1:25" ht="12" customHeight="1">
      <c r="A904" s="96" t="s">
        <v>2336</v>
      </c>
      <c r="B904" s="97" t="s">
        <v>2337</v>
      </c>
      <c r="C904" s="27">
        <v>81.099999999999994</v>
      </c>
      <c r="D904" s="27">
        <v>1.584041</v>
      </c>
      <c r="E904" s="43"/>
      <c r="F904" s="29" cm="1">
        <f t="array" ref="F904">_xlfn.IFS(C904=":",":",C904&gt;=P$19,1,C904&gt;=P$20,2,C904&lt;P$20,3)</f>
        <v>1</v>
      </c>
      <c r="H904" s="43"/>
      <c r="I904" s="5"/>
      <c r="Y904" s="26"/>
    </row>
    <row r="905" spans="1:25" ht="12" customHeight="1">
      <c r="A905" s="96" t="s">
        <v>2338</v>
      </c>
      <c r="B905" s="97" t="s">
        <v>2339</v>
      </c>
      <c r="C905" s="27">
        <v>79.8</v>
      </c>
      <c r="D905" s="27">
        <v>0.18654399999999999</v>
      </c>
      <c r="E905" s="43"/>
      <c r="F905" s="29" cm="1">
        <f t="array" ref="F905">_xlfn.IFS(C905=":",":",C905&gt;=P$19,1,C905&gt;=P$20,2,C905&lt;P$20,3)</f>
        <v>1</v>
      </c>
      <c r="H905" s="43"/>
      <c r="I905" s="5"/>
      <c r="Y905" s="26"/>
    </row>
    <row r="906" spans="1:25" ht="12" customHeight="1">
      <c r="A906" s="96" t="s">
        <v>2340</v>
      </c>
      <c r="B906" s="97" t="s">
        <v>2341</v>
      </c>
      <c r="C906" s="27">
        <v>57.4</v>
      </c>
      <c r="D906" s="27">
        <v>0.72531800000000002</v>
      </c>
      <c r="E906" s="43"/>
      <c r="F906" s="29" cm="1">
        <f t="array" ref="F906">_xlfn.IFS(C906=":",":",C906&gt;=P$19,1,C906&gt;=P$20,2,C906&lt;P$20,3)</f>
        <v>2</v>
      </c>
      <c r="H906" s="43"/>
      <c r="I906" s="5"/>
      <c r="Y906" s="26"/>
    </row>
    <row r="907" spans="1:25" ht="12" customHeight="1">
      <c r="A907" s="96" t="s">
        <v>2342</v>
      </c>
      <c r="B907" s="97" t="s">
        <v>2343</v>
      </c>
      <c r="C907" s="27">
        <v>54.8</v>
      </c>
      <c r="D907" s="27">
        <v>1.8272379999999999</v>
      </c>
      <c r="E907" s="43"/>
      <c r="F907" s="29" cm="1">
        <f t="array" ref="F907">_xlfn.IFS(C907=":",":",C907&gt;=P$19,1,C907&gt;=P$20,2,C907&lt;P$20,3)</f>
        <v>2</v>
      </c>
      <c r="H907" s="43"/>
      <c r="I907" s="5"/>
      <c r="Y907" s="26"/>
    </row>
    <row r="908" spans="1:25" ht="12" customHeight="1">
      <c r="A908" s="96" t="s">
        <v>2344</v>
      </c>
      <c r="B908" s="97" t="s">
        <v>353</v>
      </c>
      <c r="C908" s="27">
        <v>18.2</v>
      </c>
      <c r="D908" s="27">
        <v>18.175943</v>
      </c>
      <c r="E908" s="43"/>
      <c r="F908" s="29" cm="1">
        <f t="array" ref="F908">_xlfn.IFS(C908=":",":",C908&gt;=P$19,1,C908&gt;=P$20,2,C908&lt;P$20,3)</f>
        <v>3</v>
      </c>
      <c r="H908" s="43"/>
      <c r="I908" s="5"/>
      <c r="Y908" s="26"/>
    </row>
    <row r="909" spans="1:25" ht="12" customHeight="1">
      <c r="A909" s="96" t="s">
        <v>2345</v>
      </c>
      <c r="B909" s="97" t="s">
        <v>2346</v>
      </c>
      <c r="C909" s="27">
        <v>47.1</v>
      </c>
      <c r="D909" s="27">
        <v>4.0263020000000003</v>
      </c>
      <c r="E909" s="43"/>
      <c r="F909" s="29" cm="1">
        <f t="array" ref="F909">_xlfn.IFS(C909=":",":",C909&gt;=P$19,1,C909&gt;=P$20,2,C909&lt;P$20,3)</f>
        <v>2</v>
      </c>
      <c r="H909" s="43"/>
      <c r="I909" s="5"/>
      <c r="Y909" s="26"/>
    </row>
    <row r="910" spans="1:25" ht="12" customHeight="1">
      <c r="A910" s="96" t="s">
        <v>2347</v>
      </c>
      <c r="B910" s="97" t="s">
        <v>2348</v>
      </c>
      <c r="C910" s="27">
        <v>31.5</v>
      </c>
      <c r="D910" s="27">
        <v>5.6574280000000003</v>
      </c>
      <c r="E910" s="43"/>
      <c r="F910" s="29" cm="1">
        <f t="array" ref="F910">_xlfn.IFS(C910=":",":",C910&gt;=P$19,1,C910&gt;=P$20,2,C910&lt;P$20,3)</f>
        <v>3</v>
      </c>
      <c r="H910" s="43"/>
      <c r="I910" s="5"/>
      <c r="Y910" s="26"/>
    </row>
    <row r="911" spans="1:25" ht="12" customHeight="1">
      <c r="A911" s="96" t="s">
        <v>2349</v>
      </c>
      <c r="B911" s="97" t="s">
        <v>2350</v>
      </c>
      <c r="C911" s="27">
        <v>76.400000000000006</v>
      </c>
      <c r="D911" s="27">
        <v>1.670614</v>
      </c>
      <c r="E911" s="43"/>
      <c r="F911" s="29" cm="1">
        <f t="array" ref="F911">_xlfn.IFS(C911=":",":",C911&gt;=P$19,1,C911&gt;=P$20,2,C911&lt;P$20,3)</f>
        <v>1</v>
      </c>
      <c r="H911" s="43"/>
      <c r="I911" s="5"/>
      <c r="Y911" s="26"/>
    </row>
    <row r="912" spans="1:25" ht="12" customHeight="1">
      <c r="A912" s="96" t="s">
        <v>2351</v>
      </c>
      <c r="B912" s="97" t="s">
        <v>2352</v>
      </c>
      <c r="C912" s="27">
        <v>52.1</v>
      </c>
      <c r="D912" s="27">
        <v>1.9326779999999999</v>
      </c>
      <c r="E912" s="43"/>
      <c r="F912" s="29" cm="1">
        <f t="array" ref="F912">_xlfn.IFS(C912=":",":",C912&gt;=P$19,1,C912&gt;=P$20,2,C912&lt;P$20,3)</f>
        <v>2</v>
      </c>
      <c r="H912" s="43"/>
      <c r="I912" s="5"/>
      <c r="Y912" s="26"/>
    </row>
    <row r="913" spans="1:25" ht="12" customHeight="1">
      <c r="A913" s="100" t="s">
        <v>2353</v>
      </c>
      <c r="B913" s="99" t="s">
        <v>2354</v>
      </c>
      <c r="C913" s="27">
        <v>44.3</v>
      </c>
      <c r="D913" s="27">
        <v>4.3533920000000004</v>
      </c>
      <c r="E913" s="43"/>
      <c r="F913" s="29" cm="1">
        <f t="array" ref="F913">_xlfn.IFS(C913=":",":",C913&gt;=P$19,1,C913&gt;=P$20,2,C913&lt;P$20,3)</f>
        <v>2</v>
      </c>
      <c r="H913" s="43"/>
      <c r="I913" s="5"/>
      <c r="Y913" s="26"/>
    </row>
    <row r="914" spans="1:25" ht="12" customHeight="1">
      <c r="A914" s="100" t="s">
        <v>2355</v>
      </c>
      <c r="B914" s="99" t="s">
        <v>2356</v>
      </c>
      <c r="C914" s="27">
        <v>63.5</v>
      </c>
      <c r="D914" s="27">
        <v>0.72092599999999996</v>
      </c>
      <c r="E914" s="43"/>
      <c r="F914" s="29" cm="1">
        <f t="array" ref="F914">_xlfn.IFS(C914=":",":",C914&gt;=P$19,1,C914&gt;=P$20,2,C914&lt;P$20,3)</f>
        <v>2</v>
      </c>
      <c r="H914" s="43"/>
      <c r="I914" s="5"/>
      <c r="Y914" s="26"/>
    </row>
    <row r="915" spans="1:25" ht="12" customHeight="1">
      <c r="A915" s="96" t="s">
        <v>2357</v>
      </c>
      <c r="B915" s="97" t="s">
        <v>2358</v>
      </c>
      <c r="C915" s="27">
        <v>89.5</v>
      </c>
      <c r="D915" s="27">
        <v>2.7108460000000001</v>
      </c>
      <c r="E915" s="43"/>
      <c r="F915" s="29" cm="1">
        <f t="array" ref="F915">_xlfn.IFS(C915=":",":",C915&gt;=P$19,1,C915&gt;=P$20,2,C915&lt;P$20,3)</f>
        <v>1</v>
      </c>
      <c r="H915" s="43"/>
      <c r="I915" s="5"/>
      <c r="Y915" s="26"/>
    </row>
    <row r="916" spans="1:25" ht="12" customHeight="1">
      <c r="A916" s="96" t="s">
        <v>2359</v>
      </c>
      <c r="B916" s="97" t="s">
        <v>2360</v>
      </c>
      <c r="C916" s="27">
        <v>74.599999999999994</v>
      </c>
      <c r="D916" s="27">
        <v>0.74583600000000005</v>
      </c>
      <c r="E916" s="43"/>
      <c r="F916" s="29" cm="1">
        <f t="array" ref="F916">_xlfn.IFS(C916=":",":",C916&gt;=P$19,1,C916&gt;=P$20,2,C916&lt;P$20,3)</f>
        <v>1</v>
      </c>
      <c r="H916" s="43"/>
      <c r="I916" s="5"/>
      <c r="Y916" s="26"/>
    </row>
    <row r="917" spans="1:25" ht="12" customHeight="1">
      <c r="A917" s="100" t="s">
        <v>2361</v>
      </c>
      <c r="B917" s="99" t="s">
        <v>2362</v>
      </c>
      <c r="C917" s="27">
        <v>36.4</v>
      </c>
      <c r="D917" s="27">
        <v>1.497557</v>
      </c>
      <c r="E917" s="43"/>
      <c r="F917" s="29" cm="1">
        <f t="array" ref="F917">_xlfn.IFS(C917=":",":",C917&gt;=P$19,1,C917&gt;=P$20,2,C917&lt;P$20,3)</f>
        <v>2</v>
      </c>
      <c r="H917" s="43"/>
      <c r="I917" s="5"/>
      <c r="Y917" s="26"/>
    </row>
    <row r="918" spans="1:25" ht="12" customHeight="1">
      <c r="A918" s="100" t="s">
        <v>2363</v>
      </c>
      <c r="B918" s="99" t="s">
        <v>2364</v>
      </c>
      <c r="C918" s="27">
        <v>71.2</v>
      </c>
      <c r="D918" s="27">
        <v>1.13035</v>
      </c>
      <c r="E918" s="43"/>
      <c r="F918" s="29" cm="1">
        <f t="array" ref="F918">_xlfn.IFS(C918=":",":",C918&gt;=P$19,1,C918&gt;=P$20,2,C918&lt;P$20,3)</f>
        <v>1</v>
      </c>
      <c r="H918" s="43"/>
      <c r="I918" s="5"/>
      <c r="Y918" s="26"/>
    </row>
    <row r="919" spans="1:25" ht="12" customHeight="1">
      <c r="A919" s="100" t="s">
        <v>2365</v>
      </c>
      <c r="B919" s="99" t="s">
        <v>2366</v>
      </c>
      <c r="C919" s="27">
        <v>54.2</v>
      </c>
      <c r="D919" s="27">
        <v>1.7648729999999999</v>
      </c>
      <c r="E919" s="43"/>
      <c r="F919" s="29" cm="1">
        <f t="array" ref="F919">_xlfn.IFS(C919=":",":",C919&gt;=P$19,1,C919&gt;=P$20,2,C919&lt;P$20,3)</f>
        <v>2</v>
      </c>
      <c r="H919" s="43"/>
      <c r="I919" s="5"/>
      <c r="Y919" s="26"/>
    </row>
    <row r="920" spans="1:25" ht="12" customHeight="1">
      <c r="A920" s="100" t="s">
        <v>2367</v>
      </c>
      <c r="B920" s="99" t="s">
        <v>2368</v>
      </c>
      <c r="C920" s="27">
        <v>74.8</v>
      </c>
      <c r="D920" s="27">
        <v>0.96901800000000005</v>
      </c>
      <c r="E920" s="43"/>
      <c r="F920" s="29" cm="1">
        <f t="array" ref="F920">_xlfn.IFS(C920=":",":",C920&gt;=P$19,1,C920&gt;=P$20,2,C920&lt;P$20,3)</f>
        <v>1</v>
      </c>
      <c r="H920" s="43"/>
      <c r="I920" s="5"/>
      <c r="Y920" s="26"/>
    </row>
    <row r="921" spans="1:25" ht="12" customHeight="1">
      <c r="A921" s="100" t="s">
        <v>2369</v>
      </c>
      <c r="B921" s="99" t="s">
        <v>2370</v>
      </c>
      <c r="C921" s="27">
        <v>68.3</v>
      </c>
      <c r="D921" s="27">
        <v>1.0655019999999999</v>
      </c>
      <c r="E921" s="43"/>
      <c r="F921" s="29" cm="1">
        <f t="array" ref="F921">_xlfn.IFS(C921=":",":",C921&gt;=P$19,1,C921&gt;=P$20,2,C921&lt;P$20,3)</f>
        <v>1</v>
      </c>
      <c r="H921" s="43"/>
      <c r="I921" s="5"/>
      <c r="Y921" s="26"/>
    </row>
    <row r="922" spans="1:25" ht="12" customHeight="1">
      <c r="A922" s="100" t="s">
        <v>2371</v>
      </c>
      <c r="B922" s="99" t="s">
        <v>2372</v>
      </c>
      <c r="C922" s="27">
        <v>47.8</v>
      </c>
      <c r="D922" s="27">
        <v>3.053493</v>
      </c>
      <c r="E922" s="43"/>
      <c r="F922" s="29" cm="1">
        <f t="array" ref="F922">_xlfn.IFS(C922=":",":",C922&gt;=P$19,1,C922&gt;=P$20,2,C922&lt;P$20,3)</f>
        <v>2</v>
      </c>
      <c r="H922" s="43"/>
      <c r="I922" s="5"/>
      <c r="Y922" s="26"/>
    </row>
    <row r="923" spans="1:25" ht="12" customHeight="1">
      <c r="A923" s="100" t="s">
        <v>2373</v>
      </c>
      <c r="B923" s="99" t="s">
        <v>2374</v>
      </c>
      <c r="C923" s="27">
        <v>27.5</v>
      </c>
      <c r="D923" s="27">
        <v>0.92337400000000003</v>
      </c>
      <c r="E923" s="43"/>
      <c r="F923" s="29" cm="1">
        <f t="array" ref="F923">_xlfn.IFS(C923=":",":",C923&gt;=P$19,1,C923&gt;=P$20,2,C923&lt;P$20,3)</f>
        <v>3</v>
      </c>
      <c r="H923" s="43"/>
      <c r="I923" s="5"/>
      <c r="Y923" s="26"/>
    </row>
    <row r="924" spans="1:25" ht="12" customHeight="1">
      <c r="A924" s="96" t="s">
        <v>2375</v>
      </c>
      <c r="B924" s="97" t="s">
        <v>2376</v>
      </c>
      <c r="C924" s="27">
        <v>21</v>
      </c>
      <c r="D924" s="27">
        <v>18.623149000000002</v>
      </c>
      <c r="E924" s="43"/>
      <c r="F924" s="29" cm="1">
        <f t="array" ref="F924">_xlfn.IFS(C924=":",":",C924&gt;=P$19,1,C924&gt;=P$20,2,C924&lt;P$20,3)</f>
        <v>3</v>
      </c>
      <c r="H924" s="43"/>
      <c r="I924" s="5"/>
      <c r="Y924" s="26"/>
    </row>
    <row r="925" spans="1:25" ht="12" customHeight="1">
      <c r="A925" s="96" t="s">
        <v>2377</v>
      </c>
      <c r="B925" s="97" t="s">
        <v>2378</v>
      </c>
      <c r="C925" s="27">
        <v>32.6</v>
      </c>
      <c r="D925" s="27">
        <v>5.6737039999999999</v>
      </c>
      <c r="E925" s="43"/>
      <c r="F925" s="29" cm="1">
        <f t="array" ref="F925">_xlfn.IFS(C925=":",":",C925&gt;=P$19,1,C925&gt;=P$20,2,C925&lt;P$20,3)</f>
        <v>3</v>
      </c>
      <c r="H925" s="43"/>
      <c r="I925" s="5"/>
      <c r="Y925" s="26"/>
    </row>
    <row r="926" spans="1:25" ht="12" customHeight="1">
      <c r="A926" s="100" t="s">
        <v>2379</v>
      </c>
      <c r="B926" s="99" t="s">
        <v>2380</v>
      </c>
      <c r="C926" s="27">
        <v>3.5</v>
      </c>
      <c r="D926" s="27">
        <v>3.2065709999999998</v>
      </c>
      <c r="E926" s="43"/>
      <c r="F926" s="29" cm="1">
        <f t="array" ref="F926">_xlfn.IFS(C926=":",":",C926&gt;=P$19,1,C926&gt;=P$20,2,C926&lt;P$20,3)</f>
        <v>3</v>
      </c>
      <c r="H926" s="43"/>
      <c r="I926" s="5"/>
      <c r="Y926" s="26"/>
    </row>
    <row r="927" spans="1:25" ht="12" customHeight="1">
      <c r="A927" s="100" t="s">
        <v>2381</v>
      </c>
      <c r="B927" s="99" t="s">
        <v>2382</v>
      </c>
      <c r="C927" s="27">
        <v>14.8</v>
      </c>
      <c r="D927" s="27">
        <v>6.3673060000000001</v>
      </c>
      <c r="E927" s="43"/>
      <c r="F927" s="29" cm="1">
        <f t="array" ref="F927">_xlfn.IFS(C927=":",":",C927&gt;=P$19,1,C927&gt;=P$20,2,C927&lt;P$20,3)</f>
        <v>3</v>
      </c>
      <c r="H927" s="43"/>
      <c r="I927" s="5"/>
      <c r="Y927" s="26"/>
    </row>
    <row r="928" spans="1:25" ht="12" customHeight="1">
      <c r="A928" s="96" t="s">
        <v>2383</v>
      </c>
      <c r="B928" s="97" t="s">
        <v>2384</v>
      </c>
      <c r="C928" s="27">
        <v>24.5</v>
      </c>
      <c r="D928" s="27">
        <v>1.735425</v>
      </c>
      <c r="E928" s="43"/>
      <c r="F928" s="29" cm="1">
        <f t="array" ref="F928">_xlfn.IFS(C928=":",":",C928&gt;=P$19,1,C928&gt;=P$20,2,C928&lt;P$20,3)</f>
        <v>3</v>
      </c>
      <c r="H928" s="43"/>
      <c r="I928" s="5"/>
      <c r="Y928" s="26"/>
    </row>
    <row r="929" spans="1:25" ht="12" customHeight="1">
      <c r="A929" s="96" t="s">
        <v>2385</v>
      </c>
      <c r="B929" s="97" t="s">
        <v>2386</v>
      </c>
      <c r="C929" s="27">
        <v>5.7</v>
      </c>
      <c r="D929" s="27">
        <v>12.245882999999999</v>
      </c>
      <c r="E929" s="43"/>
      <c r="F929" s="29" cm="1">
        <f t="array" ref="F929">_xlfn.IFS(C929=":",":",C929&gt;=P$19,1,C929&gt;=P$20,2,C929&lt;P$20,3)</f>
        <v>3</v>
      </c>
      <c r="H929" s="43"/>
      <c r="I929" s="5"/>
      <c r="Y929" s="26"/>
    </row>
    <row r="930" spans="1:25" ht="12" customHeight="1">
      <c r="A930" s="96" t="s">
        <v>2387</v>
      </c>
      <c r="B930" s="97" t="s">
        <v>2388</v>
      </c>
      <c r="C930" s="27">
        <v>9.1</v>
      </c>
      <c r="D930" s="27">
        <v>15.714981</v>
      </c>
      <c r="E930" s="43"/>
      <c r="F930" s="29" cm="1">
        <f t="array" ref="F930">_xlfn.IFS(C930=":",":",C930&gt;=P$19,1,C930&gt;=P$20,2,C930&lt;P$20,3)</f>
        <v>3</v>
      </c>
      <c r="H930" s="43"/>
      <c r="I930" s="5"/>
      <c r="Y930" s="26"/>
    </row>
    <row r="931" spans="1:25" ht="12" customHeight="1">
      <c r="A931" s="96" t="s">
        <v>2389</v>
      </c>
      <c r="B931" s="97" t="s">
        <v>2390</v>
      </c>
      <c r="C931" s="27">
        <v>7.5</v>
      </c>
      <c r="D931" s="27">
        <v>6.1706029999999998</v>
      </c>
      <c r="E931" s="43"/>
      <c r="F931" s="29" cm="1">
        <f t="array" ref="F931">_xlfn.IFS(C931=":",":",C931&gt;=P$19,1,C931&gt;=P$20,2,C931&lt;P$20,3)</f>
        <v>3</v>
      </c>
      <c r="H931" s="43"/>
      <c r="I931" s="5"/>
      <c r="Y931" s="26"/>
    </row>
    <row r="932" spans="1:25" ht="12" customHeight="1">
      <c r="A932" s="96" t="s">
        <v>2391</v>
      </c>
      <c r="B932" s="97" t="s">
        <v>2392</v>
      </c>
      <c r="C932" s="27">
        <v>30.6</v>
      </c>
      <c r="D932" s="27">
        <v>1.4769859999999999</v>
      </c>
      <c r="E932" s="43"/>
      <c r="F932" s="29" cm="1">
        <f t="array" ref="F932">_xlfn.IFS(C932=":",":",C932&gt;=P$19,1,C932&gt;=P$20,2,C932&lt;P$20,3)</f>
        <v>3</v>
      </c>
      <c r="H932" s="43"/>
      <c r="I932" s="5"/>
      <c r="Y932" s="26"/>
    </row>
    <row r="933" spans="1:25" ht="12" customHeight="1">
      <c r="A933" s="96" t="s">
        <v>2393</v>
      </c>
      <c r="B933" s="97" t="s">
        <v>2394</v>
      </c>
      <c r="C933" s="27">
        <v>44.5</v>
      </c>
      <c r="D933" s="27">
        <v>6.5264850000000001</v>
      </c>
      <c r="E933" s="43"/>
      <c r="F933" s="29" cm="1">
        <f t="array" ref="F933">_xlfn.IFS(C933=":",":",C933&gt;=P$19,1,C933&gt;=P$20,2,C933&lt;P$20,3)</f>
        <v>2</v>
      </c>
      <c r="H933" s="43"/>
      <c r="I933" s="5"/>
      <c r="Y933" s="26"/>
    </row>
    <row r="934" spans="1:25" ht="12" customHeight="1">
      <c r="A934" s="96" t="s">
        <v>2395</v>
      </c>
      <c r="B934" s="97" t="s">
        <v>2396</v>
      </c>
      <c r="C934" s="27">
        <v>69.7</v>
      </c>
      <c r="D934" s="27">
        <v>0.79275799999999996</v>
      </c>
      <c r="E934" s="43"/>
      <c r="F934" s="29" cm="1">
        <f t="array" ref="F934">_xlfn.IFS(C934=":",":",C934&gt;=P$19,1,C934&gt;=P$20,2,C934&lt;P$20,3)</f>
        <v>1</v>
      </c>
      <c r="H934" s="43"/>
      <c r="I934" s="5"/>
      <c r="Y934" s="26"/>
    </row>
    <row r="935" spans="1:25" ht="12" customHeight="1">
      <c r="A935" s="96" t="s">
        <v>2397</v>
      </c>
      <c r="B935" s="97" t="s">
        <v>2398</v>
      </c>
      <c r="C935" s="27">
        <v>86.3</v>
      </c>
      <c r="D935" s="27">
        <v>0.19045899999999999</v>
      </c>
      <c r="E935" s="43"/>
      <c r="F935" s="29" cm="1">
        <f t="array" ref="F935">_xlfn.IFS(C935=":",":",C935&gt;=P$19,1,C935&gt;=P$20,2,C935&lt;P$20,3)</f>
        <v>1</v>
      </c>
      <c r="H935" s="43"/>
      <c r="I935" s="5"/>
      <c r="Y935" s="26"/>
    </row>
    <row r="936" spans="1:25" ht="12" customHeight="1">
      <c r="A936" s="96" t="s">
        <v>2399</v>
      </c>
      <c r="B936" s="97" t="s">
        <v>2907</v>
      </c>
      <c r="C936" s="27">
        <v>96.7</v>
      </c>
      <c r="D936" s="27">
        <v>2.5294270000000001</v>
      </c>
      <c r="E936" s="43"/>
      <c r="F936" s="29" cm="1">
        <f t="array" ref="F936">_xlfn.IFS(C936=":",":",C936&gt;=P$19,1,C936&gt;=P$20,2,C936&lt;P$20,3)</f>
        <v>1</v>
      </c>
      <c r="H936" s="43"/>
      <c r="I936" s="5"/>
      <c r="Y936" s="26"/>
    </row>
    <row r="937" spans="1:25" ht="12" customHeight="1">
      <c r="A937" s="96" t="s">
        <v>2400</v>
      </c>
      <c r="B937" s="97" t="s">
        <v>2401</v>
      </c>
      <c r="C937" s="27">
        <v>86</v>
      </c>
      <c r="D937" s="27">
        <v>4.9174309999999997</v>
      </c>
      <c r="E937" s="43"/>
      <c r="F937" s="29" cm="1">
        <f t="array" ref="F937">_xlfn.IFS(C937=":",":",C937&gt;=P$19,1,C937&gt;=P$20,2,C937&lt;P$20,3)</f>
        <v>1</v>
      </c>
      <c r="H937" s="43"/>
      <c r="I937" s="5"/>
      <c r="Y937" s="26"/>
    </row>
    <row r="938" spans="1:25" ht="12" customHeight="1">
      <c r="A938" s="96" t="s">
        <v>2402</v>
      </c>
      <c r="B938" s="97" t="s">
        <v>2908</v>
      </c>
      <c r="C938" s="27">
        <v>79.599999999999994</v>
      </c>
      <c r="D938" s="27">
        <v>0.54986199999999996</v>
      </c>
      <c r="E938" s="43"/>
      <c r="F938" s="29" cm="1">
        <f t="array" ref="F938">_xlfn.IFS(C938=":",":",C938&gt;=P$19,1,C938&gt;=P$20,2,C938&lt;P$20,3)</f>
        <v>1</v>
      </c>
      <c r="H938" s="43"/>
      <c r="I938" s="5"/>
      <c r="Y938" s="26"/>
    </row>
    <row r="939" spans="1:25" ht="12" customHeight="1">
      <c r="A939" s="96" t="s">
        <v>2403</v>
      </c>
      <c r="B939" s="97" t="s">
        <v>2909</v>
      </c>
      <c r="C939" s="27">
        <v>88.2</v>
      </c>
      <c r="D939" s="27">
        <v>0.38750899999999999</v>
      </c>
      <c r="E939" s="43"/>
      <c r="F939" s="29" cm="1">
        <f t="array" ref="F939">_xlfn.IFS(C939=":",":",C939&gt;=P$19,1,C939&gt;=P$20,2,C939&lt;P$20,3)</f>
        <v>1</v>
      </c>
      <c r="H939" s="43"/>
      <c r="I939" s="5"/>
      <c r="Y939" s="26"/>
    </row>
    <row r="940" spans="1:25" ht="12" customHeight="1">
      <c r="A940" s="96" t="s">
        <v>2404</v>
      </c>
      <c r="B940" s="97" t="s">
        <v>2405</v>
      </c>
      <c r="C940" s="27">
        <v>94.5</v>
      </c>
      <c r="D940" s="27">
        <v>3.196024</v>
      </c>
      <c r="E940" s="43"/>
      <c r="F940" s="29" cm="1">
        <f t="array" ref="F940">_xlfn.IFS(C940=":",":",C940&gt;=P$19,1,C940&gt;=P$20,2,C940&lt;P$20,3)</f>
        <v>1</v>
      </c>
      <c r="H940" s="43"/>
      <c r="I940" s="5"/>
      <c r="Y940" s="26"/>
    </row>
    <row r="941" spans="1:25" ht="12" customHeight="1">
      <c r="A941" s="96" t="s">
        <v>2406</v>
      </c>
      <c r="B941" s="97" t="s">
        <v>2407</v>
      </c>
      <c r="C941" s="27">
        <v>84</v>
      </c>
      <c r="D941" s="27">
        <v>0.22619800000000001</v>
      </c>
      <c r="E941" s="43"/>
      <c r="F941" s="29" cm="1">
        <f t="array" ref="F941">_xlfn.IFS(C941=":",":",C941&gt;=P$19,1,C941&gt;=P$20,2,C941&lt;P$20,3)</f>
        <v>1</v>
      </c>
      <c r="H941" s="43"/>
      <c r="I941" s="5"/>
      <c r="Y941" s="26"/>
    </row>
    <row r="942" spans="1:25" ht="12" customHeight="1">
      <c r="A942" s="96" t="s">
        <v>2408</v>
      </c>
      <c r="B942" s="97" t="s">
        <v>2409</v>
      </c>
      <c r="C942" s="27">
        <v>79.900000000000006</v>
      </c>
      <c r="D942" s="27">
        <v>0.319579</v>
      </c>
      <c r="E942" s="43"/>
      <c r="F942" s="29" cm="1">
        <f t="array" ref="F942">_xlfn.IFS(C942=":",":",C942&gt;=P$19,1,C942&gt;=P$20,2,C942&lt;P$20,3)</f>
        <v>1</v>
      </c>
      <c r="H942" s="43"/>
      <c r="I942" s="5"/>
      <c r="Y942" s="26"/>
    </row>
    <row r="943" spans="1:25" ht="12" customHeight="1">
      <c r="A943" s="96" t="s">
        <v>2410</v>
      </c>
      <c r="B943" s="97" t="s">
        <v>2411</v>
      </c>
      <c r="C943" s="27">
        <v>75.8</v>
      </c>
      <c r="D943" s="27">
        <v>0.40244099999999999</v>
      </c>
      <c r="E943" s="43"/>
      <c r="F943" s="29" cm="1">
        <f t="array" ref="F943">_xlfn.IFS(C943=":",":",C943&gt;=P$19,1,C943&gt;=P$20,2,C943&lt;P$20,3)</f>
        <v>1</v>
      </c>
      <c r="H943" s="43"/>
      <c r="I943" s="5"/>
      <c r="Y943" s="26"/>
    </row>
    <row r="944" spans="1:25" ht="12" customHeight="1">
      <c r="A944" s="96" t="s">
        <v>2412</v>
      </c>
      <c r="B944" s="97" t="s">
        <v>2413</v>
      </c>
      <c r="C944" s="27">
        <v>70</v>
      </c>
      <c r="D944" s="27">
        <v>0.94982800000000001</v>
      </c>
      <c r="E944" s="43"/>
      <c r="F944" s="29" cm="1">
        <f t="array" ref="F944">_xlfn.IFS(C944=":",":",C944&gt;=P$19,1,C944&gt;=P$20,2,C944&lt;P$20,3)</f>
        <v>1</v>
      </c>
      <c r="H944" s="43"/>
      <c r="I944" s="5"/>
      <c r="Y944" s="26"/>
    </row>
    <row r="945" spans="1:25" ht="12" customHeight="1">
      <c r="A945" s="96" t="s">
        <v>2414</v>
      </c>
      <c r="B945" s="97" t="s">
        <v>2415</v>
      </c>
      <c r="C945" s="27">
        <v>86.3</v>
      </c>
      <c r="D945" s="27">
        <v>0.49139899999999997</v>
      </c>
      <c r="E945" s="43"/>
      <c r="F945" s="29" cm="1">
        <f t="array" ref="F945">_xlfn.IFS(C945=":",":",C945&gt;=P$19,1,C945&gt;=P$20,2,C945&lt;P$20,3)</f>
        <v>1</v>
      </c>
      <c r="H945" s="43"/>
      <c r="I945" s="5"/>
      <c r="Y945" s="26"/>
    </row>
    <row r="946" spans="1:25" ht="12" customHeight="1">
      <c r="A946" s="96" t="s">
        <v>2416</v>
      </c>
      <c r="B946" s="97" t="s">
        <v>2417</v>
      </c>
      <c r="C946" s="27">
        <v>84.2</v>
      </c>
      <c r="D946" s="27">
        <v>0.18540300000000001</v>
      </c>
      <c r="E946" s="43"/>
      <c r="F946" s="29" cm="1">
        <f t="array" ref="F946">_xlfn.IFS(C946=":",":",C946&gt;=P$19,1,C946&gt;=P$20,2,C946&lt;P$20,3)</f>
        <v>1</v>
      </c>
      <c r="H946" s="43"/>
      <c r="I946" s="5"/>
      <c r="Y946" s="26"/>
    </row>
    <row r="947" spans="1:25" ht="12" customHeight="1">
      <c r="A947" s="96" t="s">
        <v>2418</v>
      </c>
      <c r="B947" s="97" t="s">
        <v>2419</v>
      </c>
      <c r="C947" s="27">
        <v>87.5</v>
      </c>
      <c r="D947" s="27">
        <v>0.259154</v>
      </c>
      <c r="E947" s="43"/>
      <c r="F947" s="29" cm="1">
        <f t="array" ref="F947">_xlfn.IFS(C947=":",":",C947&gt;=P$19,1,C947&gt;=P$20,2,C947&lt;P$20,3)</f>
        <v>1</v>
      </c>
      <c r="H947" s="43"/>
      <c r="I947" s="5"/>
      <c r="Y947" s="26"/>
    </row>
    <row r="948" spans="1:25" ht="12" customHeight="1">
      <c r="A948" s="100" t="s">
        <v>2420</v>
      </c>
      <c r="B948" s="99" t="s">
        <v>2910</v>
      </c>
      <c r="C948" s="27">
        <v>90.2</v>
      </c>
      <c r="D948" s="27">
        <v>0.62973800000000002</v>
      </c>
      <c r="E948" s="43"/>
      <c r="F948" s="29" cm="1">
        <f t="array" ref="F948">_xlfn.IFS(C948=":",":",C948&gt;=P$19,1,C948&gt;=P$20,2,C948&lt;P$20,3)</f>
        <v>1</v>
      </c>
      <c r="H948" s="43"/>
      <c r="I948" s="5"/>
      <c r="Y948" s="26"/>
    </row>
    <row r="949" spans="1:25" ht="12" customHeight="1">
      <c r="A949" s="100" t="s">
        <v>2421</v>
      </c>
      <c r="B949" s="99" t="s">
        <v>2911</v>
      </c>
      <c r="C949" s="27">
        <v>73.8</v>
      </c>
      <c r="D949" s="27">
        <v>1.487123</v>
      </c>
      <c r="E949" s="43"/>
      <c r="F949" s="29" cm="1">
        <f t="array" ref="F949">_xlfn.IFS(C949=":",":",C949&gt;=P$19,1,C949&gt;=P$20,2,C949&lt;P$20,3)</f>
        <v>1</v>
      </c>
      <c r="H949" s="43"/>
      <c r="I949" s="5"/>
      <c r="Y949" s="26"/>
    </row>
    <row r="950" spans="1:25" ht="12" customHeight="1">
      <c r="A950" s="96" t="s">
        <v>2422</v>
      </c>
      <c r="B950" s="97" t="s">
        <v>2423</v>
      </c>
      <c r="C950" s="27">
        <v>84.7</v>
      </c>
      <c r="D950" s="27">
        <v>0.34490999999999999</v>
      </c>
      <c r="E950" s="43"/>
      <c r="F950" s="29" cm="1">
        <f t="array" ref="F950">_xlfn.IFS(C950=":",":",C950&gt;=P$19,1,C950&gt;=P$20,2,C950&lt;P$20,3)</f>
        <v>1</v>
      </c>
      <c r="H950" s="43"/>
      <c r="I950" s="5"/>
      <c r="Y950" s="26"/>
    </row>
    <row r="951" spans="1:25" ht="12" customHeight="1">
      <c r="A951" s="96" t="s">
        <v>2424</v>
      </c>
      <c r="B951" s="97" t="s">
        <v>2912</v>
      </c>
      <c r="C951" s="27">
        <v>91.6</v>
      </c>
      <c r="D951" s="27">
        <v>0.61582400000000004</v>
      </c>
      <c r="E951" s="43"/>
      <c r="F951" s="29" cm="1">
        <f t="array" ref="F951">_xlfn.IFS(C951=":",":",C951&gt;=P$19,1,C951&gt;=P$20,2,C951&lt;P$20,3)</f>
        <v>1</v>
      </c>
      <c r="H951" s="43"/>
      <c r="I951" s="5"/>
      <c r="Y951" s="26"/>
    </row>
    <row r="952" spans="1:25" ht="12" customHeight="1">
      <c r="A952" s="96" t="s">
        <v>2425</v>
      </c>
      <c r="B952" s="97" t="s">
        <v>2913</v>
      </c>
      <c r="C952" s="27">
        <v>86</v>
      </c>
      <c r="D952" s="27">
        <v>0.51557799999999998</v>
      </c>
      <c r="E952" s="43"/>
      <c r="F952" s="29" cm="1">
        <f t="array" ref="F952">_xlfn.IFS(C952=":",":",C952&gt;=P$19,1,C952&gt;=P$20,2,C952&lt;P$20,3)</f>
        <v>1</v>
      </c>
      <c r="H952" s="43"/>
      <c r="I952" s="5"/>
      <c r="Y952" s="26"/>
    </row>
    <row r="953" spans="1:25" ht="12" customHeight="1">
      <c r="A953" s="96" t="s">
        <v>2426</v>
      </c>
      <c r="B953" s="97" t="s">
        <v>2427</v>
      </c>
      <c r="C953" s="27">
        <v>63.2</v>
      </c>
      <c r="D953" s="27">
        <v>1.07081</v>
      </c>
      <c r="E953" s="43"/>
      <c r="F953" s="29" cm="1">
        <f t="array" ref="F953">_xlfn.IFS(C953=":",":",C953&gt;=P$19,1,C953&gt;=P$20,2,C953&lt;P$20,3)</f>
        <v>2</v>
      </c>
      <c r="H953" s="43"/>
      <c r="I953" s="5"/>
      <c r="Y953" s="26"/>
    </row>
    <row r="954" spans="1:25" ht="12" customHeight="1">
      <c r="A954" s="96" t="s">
        <v>2428</v>
      </c>
      <c r="B954" s="97" t="s">
        <v>2914</v>
      </c>
      <c r="C954" s="27">
        <v>86</v>
      </c>
      <c r="D954" s="27">
        <v>9.1834910000000001</v>
      </c>
      <c r="E954" s="43"/>
      <c r="F954" s="29" cm="1">
        <f t="array" ref="F954">_xlfn.IFS(C954=":",":",C954&gt;=P$19,1,C954&gt;=P$20,2,C954&lt;P$20,3)</f>
        <v>1</v>
      </c>
      <c r="H954" s="43"/>
      <c r="I954" s="5"/>
      <c r="Y954" s="26"/>
    </row>
    <row r="955" spans="1:25" ht="12" customHeight="1">
      <c r="A955" s="96" t="s">
        <v>2429</v>
      </c>
      <c r="B955" s="97" t="s">
        <v>2430</v>
      </c>
      <c r="C955" s="27">
        <v>88.7</v>
      </c>
      <c r="D955" s="27">
        <v>0.483796</v>
      </c>
      <c r="E955" s="43"/>
      <c r="F955" s="29" cm="1">
        <f t="array" ref="F955">_xlfn.IFS(C955=":",":",C955&gt;=P$19,1,C955&gt;=P$20,2,C955&lt;P$20,3)</f>
        <v>1</v>
      </c>
      <c r="H955" s="43"/>
      <c r="I955" s="5"/>
      <c r="Y955" s="26"/>
    </row>
    <row r="956" spans="1:25" ht="12" customHeight="1">
      <c r="A956" s="96" t="s">
        <v>2431</v>
      </c>
      <c r="B956" s="97" t="s">
        <v>2915</v>
      </c>
      <c r="C956" s="27">
        <v>70.099999999999994</v>
      </c>
      <c r="D956" s="27">
        <v>5.7867090000000001</v>
      </c>
      <c r="E956" s="43"/>
      <c r="F956" s="29" cm="1">
        <f t="array" ref="F956">_xlfn.IFS(C956=":",":",C956&gt;=P$19,1,C956&gt;=P$20,2,C956&lt;P$20,3)</f>
        <v>1</v>
      </c>
      <c r="H956" s="43"/>
      <c r="I956" s="5"/>
      <c r="Y956" s="26"/>
    </row>
    <row r="957" spans="1:25" ht="12" customHeight="1">
      <c r="A957" s="96" t="s">
        <v>2432</v>
      </c>
      <c r="B957" s="97" t="s">
        <v>2433</v>
      </c>
      <c r="C957" s="27">
        <v>73.3</v>
      </c>
      <c r="D957" s="27">
        <v>0.73565000000000003</v>
      </c>
      <c r="E957" s="43"/>
      <c r="F957" s="29" cm="1">
        <f t="array" ref="F957">_xlfn.IFS(C957=":",":",C957&gt;=P$19,1,C957&gt;=P$20,2,C957&lt;P$20,3)</f>
        <v>1</v>
      </c>
      <c r="H957" s="43"/>
      <c r="I957" s="5"/>
      <c r="Y957" s="26"/>
    </row>
    <row r="958" spans="1:25" ht="12" customHeight="1">
      <c r="A958" s="96" t="s">
        <v>2434</v>
      </c>
      <c r="B958" s="97" t="s">
        <v>2435</v>
      </c>
      <c r="C958" s="27">
        <v>80.900000000000006</v>
      </c>
      <c r="D958" s="27">
        <v>0.73112500000000002</v>
      </c>
      <c r="E958" s="43"/>
      <c r="F958" s="29" cm="1">
        <f t="array" ref="F958">_xlfn.IFS(C958=":",":",C958&gt;=P$19,1,C958&gt;=P$20,2,C958&lt;P$20,3)</f>
        <v>1</v>
      </c>
      <c r="H958" s="43"/>
      <c r="I958" s="5"/>
      <c r="Y958" s="26"/>
    </row>
    <row r="959" spans="1:25" ht="12" customHeight="1">
      <c r="A959" s="96" t="s">
        <v>2436</v>
      </c>
      <c r="B959" s="97" t="s">
        <v>2916</v>
      </c>
      <c r="C959" s="27">
        <v>69.400000000000006</v>
      </c>
      <c r="D959" s="27">
        <v>2.3261500000000002</v>
      </c>
      <c r="E959" s="43"/>
      <c r="F959" s="29" cm="1">
        <f t="array" ref="F959">_xlfn.IFS(C959=":",":",C959&gt;=P$19,1,C959&gt;=P$20,2,C959&lt;P$20,3)</f>
        <v>1</v>
      </c>
      <c r="H959" s="43"/>
      <c r="I959" s="5"/>
      <c r="Y959" s="26"/>
    </row>
    <row r="960" spans="1:25" ht="12" customHeight="1">
      <c r="A960" s="96" t="s">
        <v>2437</v>
      </c>
      <c r="B960" s="97" t="s">
        <v>2438</v>
      </c>
      <c r="C960" s="27">
        <v>85</v>
      </c>
      <c r="D960" s="27">
        <v>5.1528080000000003</v>
      </c>
      <c r="E960" s="43"/>
      <c r="F960" s="29" cm="1">
        <f t="array" ref="F960">_xlfn.IFS(C960=":",":",C960&gt;=P$19,1,C960&gt;=P$20,2,C960&lt;P$20,3)</f>
        <v>1</v>
      </c>
      <c r="H960" s="43"/>
      <c r="I960" s="5"/>
      <c r="Y960" s="26"/>
    </row>
    <row r="961" spans="1:25" ht="12" customHeight="1">
      <c r="A961" s="96" t="s">
        <v>2439</v>
      </c>
      <c r="B961" s="97" t="s">
        <v>2917</v>
      </c>
      <c r="C961" s="27">
        <v>78</v>
      </c>
      <c r="D961" s="27">
        <v>0.37513299999999999</v>
      </c>
      <c r="E961" s="43"/>
      <c r="F961" s="29" cm="1">
        <f t="array" ref="F961">_xlfn.IFS(C961=":",":",C961&gt;=P$19,1,C961&gt;=P$20,2,C961&lt;P$20,3)</f>
        <v>1</v>
      </c>
      <c r="H961" s="43"/>
      <c r="I961" s="5"/>
      <c r="Y961" s="26"/>
    </row>
    <row r="962" spans="1:25" ht="12" customHeight="1">
      <c r="A962" s="96" t="s">
        <v>2440</v>
      </c>
      <c r="B962" s="97" t="s">
        <v>2918</v>
      </c>
      <c r="C962" s="27">
        <v>94.6</v>
      </c>
      <c r="D962" s="27">
        <v>2.861208</v>
      </c>
      <c r="E962" s="43"/>
      <c r="F962" s="29" cm="1">
        <f t="array" ref="F962">_xlfn.IFS(C962=":",":",C962&gt;=P$19,1,C962&gt;=P$20,2,C962&lt;P$20,3)</f>
        <v>1</v>
      </c>
      <c r="H962" s="43"/>
      <c r="I962" s="5"/>
      <c r="Y962" s="26"/>
    </row>
    <row r="963" spans="1:25" ht="12" customHeight="1">
      <c r="A963" s="96" t="s">
        <v>2441</v>
      </c>
      <c r="B963" s="97" t="s">
        <v>2919</v>
      </c>
      <c r="C963" s="27">
        <v>82.9</v>
      </c>
      <c r="D963" s="27">
        <v>0.54129300000000002</v>
      </c>
      <c r="E963" s="43"/>
      <c r="F963" s="29" cm="1">
        <f t="array" ref="F963">_xlfn.IFS(C963=":",":",C963&gt;=P$19,1,C963&gt;=P$20,2,C963&lt;P$20,3)</f>
        <v>1</v>
      </c>
      <c r="H963" s="43"/>
      <c r="I963" s="5"/>
      <c r="Y963" s="26"/>
    </row>
    <row r="964" spans="1:25" ht="12" customHeight="1">
      <c r="A964" s="96" t="s">
        <v>2442</v>
      </c>
      <c r="B964" s="97" t="s">
        <v>2443</v>
      </c>
      <c r="C964" s="27">
        <v>94.3</v>
      </c>
      <c r="D964" s="27">
        <v>0.31817000000000001</v>
      </c>
      <c r="E964" s="59"/>
      <c r="F964" s="29" cm="1">
        <f t="array" ref="F964">_xlfn.IFS(C964=":",":",C964&gt;=P$19,1,C964&gt;=P$20,2,C964&lt;P$20,3)</f>
        <v>1</v>
      </c>
      <c r="H964" s="43"/>
      <c r="I964" s="5"/>
      <c r="Y964" s="26"/>
    </row>
    <row r="965" spans="1:25" ht="12" customHeight="1">
      <c r="A965" s="96" t="s">
        <v>2444</v>
      </c>
      <c r="B965" s="97" t="s">
        <v>2445</v>
      </c>
      <c r="C965" s="27">
        <v>84.1</v>
      </c>
      <c r="D965" s="27">
        <v>0.45402799999999999</v>
      </c>
      <c r="E965" s="59"/>
      <c r="F965" s="29" cm="1">
        <f t="array" ref="F965">_xlfn.IFS(C965=":",":",C965&gt;=P$19,1,C965&gt;=P$20,2,C965&lt;P$20,3)</f>
        <v>1</v>
      </c>
      <c r="H965" s="43"/>
      <c r="I965" s="5"/>
      <c r="Y965" s="26"/>
    </row>
    <row r="966" spans="1:25" ht="12" customHeight="1">
      <c r="A966" s="96" t="s">
        <v>2446</v>
      </c>
      <c r="B966" s="97" t="s">
        <v>2920</v>
      </c>
      <c r="C966" s="27">
        <v>86.4</v>
      </c>
      <c r="D966" s="27">
        <v>1.3148599999999999</v>
      </c>
      <c r="E966" s="59"/>
      <c r="F966" s="29" cm="1">
        <f t="array" ref="F966">_xlfn.IFS(C966=":",":",C966&gt;=P$19,1,C966&gt;=P$20,2,C966&lt;P$20,3)</f>
        <v>1</v>
      </c>
      <c r="H966" s="43"/>
      <c r="I966" s="5"/>
      <c r="Y966" s="26"/>
    </row>
    <row r="967" spans="1:25" ht="12" customHeight="1">
      <c r="A967" s="96" t="s">
        <v>2447</v>
      </c>
      <c r="B967" s="97" t="s">
        <v>2921</v>
      </c>
      <c r="C967" s="27">
        <v>94.1</v>
      </c>
      <c r="D967" s="27">
        <v>0.31365700000000002</v>
      </c>
      <c r="E967" s="59"/>
      <c r="F967" s="29" cm="1">
        <f t="array" ref="F967">_xlfn.IFS(C967=":",":",C967&gt;=P$19,1,C967&gt;=P$20,2,C967&lt;P$20,3)</f>
        <v>1</v>
      </c>
      <c r="H967" s="43"/>
      <c r="I967" s="5"/>
      <c r="Y967" s="26"/>
    </row>
    <row r="968" spans="1:25" ht="12" customHeight="1">
      <c r="A968" s="96" t="s">
        <v>2448</v>
      </c>
      <c r="B968" s="97" t="s">
        <v>2922</v>
      </c>
      <c r="C968" s="27">
        <v>98.6</v>
      </c>
      <c r="D968" s="27">
        <v>0.96098799999999995</v>
      </c>
      <c r="E968" s="59"/>
      <c r="F968" s="29" cm="1">
        <f t="array" ref="F968">_xlfn.IFS(C968=":",":",C968&gt;=P$19,1,C968&gt;=P$20,2,C968&lt;P$20,3)</f>
        <v>1</v>
      </c>
      <c r="H968" s="43"/>
      <c r="I968" s="5"/>
      <c r="Y968" s="26"/>
    </row>
    <row r="969" spans="1:25" ht="12" customHeight="1">
      <c r="A969" s="96" t="s">
        <v>2449</v>
      </c>
      <c r="B969" s="97" t="s">
        <v>2923</v>
      </c>
      <c r="C969" s="27">
        <v>96.4</v>
      </c>
      <c r="D969" s="27">
        <v>0.230631</v>
      </c>
      <c r="E969" s="59"/>
      <c r="F969" s="29" cm="1">
        <f t="array" ref="F969">_xlfn.IFS(C969=":",":",C969&gt;=P$19,1,C969&gt;=P$20,2,C969&lt;P$20,3)</f>
        <v>1</v>
      </c>
      <c r="H969" s="43"/>
      <c r="I969" s="5"/>
      <c r="Y969" s="26"/>
    </row>
    <row r="970" spans="1:25" ht="12" customHeight="1">
      <c r="A970" s="96" t="s">
        <v>2450</v>
      </c>
      <c r="B970" s="97" t="s">
        <v>2924</v>
      </c>
      <c r="C970" s="27">
        <v>99.2</v>
      </c>
      <c r="D970" s="27">
        <v>1.9053329999999999</v>
      </c>
      <c r="E970" s="59"/>
      <c r="F970" s="29" cm="1">
        <f t="array" ref="F970">_xlfn.IFS(C970=":",":",C970&gt;=P$19,1,C970&gt;=P$20,2,C970&lt;P$20,3)</f>
        <v>1</v>
      </c>
      <c r="H970" s="43"/>
      <c r="I970" s="5"/>
      <c r="Y970" s="26"/>
    </row>
    <row r="971" spans="1:25" ht="12" customHeight="1">
      <c r="A971" s="96" t="s">
        <v>2451</v>
      </c>
      <c r="B971" s="97" t="s">
        <v>2925</v>
      </c>
      <c r="C971" s="27">
        <v>93.6</v>
      </c>
      <c r="D971" s="27">
        <v>0.68925800000000004</v>
      </c>
      <c r="E971" s="59"/>
      <c r="F971" s="29" cm="1">
        <f t="array" ref="F971">_xlfn.IFS(C971=":",":",C971&gt;=P$19,1,C971&gt;=P$20,2,C971&lt;P$20,3)</f>
        <v>1</v>
      </c>
      <c r="H971" s="43"/>
      <c r="I971" s="5"/>
      <c r="Y971" s="26"/>
    </row>
    <row r="972" spans="1:25" ht="12" customHeight="1">
      <c r="A972" s="96" t="s">
        <v>2452</v>
      </c>
      <c r="B972" s="97" t="s">
        <v>2926</v>
      </c>
      <c r="C972" s="27">
        <v>92.6</v>
      </c>
      <c r="D972" s="27">
        <v>1.829223</v>
      </c>
      <c r="E972" s="59"/>
      <c r="F972" s="29" cm="1">
        <f t="array" ref="F972">_xlfn.IFS(C972=":",":",C972&gt;=P$19,1,C972&gt;=P$20,2,C972&lt;P$20,3)</f>
        <v>1</v>
      </c>
      <c r="H972" s="43"/>
      <c r="I972" s="5"/>
      <c r="Y972" s="26"/>
    </row>
    <row r="973" spans="1:25" ht="12" customHeight="1">
      <c r="A973" s="96" t="s">
        <v>2453</v>
      </c>
      <c r="B973" s="97" t="s">
        <v>2927</v>
      </c>
      <c r="C973" s="27">
        <v>93.8</v>
      </c>
      <c r="D973" s="27">
        <v>0.96281600000000001</v>
      </c>
      <c r="E973" s="59"/>
      <c r="F973" s="29" cm="1">
        <f t="array" ref="F973">_xlfn.IFS(C973=":",":",C973&gt;=P$19,1,C973&gt;=P$20,2,C973&lt;P$20,3)</f>
        <v>1</v>
      </c>
      <c r="H973" s="43"/>
      <c r="I973" s="5"/>
      <c r="Y973" s="26"/>
    </row>
    <row r="974" spans="1:25" ht="12" customHeight="1">
      <c r="A974" s="96" t="s">
        <v>2454</v>
      </c>
      <c r="B974" s="97" t="s">
        <v>2928</v>
      </c>
      <c r="C974" s="27">
        <v>71.2</v>
      </c>
      <c r="D974" s="27">
        <v>4.8461189999999998</v>
      </c>
      <c r="E974" s="59"/>
      <c r="F974" s="29" cm="1">
        <f t="array" ref="F974">_xlfn.IFS(C974=":",":",C974&gt;=P$19,1,C974&gt;=P$20,2,C974&lt;P$20,3)</f>
        <v>1</v>
      </c>
      <c r="H974" s="43"/>
      <c r="I974" s="5"/>
      <c r="Y974" s="26"/>
    </row>
    <row r="975" spans="1:25" ht="12" customHeight="1">
      <c r="A975" s="96" t="s">
        <v>2455</v>
      </c>
      <c r="B975" s="97" t="s">
        <v>2929</v>
      </c>
      <c r="C975" s="27">
        <v>97.5</v>
      </c>
      <c r="D975" s="27">
        <v>3.2146469999999998</v>
      </c>
      <c r="E975" s="59"/>
      <c r="F975" s="29" cm="1">
        <f t="array" ref="F975">_xlfn.IFS(C975=":",":",C975&gt;=P$19,1,C975&gt;=P$20,2,C975&lt;P$20,3)</f>
        <v>1</v>
      </c>
      <c r="H975" s="43"/>
      <c r="I975" s="5"/>
      <c r="Y975" s="26"/>
    </row>
    <row r="976" spans="1:25" ht="12" customHeight="1">
      <c r="A976" s="96" t="s">
        <v>2456</v>
      </c>
      <c r="B976" s="97" t="s">
        <v>2930</v>
      </c>
      <c r="C976" s="27">
        <v>95.5</v>
      </c>
      <c r="D976" s="27">
        <v>1.986551</v>
      </c>
      <c r="E976" s="59"/>
      <c r="F976" s="29" cm="1">
        <f t="array" ref="F976">_xlfn.IFS(C976=":",":",C976&gt;=P$19,1,C976&gt;=P$20,2,C976&lt;P$20,3)</f>
        <v>1</v>
      </c>
      <c r="H976" s="43"/>
      <c r="I976" s="5"/>
      <c r="Y976" s="26"/>
    </row>
    <row r="977" spans="1:25" ht="12" customHeight="1">
      <c r="A977" s="96" t="s">
        <v>2457</v>
      </c>
      <c r="B977" s="97" t="s">
        <v>2458</v>
      </c>
      <c r="C977" s="27">
        <v>98.1</v>
      </c>
      <c r="D977" s="27">
        <v>0.55771800000000005</v>
      </c>
      <c r="E977" s="59"/>
      <c r="F977" s="29" cm="1">
        <f t="array" ref="F977">_xlfn.IFS(C977=":",":",C977&gt;=P$19,1,C977&gt;=P$20,2,C977&lt;P$20,3)</f>
        <v>1</v>
      </c>
      <c r="H977" s="43"/>
      <c r="Y977" s="26"/>
    </row>
    <row r="978" spans="1:25" s="29" customFormat="1" ht="12" customHeight="1">
      <c r="A978" s="96" t="s">
        <v>2459</v>
      </c>
      <c r="B978" s="97" t="s">
        <v>2460</v>
      </c>
      <c r="C978" s="27">
        <v>89.9</v>
      </c>
      <c r="D978" s="27">
        <v>0.31007000000000001</v>
      </c>
      <c r="E978" s="59"/>
      <c r="F978" s="29" cm="1">
        <f t="array" ref="F978">_xlfn.IFS(C978=":",":",C978&gt;=P$19,1,C978&gt;=P$20,2,C978&lt;P$20,3)</f>
        <v>1</v>
      </c>
      <c r="H978" s="43"/>
      <c r="I978" s="44"/>
      <c r="Y978" s="26"/>
    </row>
    <row r="979" spans="1:25" s="29" customFormat="1" ht="12" customHeight="1">
      <c r="A979" s="96" t="s">
        <v>2461</v>
      </c>
      <c r="B979" s="97" t="s">
        <v>2931</v>
      </c>
      <c r="C979" s="27">
        <v>83.4</v>
      </c>
      <c r="D979" s="27">
        <v>1.1343289999999999</v>
      </c>
      <c r="E979" s="59"/>
      <c r="F979" s="29" cm="1">
        <f t="array" ref="F979">_xlfn.IFS(C979=":",":",C979&gt;=P$19,1,C979&gt;=P$20,2,C979&lt;P$20,3)</f>
        <v>1</v>
      </c>
      <c r="H979" s="43"/>
      <c r="I979" s="44"/>
      <c r="Y979" s="26"/>
    </row>
    <row r="980" spans="1:25" s="29" customFormat="1" ht="12" customHeight="1">
      <c r="A980" s="96" t="s">
        <v>2462</v>
      </c>
      <c r="B980" s="97" t="s">
        <v>2932</v>
      </c>
      <c r="C980" s="27">
        <v>91.4</v>
      </c>
      <c r="D980" s="27">
        <v>0.290464</v>
      </c>
      <c r="E980" s="43"/>
      <c r="F980" s="29" cm="1">
        <f t="array" ref="F980">_xlfn.IFS(C980=":",":",C980&gt;=P$19,1,C980&gt;=P$20,2,C980&lt;P$20,3)</f>
        <v>1</v>
      </c>
      <c r="H980" s="43"/>
      <c r="I980" s="44"/>
      <c r="Y980" s="26"/>
    </row>
    <row r="981" spans="1:25" s="29" customFormat="1" ht="12" customHeight="1">
      <c r="A981" s="96" t="s">
        <v>2463</v>
      </c>
      <c r="B981" s="97" t="s">
        <v>2464</v>
      </c>
      <c r="C981" s="27">
        <v>90.1</v>
      </c>
      <c r="D981" s="27">
        <v>0.54771899999999996</v>
      </c>
      <c r="E981" s="43"/>
      <c r="F981" s="29" cm="1">
        <f t="array" ref="F981">_xlfn.IFS(C981=":",":",C981&gt;=P$19,1,C981&gt;=P$20,2,C981&lt;P$20,3)</f>
        <v>1</v>
      </c>
      <c r="H981" s="43"/>
      <c r="I981" s="44"/>
      <c r="Y981" s="26"/>
    </row>
    <row r="982" spans="1:25" s="29" customFormat="1" ht="12" customHeight="1">
      <c r="A982" s="96" t="s">
        <v>2465</v>
      </c>
      <c r="B982" s="97" t="s">
        <v>2466</v>
      </c>
      <c r="C982" s="27">
        <v>95.7</v>
      </c>
      <c r="D982" s="27">
        <v>0.43641400000000002</v>
      </c>
      <c r="E982" s="43"/>
      <c r="F982" s="29" cm="1">
        <f t="array" ref="F982">_xlfn.IFS(C982=":",":",C982&gt;=P$19,1,C982&gt;=P$20,2,C982&lt;P$20,3)</f>
        <v>1</v>
      </c>
      <c r="H982" s="43"/>
      <c r="I982" s="44"/>
      <c r="Y982" s="26"/>
    </row>
    <row r="983" spans="1:25" s="29" customFormat="1" ht="12" customHeight="1">
      <c r="A983" s="96" t="s">
        <v>2467</v>
      </c>
      <c r="B983" s="97" t="s">
        <v>2468</v>
      </c>
      <c r="C983" s="27">
        <v>91.3</v>
      </c>
      <c r="D983" s="27">
        <v>0.15817300000000001</v>
      </c>
      <c r="E983" s="43"/>
      <c r="F983" s="29" cm="1">
        <f t="array" ref="F983">_xlfn.IFS(C983=":",":",C983&gt;=P$19,1,C983&gt;=P$20,2,C983&lt;P$20,3)</f>
        <v>1</v>
      </c>
      <c r="H983" s="43"/>
      <c r="I983" s="44"/>
      <c r="Y983" s="26"/>
    </row>
    <row r="984" spans="1:25" s="29" customFormat="1" ht="12" customHeight="1">
      <c r="A984" s="96" t="s">
        <v>2469</v>
      </c>
      <c r="B984" s="97" t="s">
        <v>2470</v>
      </c>
      <c r="C984" s="27">
        <v>89.3</v>
      </c>
      <c r="D984" s="27">
        <v>0.96836699999999998</v>
      </c>
      <c r="E984" s="43"/>
      <c r="F984" s="29" cm="1">
        <f t="array" ref="F984">_xlfn.IFS(C984=":",":",C984&gt;=P$19,1,C984&gt;=P$20,2,C984&lt;P$20,3)</f>
        <v>1</v>
      </c>
      <c r="H984" s="43"/>
      <c r="I984" s="44"/>
      <c r="Y984" s="26"/>
    </row>
    <row r="985" spans="1:25" s="29" customFormat="1" ht="12" customHeight="1">
      <c r="A985" s="96" t="s">
        <v>2471</v>
      </c>
      <c r="B985" s="97" t="s">
        <v>2933</v>
      </c>
      <c r="C985" s="27">
        <v>97.9</v>
      </c>
      <c r="D985" s="27">
        <v>1.076165</v>
      </c>
      <c r="E985" s="43"/>
      <c r="F985" s="29" cm="1">
        <f t="array" ref="F985">_xlfn.IFS(C985=":",":",C985&gt;=P$19,1,C985&gt;=P$20,2,C985&lt;P$20,3)</f>
        <v>1</v>
      </c>
      <c r="H985" s="43"/>
      <c r="I985" s="44"/>
      <c r="Y985" s="26"/>
    </row>
    <row r="986" spans="1:25" s="29" customFormat="1" ht="12" customHeight="1">
      <c r="A986" s="96" t="s">
        <v>2472</v>
      </c>
      <c r="B986" s="97" t="s">
        <v>2473</v>
      </c>
      <c r="C986" s="27">
        <v>89.6</v>
      </c>
      <c r="D986" s="27">
        <v>0.30845099999999998</v>
      </c>
      <c r="E986" s="43"/>
      <c r="F986" s="29" cm="1">
        <f t="array" ref="F986">_xlfn.IFS(C986=":",":",C986&gt;=P$19,1,C986&gt;=P$20,2,C986&lt;P$20,3)</f>
        <v>1</v>
      </c>
      <c r="H986" s="43"/>
      <c r="I986" s="44"/>
      <c r="Y986" s="26"/>
    </row>
    <row r="987" spans="1:25" s="29" customFormat="1" ht="12" customHeight="1">
      <c r="A987" s="96" t="s">
        <v>2474</v>
      </c>
      <c r="B987" s="97" t="s">
        <v>2934</v>
      </c>
      <c r="C987" s="27">
        <v>91.6</v>
      </c>
      <c r="D987" s="27">
        <v>0.54284900000000003</v>
      </c>
      <c r="E987" s="43"/>
      <c r="F987" s="29" cm="1">
        <f t="array" ref="F987">_xlfn.IFS(C987=":",":",C987&gt;=P$19,1,C987&gt;=P$20,2,C987&lt;P$20,3)</f>
        <v>1</v>
      </c>
      <c r="H987" s="43"/>
      <c r="I987" s="44"/>
      <c r="Y987" s="26"/>
    </row>
    <row r="988" spans="1:25" s="29" customFormat="1" ht="12" customHeight="1">
      <c r="A988" s="96" t="s">
        <v>2475</v>
      </c>
      <c r="B988" s="97" t="s">
        <v>2476</v>
      </c>
      <c r="C988" s="27">
        <v>84.1</v>
      </c>
      <c r="D988" s="27">
        <v>0.808867</v>
      </c>
      <c r="E988" s="43"/>
      <c r="F988" s="29" cm="1">
        <f t="array" ref="F988">_xlfn.IFS(C988=":",":",C988&gt;=P$19,1,C988&gt;=P$20,2,C988&lt;P$20,3)</f>
        <v>1</v>
      </c>
      <c r="H988" s="43"/>
      <c r="I988" s="44"/>
      <c r="Y988" s="26"/>
    </row>
    <row r="989" spans="1:25" s="29" customFormat="1" ht="12" customHeight="1">
      <c r="A989" s="96" t="s">
        <v>2477</v>
      </c>
      <c r="B989" s="97" t="s">
        <v>2935</v>
      </c>
      <c r="C989" s="27">
        <v>98</v>
      </c>
      <c r="D989" s="27">
        <v>0.72244200000000003</v>
      </c>
      <c r="E989" s="43"/>
      <c r="F989" s="29" cm="1">
        <f t="array" ref="F989">_xlfn.IFS(C989=":",":",C989&gt;=P$19,1,C989&gt;=P$20,2,C989&lt;P$20,3)</f>
        <v>1</v>
      </c>
      <c r="H989" s="43"/>
      <c r="I989" s="44"/>
      <c r="Y989" s="26"/>
    </row>
    <row r="990" spans="1:25" s="29" customFormat="1" ht="12" customHeight="1">
      <c r="A990" s="96" t="s">
        <v>2478</v>
      </c>
      <c r="B990" s="97" t="s">
        <v>2936</v>
      </c>
      <c r="C990" s="27">
        <v>98.4</v>
      </c>
      <c r="D990" s="27">
        <v>1.8936919999999999</v>
      </c>
      <c r="E990" s="43"/>
      <c r="F990" s="29" cm="1">
        <f t="array" ref="F990">_xlfn.IFS(C990=":",":",C990&gt;=P$19,1,C990&gt;=P$20,2,C990&lt;P$20,3)</f>
        <v>1</v>
      </c>
      <c r="H990" s="43"/>
      <c r="I990" s="44"/>
      <c r="Y990" s="26"/>
    </row>
    <row r="991" spans="1:25" s="29" customFormat="1" ht="12" customHeight="1">
      <c r="A991" s="96" t="s">
        <v>2479</v>
      </c>
      <c r="B991" s="97" t="s">
        <v>2480</v>
      </c>
      <c r="C991" s="27">
        <v>88.3</v>
      </c>
      <c r="D991" s="27">
        <v>0.52902700000000003</v>
      </c>
      <c r="E991" s="43"/>
      <c r="F991" s="29" cm="1">
        <f t="array" ref="F991">_xlfn.IFS(C991=":",":",C991&gt;=P$19,1,C991&gt;=P$20,2,C991&lt;P$20,3)</f>
        <v>1</v>
      </c>
      <c r="H991" s="43"/>
      <c r="I991" s="44"/>
      <c r="Y991" s="26"/>
    </row>
    <row r="992" spans="1:25" s="29" customFormat="1" ht="12" customHeight="1">
      <c r="A992" s="96" t="s">
        <v>2481</v>
      </c>
      <c r="B992" s="97" t="s">
        <v>2482</v>
      </c>
      <c r="C992" s="27">
        <v>72.2</v>
      </c>
      <c r="D992" s="27">
        <v>0.79338600000000004</v>
      </c>
      <c r="E992" s="43"/>
      <c r="F992" s="29" cm="1">
        <f t="array" ref="F992">_xlfn.IFS(C992=":",":",C992&gt;=P$19,1,C992&gt;=P$20,2,C992&lt;P$20,3)</f>
        <v>1</v>
      </c>
      <c r="H992" s="43"/>
      <c r="I992" s="44"/>
      <c r="Y992" s="26"/>
    </row>
    <row r="993" spans="1:25" s="29" customFormat="1" ht="12" customHeight="1">
      <c r="A993" s="96" t="s">
        <v>2483</v>
      </c>
      <c r="B993" s="97" t="s">
        <v>2484</v>
      </c>
      <c r="C993" s="27">
        <v>84</v>
      </c>
      <c r="D993" s="27">
        <v>0.35375299999999998</v>
      </c>
      <c r="E993" s="43"/>
      <c r="F993" s="29" cm="1">
        <f t="array" ref="F993">_xlfn.IFS(C993=":",":",C993&gt;=P$19,1,C993&gt;=P$20,2,C993&lt;P$20,3)</f>
        <v>1</v>
      </c>
      <c r="H993" s="43"/>
      <c r="I993" s="44"/>
      <c r="Y993" s="26"/>
    </row>
    <row r="994" spans="1:25" ht="12" customHeight="1">
      <c r="A994" s="96" t="s">
        <v>2485</v>
      </c>
      <c r="B994" s="97" t="s">
        <v>2937</v>
      </c>
      <c r="C994" s="27">
        <v>84.9</v>
      </c>
      <c r="D994" s="27">
        <v>0.490643</v>
      </c>
      <c r="E994" s="43"/>
      <c r="F994" s="29" cm="1">
        <f t="array" ref="F994">_xlfn.IFS(C994=":",":",C994&gt;=P$19,1,C994&gt;=P$20,2,C994&lt;P$20,3)</f>
        <v>1</v>
      </c>
      <c r="H994" s="43"/>
      <c r="Y994" s="26"/>
    </row>
    <row r="995" spans="1:25" ht="12" customHeight="1">
      <c r="A995" s="96" t="s">
        <v>2486</v>
      </c>
      <c r="B995" s="97" t="s">
        <v>2938</v>
      </c>
      <c r="C995" s="27">
        <v>93</v>
      </c>
      <c r="D995" s="27">
        <v>0.33804499999999998</v>
      </c>
      <c r="E995" s="43"/>
      <c r="F995" s="29" cm="1">
        <f t="array" ref="F995">_xlfn.IFS(C995=":",":",C995&gt;=P$19,1,C995&gt;=P$20,2,C995&lt;P$20,3)</f>
        <v>1</v>
      </c>
      <c r="H995" s="43"/>
      <c r="Y995" s="26"/>
    </row>
    <row r="996" spans="1:25" ht="12" customHeight="1">
      <c r="A996" s="96" t="s">
        <v>2487</v>
      </c>
      <c r="B996" s="97" t="s">
        <v>2488</v>
      </c>
      <c r="C996" s="27">
        <v>90.6</v>
      </c>
      <c r="D996" s="27">
        <v>0.45112799999999997</v>
      </c>
      <c r="E996" s="43"/>
      <c r="F996" s="29" cm="1">
        <f t="array" ref="F996">_xlfn.IFS(C996=":",":",C996&gt;=P$19,1,C996&gt;=P$20,2,C996&lt;P$20,3)</f>
        <v>1</v>
      </c>
      <c r="H996" s="43"/>
      <c r="Y996" s="26"/>
    </row>
    <row r="997" spans="1:25" ht="12" customHeight="1">
      <c r="A997" s="96" t="s">
        <v>2489</v>
      </c>
      <c r="B997" s="97" t="s">
        <v>2490</v>
      </c>
      <c r="C997" s="27">
        <v>65.8</v>
      </c>
      <c r="D997" s="27">
        <v>8.0217399999999994</v>
      </c>
      <c r="E997" s="43"/>
      <c r="F997" s="29" cm="1">
        <f t="array" ref="F997">_xlfn.IFS(C997=":",":",C997&gt;=P$19,1,C997&gt;=P$20,2,C997&lt;P$20,3)</f>
        <v>1</v>
      </c>
      <c r="H997" s="43"/>
      <c r="Y997" s="26"/>
    </row>
    <row r="998" spans="1:25" ht="12" customHeight="1">
      <c r="A998" s="96" t="s">
        <v>2491</v>
      </c>
      <c r="B998" s="97" t="s">
        <v>2492</v>
      </c>
      <c r="C998" s="27">
        <v>88.8</v>
      </c>
      <c r="D998" s="27">
        <v>0.68654599999999999</v>
      </c>
      <c r="E998" s="43"/>
      <c r="F998" s="29" cm="1">
        <f t="array" ref="F998">_xlfn.IFS(C998=":",":",C998&gt;=P$19,1,C998&gt;=P$20,2,C998&lt;P$20,3)</f>
        <v>1</v>
      </c>
      <c r="H998" s="43"/>
      <c r="Y998" s="26"/>
    </row>
    <row r="999" spans="1:25" ht="12" customHeight="1">
      <c r="A999" s="96" t="s">
        <v>2493</v>
      </c>
      <c r="B999" s="97" t="s">
        <v>2494</v>
      </c>
      <c r="C999" s="27">
        <v>80.400000000000006</v>
      </c>
      <c r="D999" s="27">
        <v>0.83746500000000001</v>
      </c>
      <c r="E999" s="43"/>
      <c r="F999" s="29" cm="1">
        <f t="array" ref="F999">_xlfn.IFS(C999=":",":",C999&gt;=P$19,1,C999&gt;=P$20,2,C999&lt;P$20,3)</f>
        <v>1</v>
      </c>
      <c r="H999" s="43"/>
      <c r="Y999" s="26"/>
    </row>
    <row r="1000" spans="1:25" ht="12" customHeight="1">
      <c r="A1000" s="96" t="s">
        <v>2495</v>
      </c>
      <c r="B1000" s="97" t="s">
        <v>2496</v>
      </c>
      <c r="C1000" s="27">
        <v>82.1</v>
      </c>
      <c r="D1000" s="27">
        <v>0.38059900000000002</v>
      </c>
      <c r="E1000" s="43"/>
      <c r="F1000" s="29" cm="1">
        <f t="array" ref="F1000">_xlfn.IFS(C1000=":",":",C1000&gt;=P$19,1,C1000&gt;=P$20,2,C1000&lt;P$20,3)</f>
        <v>1</v>
      </c>
      <c r="H1000" s="43"/>
      <c r="Y1000" s="26"/>
    </row>
    <row r="1001" spans="1:25" ht="12" customHeight="1">
      <c r="A1001" s="96" t="s">
        <v>2497</v>
      </c>
      <c r="B1001" s="97" t="s">
        <v>2498</v>
      </c>
      <c r="C1001" s="27">
        <v>87</v>
      </c>
      <c r="D1001" s="27">
        <v>0.12411700000000001</v>
      </c>
      <c r="E1001" s="43"/>
      <c r="F1001" s="29" cm="1">
        <f t="array" ref="F1001">_xlfn.IFS(C1001=":",":",C1001&gt;=P$19,1,C1001&gt;=P$20,2,C1001&lt;P$20,3)</f>
        <v>1</v>
      </c>
      <c r="H1001" s="43"/>
      <c r="Y1001" s="26"/>
    </row>
    <row r="1002" spans="1:25" ht="12" customHeight="1">
      <c r="A1002" s="96" t="s">
        <v>2499</v>
      </c>
      <c r="B1002" s="97" t="s">
        <v>2939</v>
      </c>
      <c r="C1002" s="27">
        <v>83.3</v>
      </c>
      <c r="D1002" s="27">
        <v>0.17580200000000001</v>
      </c>
      <c r="E1002" s="43"/>
      <c r="F1002" s="29" cm="1">
        <f t="array" ref="F1002">_xlfn.IFS(C1002=":",":",C1002&gt;=P$19,1,C1002&gt;=P$20,2,C1002&lt;P$20,3)</f>
        <v>1</v>
      </c>
      <c r="H1002" s="43"/>
      <c r="Y1002" s="26"/>
    </row>
    <row r="1003" spans="1:25" ht="12" customHeight="1">
      <c r="A1003" s="96" t="s">
        <v>2500</v>
      </c>
      <c r="B1003" s="97" t="s">
        <v>2940</v>
      </c>
      <c r="C1003" s="27">
        <v>88.6</v>
      </c>
      <c r="D1003" s="27">
        <v>0.12848100000000001</v>
      </c>
      <c r="E1003" s="43"/>
      <c r="F1003" s="29" cm="1">
        <f t="array" ref="F1003">_xlfn.IFS(C1003=":",":",C1003&gt;=P$19,1,C1003&gt;=P$20,2,C1003&lt;P$20,3)</f>
        <v>1</v>
      </c>
      <c r="H1003" s="43"/>
      <c r="Y1003" s="26"/>
    </row>
    <row r="1004" spans="1:25" ht="12" customHeight="1">
      <c r="A1004" s="96" t="s">
        <v>2501</v>
      </c>
      <c r="B1004" s="97" t="s">
        <v>2502</v>
      </c>
      <c r="C1004" s="27">
        <v>87.1</v>
      </c>
      <c r="D1004" s="27">
        <v>0.430035</v>
      </c>
      <c r="E1004" s="43"/>
      <c r="F1004" s="29" cm="1">
        <f t="array" ref="F1004">_xlfn.IFS(C1004=":",":",C1004&gt;=P$19,1,C1004&gt;=P$20,2,C1004&lt;P$20,3)</f>
        <v>1</v>
      </c>
      <c r="H1004" s="43"/>
      <c r="Y1004" s="26"/>
    </row>
    <row r="1005" spans="1:25" ht="12" customHeight="1">
      <c r="A1005" s="96" t="s">
        <v>2503</v>
      </c>
      <c r="B1005" s="97" t="s">
        <v>2941</v>
      </c>
      <c r="C1005" s="27">
        <v>86.5</v>
      </c>
      <c r="D1005" s="27">
        <v>0.360072</v>
      </c>
      <c r="E1005" s="43"/>
      <c r="F1005" s="29" cm="1">
        <f t="array" ref="F1005">_xlfn.IFS(C1005=":",":",C1005&gt;=P$19,1,C1005&gt;=P$20,2,C1005&lt;P$20,3)</f>
        <v>1</v>
      </c>
      <c r="H1005" s="43"/>
      <c r="Y1005" s="26"/>
    </row>
    <row r="1006" spans="1:25" ht="12" customHeight="1">
      <c r="A1006" s="96" t="s">
        <v>2504</v>
      </c>
      <c r="B1006" s="97" t="s">
        <v>2505</v>
      </c>
      <c r="C1006" s="27">
        <v>57.6</v>
      </c>
      <c r="D1006" s="27">
        <v>1.196437</v>
      </c>
      <c r="E1006" s="43"/>
      <c r="F1006" s="29" cm="1">
        <f t="array" ref="F1006">_xlfn.IFS(C1006=":",":",C1006&gt;=P$19,1,C1006&gt;=P$20,2,C1006&lt;P$20,3)</f>
        <v>2</v>
      </c>
      <c r="H1006" s="43"/>
      <c r="Y1006" s="26"/>
    </row>
    <row r="1007" spans="1:25" ht="12" customHeight="1">
      <c r="A1007" s="96" t="s">
        <v>2506</v>
      </c>
      <c r="B1007" s="97" t="s">
        <v>2507</v>
      </c>
      <c r="C1007" s="27">
        <v>52.2</v>
      </c>
      <c r="D1007" s="27">
        <v>1.308443</v>
      </c>
      <c r="E1007" s="43"/>
      <c r="F1007" s="29" cm="1">
        <f t="array" ref="F1007">_xlfn.IFS(C1007=":",":",C1007&gt;=P$19,1,C1007&gt;=P$20,2,C1007&lt;P$20,3)</f>
        <v>2</v>
      </c>
      <c r="H1007" s="43"/>
      <c r="Y1007" s="26"/>
    </row>
    <row r="1008" spans="1:25" ht="12" customHeight="1">
      <c r="A1008" s="96" t="s">
        <v>2508</v>
      </c>
      <c r="B1008" s="97" t="s">
        <v>2509</v>
      </c>
      <c r="C1008" s="27">
        <v>56.7</v>
      </c>
      <c r="D1008" s="27">
        <v>0.70993099999999998</v>
      </c>
      <c r="E1008" s="43"/>
      <c r="F1008" s="29" cm="1">
        <f t="array" ref="F1008">_xlfn.IFS(C1008=":",":",C1008&gt;=P$19,1,C1008&gt;=P$20,2,C1008&lt;P$20,3)</f>
        <v>2</v>
      </c>
      <c r="H1008" s="43"/>
      <c r="Y1008" s="26"/>
    </row>
    <row r="1009" spans="1:25" ht="12" customHeight="1">
      <c r="A1009" s="96" t="s">
        <v>2510</v>
      </c>
      <c r="B1009" s="97" t="s">
        <v>2511</v>
      </c>
      <c r="C1009" s="27">
        <v>27</v>
      </c>
      <c r="D1009" s="27">
        <v>9.9991129999999995</v>
      </c>
      <c r="E1009" s="43"/>
      <c r="F1009" s="29" cm="1">
        <f t="array" ref="F1009">_xlfn.IFS(C1009=":",":",C1009&gt;=P$19,1,C1009&gt;=P$20,2,C1009&lt;P$20,3)</f>
        <v>3</v>
      </c>
      <c r="H1009" s="43"/>
      <c r="I1009" s="5"/>
      <c r="Y1009" s="26"/>
    </row>
    <row r="1010" spans="1:25" ht="12" customHeight="1">
      <c r="A1010" s="96" t="s">
        <v>2512</v>
      </c>
      <c r="B1010" s="97" t="s">
        <v>3025</v>
      </c>
      <c r="C1010" s="27">
        <v>75.8</v>
      </c>
      <c r="D1010" s="27">
        <v>0.40299800000000002</v>
      </c>
      <c r="E1010" s="43"/>
      <c r="F1010" s="29" cm="1">
        <f t="array" ref="F1010">_xlfn.IFS(C1010=":",":",C1010&gt;=P$19,1,C1010&gt;=P$20,2,C1010&lt;P$20,3)</f>
        <v>1</v>
      </c>
      <c r="H1010" s="43"/>
      <c r="I1010" s="5"/>
      <c r="Y1010" s="26"/>
    </row>
    <row r="1011" spans="1:25" ht="12" customHeight="1">
      <c r="A1011" s="96" t="s">
        <v>2513</v>
      </c>
      <c r="B1011" s="97" t="s">
        <v>2514</v>
      </c>
      <c r="C1011" s="27">
        <v>65.5</v>
      </c>
      <c r="D1011" s="27">
        <v>0.52493599999999996</v>
      </c>
      <c r="E1011" s="43"/>
      <c r="F1011" s="29" cm="1">
        <f t="array" ref="F1011">_xlfn.IFS(C1011=":",":",C1011&gt;=P$19,1,C1011&gt;=P$20,2,C1011&lt;P$20,3)</f>
        <v>1</v>
      </c>
      <c r="H1011" s="43"/>
      <c r="I1011" s="5"/>
      <c r="Y1011" s="26"/>
    </row>
    <row r="1012" spans="1:25" ht="12" customHeight="1">
      <c r="A1012" s="96" t="s">
        <v>2515</v>
      </c>
      <c r="B1012" s="97" t="s">
        <v>2516</v>
      </c>
      <c r="C1012" s="27">
        <v>56.9</v>
      </c>
      <c r="D1012" s="27">
        <v>0.71316199999999996</v>
      </c>
      <c r="E1012" s="43"/>
      <c r="F1012" s="29" cm="1">
        <f t="array" ref="F1012">_xlfn.IFS(C1012=":",":",C1012&gt;=P$19,1,C1012&gt;=P$20,2,C1012&lt;P$20,3)</f>
        <v>2</v>
      </c>
      <c r="H1012" s="43"/>
      <c r="I1012" s="5"/>
      <c r="Y1012" s="26"/>
    </row>
    <row r="1013" spans="1:25" ht="12" customHeight="1">
      <c r="A1013" s="96" t="s">
        <v>2517</v>
      </c>
      <c r="B1013" s="97" t="s">
        <v>2518</v>
      </c>
      <c r="C1013" s="27">
        <v>71.900000000000006</v>
      </c>
      <c r="D1013" s="27">
        <v>0.35721900000000001</v>
      </c>
      <c r="E1013" s="43"/>
      <c r="F1013" s="29" cm="1">
        <f t="array" ref="F1013">_xlfn.IFS(C1013=":",":",C1013&gt;=P$19,1,C1013&gt;=P$20,2,C1013&lt;P$20,3)</f>
        <v>1</v>
      </c>
      <c r="H1013" s="43"/>
      <c r="I1013" s="5"/>
      <c r="Y1013" s="26"/>
    </row>
    <row r="1014" spans="1:25" ht="12" customHeight="1">
      <c r="A1014" s="96" t="s">
        <v>2519</v>
      </c>
      <c r="B1014" s="97" t="s">
        <v>395</v>
      </c>
      <c r="C1014" s="27">
        <v>24.2</v>
      </c>
      <c r="D1014" s="27">
        <v>22.98359</v>
      </c>
      <c r="E1014" s="43"/>
      <c r="F1014" s="29" cm="1">
        <f t="array" ref="F1014">_xlfn.IFS(C1014=":",":",C1014&gt;=P$19,1,C1014&gt;=P$20,2,C1014&lt;P$20,3)</f>
        <v>3</v>
      </c>
      <c r="H1014" s="43"/>
      <c r="I1014" s="5"/>
      <c r="Y1014" s="26"/>
    </row>
    <row r="1015" spans="1:25" ht="12" customHeight="1">
      <c r="A1015" s="96" t="s">
        <v>3050</v>
      </c>
      <c r="B1015" s="97" t="s">
        <v>2521</v>
      </c>
      <c r="C1015" s="27">
        <v>56.2</v>
      </c>
      <c r="D1015" s="27">
        <v>1.224027</v>
      </c>
      <c r="E1015" s="43"/>
      <c r="F1015" s="29" cm="1">
        <f t="array" ref="F1015">_xlfn.IFS(C1015=":",":",C1015&gt;=P$19,1,C1015&gt;=P$20,2,C1015&lt;P$20,3)</f>
        <v>2</v>
      </c>
      <c r="H1015" s="43"/>
      <c r="I1015" s="5"/>
      <c r="Y1015" s="26"/>
    </row>
    <row r="1016" spans="1:25" ht="12" customHeight="1">
      <c r="A1016" s="96" t="s">
        <v>3051</v>
      </c>
      <c r="B1016" s="97" t="s">
        <v>2522</v>
      </c>
      <c r="C1016" s="27">
        <v>59.8</v>
      </c>
      <c r="D1016" s="27">
        <v>2.0486249999999999</v>
      </c>
      <c r="E1016" s="43"/>
      <c r="F1016" s="29" cm="1">
        <f t="array" ref="F1016">_xlfn.IFS(C1016=":",":",C1016&gt;=P$19,1,C1016&gt;=P$20,2,C1016&lt;P$20,3)</f>
        <v>2</v>
      </c>
      <c r="H1016" s="43"/>
      <c r="I1016" s="5"/>
      <c r="Y1016" s="26"/>
    </row>
    <row r="1017" spans="1:25" ht="12" customHeight="1">
      <c r="A1017" s="96" t="s">
        <v>3052</v>
      </c>
      <c r="B1017" s="97" t="s">
        <v>2523</v>
      </c>
      <c r="C1017" s="27">
        <v>72.599999999999994</v>
      </c>
      <c r="D1017" s="27">
        <v>0.84859300000000004</v>
      </c>
      <c r="E1017" s="43"/>
      <c r="F1017" s="29" cm="1">
        <f t="array" ref="F1017">_xlfn.IFS(C1017=":",":",C1017&gt;=P$19,1,C1017&gt;=P$20,2,C1017&lt;P$20,3)</f>
        <v>1</v>
      </c>
      <c r="H1017" s="43"/>
      <c r="I1017" s="5"/>
      <c r="Y1017" s="26"/>
    </row>
    <row r="1018" spans="1:25" ht="12" customHeight="1">
      <c r="A1018" s="96" t="s">
        <v>3053</v>
      </c>
      <c r="B1018" s="97" t="s">
        <v>2524</v>
      </c>
      <c r="C1018" s="27">
        <v>81.3</v>
      </c>
      <c r="D1018" s="27">
        <v>0.67464100000000005</v>
      </c>
      <c r="E1018" s="43"/>
      <c r="F1018" s="29" cm="1">
        <f t="array" ref="F1018">_xlfn.IFS(C1018=":",":",C1018&gt;=P$19,1,C1018&gt;=P$20,2,C1018&lt;P$20,3)</f>
        <v>1</v>
      </c>
      <c r="H1018" s="43"/>
      <c r="I1018" s="5"/>
      <c r="Y1018" s="26"/>
    </row>
    <row r="1019" spans="1:25" ht="12" customHeight="1">
      <c r="A1019" s="96" t="s">
        <v>3054</v>
      </c>
      <c r="B1019" s="97" t="s">
        <v>2525</v>
      </c>
      <c r="C1019" s="27">
        <v>73.099999999999994</v>
      </c>
      <c r="D1019" s="27">
        <v>0.35304000000000002</v>
      </c>
      <c r="E1019" s="43"/>
      <c r="F1019" s="29" cm="1">
        <f t="array" ref="F1019">_xlfn.IFS(C1019=":",":",C1019&gt;=P$19,1,C1019&gt;=P$20,2,C1019&lt;P$20,3)</f>
        <v>1</v>
      </c>
      <c r="H1019" s="43"/>
      <c r="I1019" s="5"/>
      <c r="Y1019" s="26"/>
    </row>
    <row r="1020" spans="1:25" ht="12" customHeight="1">
      <c r="A1020" s="96" t="s">
        <v>3055</v>
      </c>
      <c r="B1020" s="97" t="s">
        <v>2527</v>
      </c>
      <c r="C1020" s="27">
        <v>83.3</v>
      </c>
      <c r="D1020" s="27">
        <v>1.042478</v>
      </c>
      <c r="E1020" s="43"/>
      <c r="F1020" s="29" cm="1">
        <f t="array" ref="F1020">_xlfn.IFS(C1020=":",":",C1020&gt;=P$19,1,C1020&gt;=P$20,2,C1020&lt;P$20,3)</f>
        <v>1</v>
      </c>
      <c r="H1020" s="43"/>
      <c r="I1020" s="5"/>
      <c r="Y1020" s="26"/>
    </row>
    <row r="1021" spans="1:25" ht="12" customHeight="1">
      <c r="A1021" s="96" t="s">
        <v>3056</v>
      </c>
      <c r="B1021" s="97" t="s">
        <v>3057</v>
      </c>
      <c r="C1021" s="27">
        <v>18.5</v>
      </c>
      <c r="D1021" s="27">
        <v>19.894190999999999</v>
      </c>
      <c r="E1021" s="43"/>
      <c r="F1021" s="29" cm="1">
        <f t="array" ref="F1021">_xlfn.IFS(C1021=":",":",C1021&gt;=P$19,1,C1021&gt;=P$20,2,C1021&lt;P$20,3)</f>
        <v>3</v>
      </c>
      <c r="H1021" s="43"/>
      <c r="I1021" s="5"/>
      <c r="Y1021" s="26"/>
    </row>
    <row r="1022" spans="1:25" ht="12" customHeight="1">
      <c r="A1022" s="96" t="s">
        <v>3058</v>
      </c>
      <c r="B1022" s="97" t="s">
        <v>3059</v>
      </c>
      <c r="C1022" s="27">
        <v>63</v>
      </c>
      <c r="D1022" s="27">
        <v>2.5141559999999998</v>
      </c>
      <c r="E1022" s="43"/>
      <c r="F1022" s="29" cm="1">
        <f t="array" ref="F1022">_xlfn.IFS(C1022=":",":",C1022&gt;=P$19,1,C1022&gt;=P$20,2,C1022&lt;P$20,3)</f>
        <v>2</v>
      </c>
      <c r="H1022" s="43"/>
      <c r="I1022" s="5"/>
      <c r="Y1022" s="26"/>
    </row>
    <row r="1023" spans="1:25" ht="12" customHeight="1">
      <c r="A1023" s="96" t="s">
        <v>3060</v>
      </c>
      <c r="B1023" s="97" t="s">
        <v>2528</v>
      </c>
      <c r="C1023" s="27">
        <v>65.8</v>
      </c>
      <c r="D1023" s="27">
        <v>2.1427269999999998</v>
      </c>
      <c r="E1023" s="43"/>
      <c r="F1023" s="29" cm="1">
        <f t="array" ref="F1023">_xlfn.IFS(C1023=":",":",C1023&gt;=P$19,1,C1023&gt;=P$20,2,C1023&lt;P$20,3)</f>
        <v>1</v>
      </c>
      <c r="H1023" s="43"/>
      <c r="I1023" s="5"/>
      <c r="Y1023" s="26"/>
    </row>
    <row r="1024" spans="1:25" ht="12" customHeight="1">
      <c r="A1024" s="96" t="s">
        <v>3061</v>
      </c>
      <c r="B1024" s="97" t="s">
        <v>2529</v>
      </c>
      <c r="C1024" s="27">
        <v>70.2</v>
      </c>
      <c r="D1024" s="27">
        <v>0.57298499999999997</v>
      </c>
      <c r="E1024" s="43"/>
      <c r="F1024" s="29" cm="1">
        <f t="array" ref="F1024">_xlfn.IFS(C1024=":",":",C1024&gt;=P$19,1,C1024&gt;=P$20,2,C1024&lt;P$20,3)</f>
        <v>1</v>
      </c>
      <c r="H1024" s="43"/>
      <c r="I1024" s="5"/>
      <c r="Y1024" s="26"/>
    </row>
    <row r="1025" spans="1:25" ht="12" customHeight="1">
      <c r="A1025" s="96" t="s">
        <v>3062</v>
      </c>
      <c r="B1025" s="97" t="s">
        <v>2531</v>
      </c>
      <c r="C1025" s="27">
        <v>78.400000000000006</v>
      </c>
      <c r="D1025" s="27">
        <v>0.56580600000000003</v>
      </c>
      <c r="E1025" s="43"/>
      <c r="F1025" s="29" cm="1">
        <f t="array" ref="F1025">_xlfn.IFS(C1025=":",":",C1025&gt;=P$19,1,C1025&gt;=P$20,2,C1025&lt;P$20,3)</f>
        <v>1</v>
      </c>
      <c r="H1025" s="43"/>
      <c r="I1025" s="5"/>
      <c r="Y1025" s="26"/>
    </row>
    <row r="1026" spans="1:25" ht="12" customHeight="1">
      <c r="A1026" s="96" t="s">
        <v>3063</v>
      </c>
      <c r="B1026" s="97" t="s">
        <v>2532</v>
      </c>
      <c r="C1026" s="27">
        <v>59.5</v>
      </c>
      <c r="D1026" s="27">
        <v>1.158128</v>
      </c>
      <c r="E1026" s="43"/>
      <c r="F1026" s="29" cm="1">
        <f t="array" ref="F1026">_xlfn.IFS(C1026=":",":",C1026&gt;=P$19,1,C1026&gt;=P$20,2,C1026&lt;P$20,3)</f>
        <v>2</v>
      </c>
      <c r="H1026" s="43"/>
      <c r="I1026" s="5"/>
      <c r="Y1026" s="26"/>
    </row>
    <row r="1027" spans="1:25" ht="12" customHeight="1">
      <c r="A1027" s="96" t="s">
        <v>3064</v>
      </c>
      <c r="B1027" s="97" t="s">
        <v>2520</v>
      </c>
      <c r="C1027" s="27">
        <v>54.9</v>
      </c>
      <c r="D1027" s="27">
        <v>2.2054130000000001</v>
      </c>
      <c r="E1027" s="43"/>
      <c r="F1027" s="29" cm="1">
        <f t="array" ref="F1027">_xlfn.IFS(C1027=":",":",C1027&gt;=P$19,1,C1027&gt;=P$20,2,C1027&lt;P$20,3)</f>
        <v>2</v>
      </c>
      <c r="H1027" s="43"/>
      <c r="I1027" s="5"/>
      <c r="Y1027" s="26"/>
    </row>
    <row r="1028" spans="1:25" ht="12" customHeight="1">
      <c r="A1028" s="96" t="s">
        <v>3065</v>
      </c>
      <c r="B1028" s="97" t="s">
        <v>2526</v>
      </c>
      <c r="C1028" s="27">
        <v>40.4</v>
      </c>
      <c r="D1028" s="27">
        <v>1.650488</v>
      </c>
      <c r="E1028" s="43"/>
      <c r="F1028" s="29" cm="1">
        <f t="array" ref="F1028">_xlfn.IFS(C1028=":",":",C1028&gt;=P$19,1,C1028&gt;=P$20,2,C1028&lt;P$20,3)</f>
        <v>2</v>
      </c>
      <c r="H1028" s="43"/>
      <c r="I1028" s="5"/>
      <c r="Y1028" s="26"/>
    </row>
    <row r="1029" spans="1:25" ht="12" customHeight="1">
      <c r="A1029" s="96" t="s">
        <v>3066</v>
      </c>
      <c r="B1029" s="97" t="s">
        <v>2530</v>
      </c>
      <c r="C1029" s="27">
        <v>74.5</v>
      </c>
      <c r="D1029" s="27">
        <v>0.34345599999999998</v>
      </c>
      <c r="E1029" s="43"/>
      <c r="F1029" s="29" cm="1">
        <f t="array" ref="F1029">_xlfn.IFS(C1029=":",":",C1029&gt;=P$19,1,C1029&gt;=P$20,2,C1029&lt;P$20,3)</f>
        <v>1</v>
      </c>
      <c r="H1029" s="43"/>
      <c r="I1029" s="5"/>
      <c r="Y1029" s="26"/>
    </row>
    <row r="1030" spans="1:25" ht="12" customHeight="1">
      <c r="A1030" s="96" t="s">
        <v>2533</v>
      </c>
      <c r="B1030" s="97" t="s">
        <v>537</v>
      </c>
      <c r="C1030" s="27">
        <v>36.299999999999997</v>
      </c>
      <c r="D1030" s="27">
        <v>3.0618189999999998</v>
      </c>
      <c r="E1030" s="43"/>
      <c r="F1030" s="29" cm="1">
        <f t="array" ref="F1030">_xlfn.IFS(C1030=":",":",C1030&gt;=P$19,1,C1030&gt;=P$20,2,C1030&lt;P$20,3)</f>
        <v>2</v>
      </c>
      <c r="H1030" s="43"/>
      <c r="I1030" s="5"/>
      <c r="Y1030" s="26"/>
    </row>
    <row r="1031" spans="1:25" ht="12" customHeight="1">
      <c r="A1031" s="96" t="s">
        <v>2534</v>
      </c>
      <c r="B1031" s="97" t="s">
        <v>538</v>
      </c>
      <c r="C1031" s="27">
        <v>14.7</v>
      </c>
      <c r="D1031" s="27">
        <v>9.5771809999999995</v>
      </c>
      <c r="E1031" s="43"/>
      <c r="F1031" s="29" cm="1">
        <f t="array" ref="F1031">_xlfn.IFS(C1031=":",":",C1031&gt;=P$19,1,C1031&gt;=P$20,2,C1031&lt;P$20,3)</f>
        <v>3</v>
      </c>
      <c r="H1031" s="43"/>
      <c r="I1031" s="5"/>
      <c r="Y1031" s="26"/>
    </row>
    <row r="1032" spans="1:25" ht="12" customHeight="1">
      <c r="A1032" s="96" t="s">
        <v>2535</v>
      </c>
      <c r="B1032" s="97" t="s">
        <v>2536</v>
      </c>
      <c r="C1032" s="27">
        <v>92.5</v>
      </c>
      <c r="D1032" s="27">
        <v>1.503962</v>
      </c>
      <c r="E1032" s="43"/>
      <c r="F1032" s="29" cm="1">
        <f t="array" ref="F1032">_xlfn.IFS(C1032=":",":",C1032&gt;=P$19,1,C1032&gt;=P$20,2,C1032&lt;P$20,3)</f>
        <v>1</v>
      </c>
      <c r="H1032" s="43"/>
      <c r="I1032" s="5"/>
      <c r="Y1032" s="26"/>
    </row>
    <row r="1033" spans="1:25" ht="12" customHeight="1">
      <c r="A1033" s="96" t="s">
        <v>2537</v>
      </c>
      <c r="B1033" s="97" t="s">
        <v>2942</v>
      </c>
      <c r="C1033" s="27">
        <v>93</v>
      </c>
      <c r="D1033" s="27">
        <v>0.20582300000000001</v>
      </c>
      <c r="E1033" s="43"/>
      <c r="F1033" s="29" cm="1">
        <f t="array" ref="F1033">_xlfn.IFS(C1033=":",":",C1033&gt;=P$19,1,C1033&gt;=P$20,2,C1033&lt;P$20,3)</f>
        <v>1</v>
      </c>
      <c r="H1033" s="43"/>
      <c r="I1033" s="5"/>
      <c r="Y1033" s="26"/>
    </row>
    <row r="1034" spans="1:25" ht="12" customHeight="1">
      <c r="A1034" s="96" t="s">
        <v>2538</v>
      </c>
      <c r="B1034" s="97" t="s">
        <v>2539</v>
      </c>
      <c r="C1034" s="27">
        <v>77.3</v>
      </c>
      <c r="D1034" s="27">
        <v>1.170256</v>
      </c>
      <c r="E1034" s="43"/>
      <c r="F1034" s="29" cm="1">
        <f t="array" ref="F1034">_xlfn.IFS(C1034=":",":",C1034&gt;=P$19,1,C1034&gt;=P$20,2,C1034&lt;P$20,3)</f>
        <v>1</v>
      </c>
      <c r="H1034" s="43"/>
      <c r="I1034" s="5"/>
      <c r="Y1034" s="26"/>
    </row>
    <row r="1035" spans="1:25" ht="12" customHeight="1">
      <c r="A1035" s="96" t="s">
        <v>2540</v>
      </c>
      <c r="B1035" s="97" t="s">
        <v>2943</v>
      </c>
      <c r="C1035" s="27">
        <v>92.2</v>
      </c>
      <c r="D1035" s="27">
        <v>0.582395</v>
      </c>
      <c r="E1035" s="43"/>
      <c r="F1035" s="29" cm="1">
        <f t="array" ref="F1035">_xlfn.IFS(C1035=":",":",C1035&gt;=P$19,1,C1035&gt;=P$20,2,C1035&lt;P$20,3)</f>
        <v>1</v>
      </c>
      <c r="H1035" s="43"/>
      <c r="I1035" s="5"/>
      <c r="Y1035" s="26"/>
    </row>
    <row r="1036" spans="1:25" ht="12" customHeight="1">
      <c r="A1036" s="96" t="s">
        <v>2541</v>
      </c>
      <c r="B1036" s="97" t="s">
        <v>2542</v>
      </c>
      <c r="C1036" s="27">
        <v>92</v>
      </c>
      <c r="D1036" s="27">
        <v>0.20697099999999999</v>
      </c>
      <c r="E1036" s="43"/>
      <c r="F1036" s="29" cm="1">
        <f t="array" ref="F1036">_xlfn.IFS(C1036=":",":",C1036&gt;=P$19,1,C1036&gt;=P$20,2,C1036&lt;P$20,3)</f>
        <v>1</v>
      </c>
      <c r="H1036" s="43"/>
      <c r="I1036" s="5"/>
      <c r="Y1036" s="26"/>
    </row>
    <row r="1037" spans="1:25" ht="12" customHeight="1">
      <c r="A1037" s="96" t="s">
        <v>2543</v>
      </c>
      <c r="B1037" s="97" t="s">
        <v>2944</v>
      </c>
      <c r="C1037" s="27">
        <v>87.7</v>
      </c>
      <c r="D1037" s="27">
        <v>7.9409999999999994E-2</v>
      </c>
      <c r="E1037" s="43"/>
      <c r="F1037" s="29" cm="1">
        <f t="array" ref="F1037">_xlfn.IFS(C1037=":",":",C1037&gt;=P$19,1,C1037&gt;=P$20,2,C1037&lt;P$20,3)</f>
        <v>1</v>
      </c>
      <c r="H1037" s="43"/>
      <c r="I1037" s="5"/>
      <c r="Y1037" s="26"/>
    </row>
    <row r="1038" spans="1:25" ht="12" customHeight="1">
      <c r="A1038" s="96" t="s">
        <v>2544</v>
      </c>
      <c r="B1038" s="97" t="s">
        <v>2545</v>
      </c>
      <c r="C1038" s="27">
        <v>87.4</v>
      </c>
      <c r="D1038" s="27">
        <v>0.45788400000000001</v>
      </c>
      <c r="E1038" s="43"/>
      <c r="F1038" s="29" cm="1">
        <f t="array" ref="F1038">_xlfn.IFS(C1038=":",":",C1038&gt;=P$19,1,C1038&gt;=P$20,2,C1038&lt;P$20,3)</f>
        <v>1</v>
      </c>
      <c r="H1038" s="43"/>
      <c r="I1038" s="5"/>
      <c r="Y1038" s="26"/>
    </row>
    <row r="1039" spans="1:25" ht="12" customHeight="1">
      <c r="A1039" s="96" t="s">
        <v>2546</v>
      </c>
      <c r="B1039" s="97" t="s">
        <v>2945</v>
      </c>
      <c r="C1039" s="27">
        <v>87.4</v>
      </c>
      <c r="D1039" s="27">
        <v>2.8316940000000002</v>
      </c>
      <c r="E1039" s="43"/>
      <c r="F1039" s="29" cm="1">
        <f t="array" ref="F1039">_xlfn.IFS(C1039=":",":",C1039&gt;=P$19,1,C1039&gt;=P$20,2,C1039&lt;P$20,3)</f>
        <v>1</v>
      </c>
      <c r="H1039" s="43"/>
      <c r="I1039" s="5"/>
      <c r="Y1039" s="26"/>
    </row>
    <row r="1040" spans="1:25" ht="12" customHeight="1">
      <c r="A1040" s="96" t="s">
        <v>2547</v>
      </c>
      <c r="B1040" s="97" t="s">
        <v>2548</v>
      </c>
      <c r="C1040" s="27">
        <v>94.6</v>
      </c>
      <c r="D1040" s="27">
        <v>0.59993700000000005</v>
      </c>
      <c r="E1040" s="43"/>
      <c r="F1040" s="29" cm="1">
        <f t="array" ref="F1040">_xlfn.IFS(C1040=":",":",C1040&gt;=P$19,1,C1040&gt;=P$20,2,C1040&lt;P$20,3)</f>
        <v>1</v>
      </c>
      <c r="H1040" s="43"/>
      <c r="I1040" s="5"/>
      <c r="Y1040" s="26"/>
    </row>
    <row r="1041" spans="1:25" ht="12" customHeight="1">
      <c r="A1041" s="96" t="s">
        <v>2549</v>
      </c>
      <c r="B1041" s="97" t="s">
        <v>2550</v>
      </c>
      <c r="C1041" s="27">
        <v>84.3</v>
      </c>
      <c r="D1041" s="27">
        <v>0.50573400000000002</v>
      </c>
      <c r="E1041" s="43"/>
      <c r="F1041" s="29" cm="1">
        <f t="array" ref="F1041">_xlfn.IFS(C1041=":",":",C1041&gt;=P$19,1,C1041&gt;=P$20,2,C1041&lt;P$20,3)</f>
        <v>1</v>
      </c>
      <c r="H1041" s="43"/>
      <c r="I1041" s="5"/>
      <c r="Y1041" s="26"/>
    </row>
    <row r="1042" spans="1:25" ht="12" customHeight="1">
      <c r="A1042" s="96" t="s">
        <v>2551</v>
      </c>
      <c r="B1042" s="97" t="s">
        <v>2946</v>
      </c>
      <c r="C1042" s="27">
        <v>85</v>
      </c>
      <c r="D1042" s="27">
        <v>0.88763800000000004</v>
      </c>
      <c r="E1042" s="43"/>
      <c r="F1042" s="29" cm="1">
        <f t="array" ref="F1042">_xlfn.IFS(C1042=":",":",C1042&gt;=P$19,1,C1042&gt;=P$20,2,C1042&lt;P$20,3)</f>
        <v>1</v>
      </c>
      <c r="H1042" s="43"/>
      <c r="I1042" s="5"/>
      <c r="Y1042" s="26"/>
    </row>
    <row r="1043" spans="1:25" ht="12" customHeight="1">
      <c r="A1043" s="100" t="s">
        <v>2552</v>
      </c>
      <c r="B1043" s="99" t="s">
        <v>2553</v>
      </c>
      <c r="C1043" s="27">
        <v>75.3</v>
      </c>
      <c r="D1043" s="27">
        <v>0.91498699999999999</v>
      </c>
      <c r="E1043" s="43"/>
      <c r="F1043" s="29" cm="1">
        <f t="array" ref="F1043">_xlfn.IFS(C1043=":",":",C1043&gt;=P$19,1,C1043&gt;=P$20,2,C1043&lt;P$20,3)</f>
        <v>1</v>
      </c>
      <c r="H1043" s="43"/>
      <c r="I1043" s="5"/>
      <c r="Y1043" s="26"/>
    </row>
    <row r="1044" spans="1:25" ht="12" customHeight="1">
      <c r="A1044" s="96" t="s">
        <v>2554</v>
      </c>
      <c r="B1044" s="97" t="s">
        <v>2947</v>
      </c>
      <c r="C1044" s="27">
        <v>90.1</v>
      </c>
      <c r="D1044" s="27">
        <v>0.393681</v>
      </c>
      <c r="E1044" s="43"/>
      <c r="F1044" s="29" cm="1">
        <f t="array" ref="F1044">_xlfn.IFS(C1044=":",":",C1044&gt;=P$19,1,C1044&gt;=P$20,2,C1044&lt;P$20,3)</f>
        <v>1</v>
      </c>
      <c r="H1044" s="43"/>
      <c r="I1044" s="5"/>
      <c r="Y1044" s="26"/>
    </row>
    <row r="1045" spans="1:25" ht="12" customHeight="1">
      <c r="A1045" s="96" t="s">
        <v>2555</v>
      </c>
      <c r="B1045" s="97" t="s">
        <v>2948</v>
      </c>
      <c r="C1045" s="27">
        <v>91.7</v>
      </c>
      <c r="D1045" s="27">
        <v>7.9837000000000005E-2</v>
      </c>
      <c r="E1045" s="43"/>
      <c r="F1045" s="29" cm="1">
        <f t="array" ref="F1045">_xlfn.IFS(C1045=":",":",C1045&gt;=P$19,1,C1045&gt;=P$20,2,C1045&lt;P$20,3)</f>
        <v>1</v>
      </c>
      <c r="H1045" s="43"/>
      <c r="I1045" s="5"/>
      <c r="Y1045" s="26"/>
    </row>
    <row r="1046" spans="1:25" ht="12" customHeight="1">
      <c r="A1046" s="96" t="s">
        <v>2556</v>
      </c>
      <c r="B1046" s="97" t="s">
        <v>2949</v>
      </c>
      <c r="C1046" s="27">
        <v>86.2</v>
      </c>
      <c r="D1046" s="27">
        <v>0.60275299999999998</v>
      </c>
      <c r="E1046" s="43"/>
      <c r="F1046" s="29" cm="1">
        <f t="array" ref="F1046">_xlfn.IFS(C1046=":",":",C1046&gt;=P$19,1,C1046&gt;=P$20,2,C1046&lt;P$20,3)</f>
        <v>1</v>
      </c>
      <c r="H1046" s="43"/>
      <c r="I1046" s="5"/>
      <c r="Y1046" s="26"/>
    </row>
    <row r="1047" spans="1:25" ht="12" customHeight="1">
      <c r="A1047" s="96" t="s">
        <v>2557</v>
      </c>
      <c r="B1047" s="97" t="s">
        <v>2950</v>
      </c>
      <c r="C1047" s="27">
        <v>94.7</v>
      </c>
      <c r="D1047" s="27">
        <v>0.53693299999999999</v>
      </c>
      <c r="E1047" s="43"/>
      <c r="F1047" s="29" cm="1">
        <f t="array" ref="F1047">_xlfn.IFS(C1047=":",":",C1047&gt;=P$19,1,C1047&gt;=P$20,2,C1047&lt;P$20,3)</f>
        <v>1</v>
      </c>
      <c r="H1047" s="43"/>
      <c r="I1047" s="5"/>
      <c r="Y1047" s="26"/>
    </row>
    <row r="1048" spans="1:25" ht="12" customHeight="1">
      <c r="A1048" s="100" t="s">
        <v>2558</v>
      </c>
      <c r="B1048" s="97" t="s">
        <v>2559</v>
      </c>
      <c r="C1048" s="27">
        <v>91.9</v>
      </c>
      <c r="D1048" s="27">
        <v>1.1299319999999999</v>
      </c>
      <c r="E1048" s="43"/>
      <c r="F1048" s="29" cm="1">
        <f t="array" ref="F1048">_xlfn.IFS(C1048=":",":",C1048&gt;=P$19,1,C1048&gt;=P$20,2,C1048&lt;P$20,3)</f>
        <v>1</v>
      </c>
      <c r="H1048" s="43"/>
      <c r="I1048" s="5"/>
      <c r="Y1048" s="26"/>
    </row>
    <row r="1049" spans="1:25" ht="12" customHeight="1">
      <c r="A1049" s="100" t="s">
        <v>2560</v>
      </c>
      <c r="B1049" s="99" t="s">
        <v>2561</v>
      </c>
      <c r="C1049" s="27">
        <v>95.5</v>
      </c>
      <c r="D1049" s="27">
        <v>8.0726000000000006E-2</v>
      </c>
      <c r="E1049" s="43"/>
      <c r="F1049" s="29" cm="1">
        <f t="array" ref="F1049">_xlfn.IFS(C1049=":",":",C1049&gt;=P$19,1,C1049&gt;=P$20,2,C1049&lt;P$20,3)</f>
        <v>1</v>
      </c>
      <c r="H1049" s="43"/>
      <c r="I1049" s="5"/>
      <c r="Y1049" s="26"/>
    </row>
    <row r="1050" spans="1:25" ht="12" customHeight="1">
      <c r="A1050" s="100" t="s">
        <v>2562</v>
      </c>
      <c r="B1050" s="99" t="s">
        <v>2951</v>
      </c>
      <c r="C1050" s="27">
        <v>93.6</v>
      </c>
      <c r="D1050" s="27">
        <v>0.25321700000000003</v>
      </c>
      <c r="E1050" s="43"/>
      <c r="F1050" s="29" cm="1">
        <f t="array" ref="F1050">_xlfn.IFS(C1050=":",":",C1050&gt;=P$19,1,C1050&gt;=P$20,2,C1050&lt;P$20,3)</f>
        <v>1</v>
      </c>
      <c r="H1050" s="43"/>
      <c r="I1050" s="5"/>
      <c r="Y1050" s="26"/>
    </row>
    <row r="1051" spans="1:25" ht="12" customHeight="1">
      <c r="A1051" s="100" t="s">
        <v>2563</v>
      </c>
      <c r="B1051" s="99" t="s">
        <v>2952</v>
      </c>
      <c r="C1051" s="27">
        <v>93.6</v>
      </c>
      <c r="D1051" s="27">
        <v>0.200576</v>
      </c>
      <c r="E1051" s="43"/>
      <c r="F1051" s="29" cm="1">
        <f t="array" ref="F1051">_xlfn.IFS(C1051=":",":",C1051&gt;=P$19,1,C1051&gt;=P$20,2,C1051&lt;P$20,3)</f>
        <v>1</v>
      </c>
      <c r="H1051" s="43"/>
      <c r="I1051" s="5"/>
      <c r="Y1051" s="26"/>
    </row>
    <row r="1052" spans="1:25" ht="12" customHeight="1">
      <c r="A1052" s="100" t="s">
        <v>2564</v>
      </c>
      <c r="B1052" s="99" t="s">
        <v>2953</v>
      </c>
      <c r="C1052" s="27">
        <v>97.4</v>
      </c>
      <c r="D1052" s="27">
        <v>5.5643219999999998</v>
      </c>
      <c r="E1052" s="43"/>
      <c r="F1052" s="29" cm="1">
        <f t="array" ref="F1052">_xlfn.IFS(C1052=":",":",C1052&gt;=P$19,1,C1052&gt;=P$20,2,C1052&lt;P$20,3)</f>
        <v>1</v>
      </c>
      <c r="H1052" s="43"/>
      <c r="I1052" s="5"/>
      <c r="Y1052" s="26"/>
    </row>
    <row r="1053" spans="1:25" ht="12" customHeight="1">
      <c r="A1053" s="100" t="s">
        <v>2565</v>
      </c>
      <c r="B1053" s="99" t="s">
        <v>2954</v>
      </c>
      <c r="C1053" s="27">
        <v>80.7</v>
      </c>
      <c r="D1053" s="27">
        <v>0.17163400000000001</v>
      </c>
      <c r="E1053" s="43"/>
      <c r="F1053" s="29" cm="1">
        <f t="array" ref="F1053">_xlfn.IFS(C1053=":",":",C1053&gt;=P$19,1,C1053&gt;=P$20,2,C1053&lt;P$20,3)</f>
        <v>1</v>
      </c>
      <c r="H1053" s="43"/>
      <c r="I1053" s="5"/>
      <c r="Y1053" s="26"/>
    </row>
    <row r="1054" spans="1:25" ht="12" customHeight="1">
      <c r="A1054" s="100" t="s">
        <v>2566</v>
      </c>
      <c r="B1054" s="99" t="s">
        <v>2567</v>
      </c>
      <c r="C1054" s="27">
        <v>95</v>
      </c>
      <c r="D1054" s="27">
        <v>0.37401200000000001</v>
      </c>
      <c r="E1054" s="43"/>
      <c r="F1054" s="29" cm="1">
        <f t="array" ref="F1054">_xlfn.IFS(C1054=":",":",C1054&gt;=P$19,1,C1054&gt;=P$20,2,C1054&lt;P$20,3)</f>
        <v>1</v>
      </c>
      <c r="H1054" s="43"/>
      <c r="I1054" s="5"/>
      <c r="Y1054" s="26"/>
    </row>
    <row r="1055" spans="1:25" ht="12" customHeight="1">
      <c r="A1055" s="100" t="s">
        <v>2568</v>
      </c>
      <c r="B1055" s="97" t="s">
        <v>2569</v>
      </c>
      <c r="C1055" s="27">
        <v>91.1</v>
      </c>
      <c r="D1055" s="27">
        <v>7.4607999999999994E-2</v>
      </c>
      <c r="E1055" s="43"/>
      <c r="F1055" s="29" cm="1">
        <f t="array" ref="F1055">_xlfn.IFS(C1055=":",":",C1055&gt;=P$19,1,C1055&gt;=P$20,2,C1055&lt;P$20,3)</f>
        <v>1</v>
      </c>
      <c r="H1055" s="43"/>
      <c r="I1055" s="5"/>
      <c r="Y1055" s="26"/>
    </row>
    <row r="1056" spans="1:25" ht="12" customHeight="1">
      <c r="A1056" s="100" t="s">
        <v>2570</v>
      </c>
      <c r="B1056" s="97" t="s">
        <v>2955</v>
      </c>
      <c r="C1056" s="27">
        <v>81.099999999999994</v>
      </c>
      <c r="D1056" s="27">
        <v>0.57603000000000004</v>
      </c>
      <c r="E1056" s="43"/>
      <c r="F1056" s="29" cm="1">
        <f t="array" ref="F1056">_xlfn.IFS(C1056=":",":",C1056&gt;=P$19,1,C1056&gt;=P$20,2,C1056&lt;P$20,3)</f>
        <v>1</v>
      </c>
      <c r="H1056" s="43"/>
      <c r="I1056" s="5"/>
      <c r="Y1056" s="26"/>
    </row>
    <row r="1057" spans="1:25" ht="12" customHeight="1">
      <c r="A1057" s="100" t="s">
        <v>2571</v>
      </c>
      <c r="B1057" s="99" t="s">
        <v>2956</v>
      </c>
      <c r="C1057" s="27">
        <v>84.8</v>
      </c>
      <c r="D1057" s="27">
        <v>3.1244999999999998E-2</v>
      </c>
      <c r="E1057" s="43"/>
      <c r="F1057" s="29" cm="1">
        <f t="array" ref="F1057">_xlfn.IFS(C1057=":",":",C1057&gt;=P$19,1,C1057&gt;=P$20,2,C1057&lt;P$20,3)</f>
        <v>1</v>
      </c>
      <c r="H1057" s="43"/>
      <c r="I1057" s="5"/>
      <c r="Y1057" s="26"/>
    </row>
    <row r="1058" spans="1:25" ht="12" customHeight="1">
      <c r="A1058" s="100" t="s">
        <v>2572</v>
      </c>
      <c r="B1058" s="97" t="s">
        <v>2957</v>
      </c>
      <c r="C1058" s="27">
        <v>95.9</v>
      </c>
      <c r="D1058" s="27">
        <v>0.25766699999999998</v>
      </c>
      <c r="E1058" s="43"/>
      <c r="F1058" s="29" cm="1">
        <f t="array" ref="F1058">_xlfn.IFS(C1058=":",":",C1058&gt;=P$19,1,C1058&gt;=P$20,2,C1058&lt;P$20,3)</f>
        <v>1</v>
      </c>
      <c r="H1058" s="43"/>
      <c r="I1058" s="5"/>
      <c r="Y1058" s="26"/>
    </row>
    <row r="1059" spans="1:25" ht="12" customHeight="1">
      <c r="A1059" s="100" t="s">
        <v>2573</v>
      </c>
      <c r="B1059" s="99" t="s">
        <v>2574</v>
      </c>
      <c r="C1059" s="27">
        <v>96.9</v>
      </c>
      <c r="D1059" s="27">
        <v>7.0139000000000007E-2</v>
      </c>
      <c r="E1059" s="43"/>
      <c r="F1059" s="29" cm="1">
        <f t="array" ref="F1059">_xlfn.IFS(C1059=":",":",C1059&gt;=P$19,1,C1059&gt;=P$20,2,C1059&lt;P$20,3)</f>
        <v>1</v>
      </c>
      <c r="H1059" s="43"/>
      <c r="I1059" s="5"/>
      <c r="Y1059" s="26"/>
    </row>
    <row r="1060" spans="1:25" ht="12" customHeight="1">
      <c r="A1060" s="100" t="s">
        <v>2575</v>
      </c>
      <c r="B1060" s="99" t="s">
        <v>2958</v>
      </c>
      <c r="C1060" s="27">
        <v>96.4</v>
      </c>
      <c r="D1060" s="27">
        <v>0.18439800000000001</v>
      </c>
      <c r="E1060" s="43"/>
      <c r="F1060" s="29" cm="1">
        <f t="array" ref="F1060">_xlfn.IFS(C1060=":",":",C1060&gt;=P$19,1,C1060&gt;=P$20,2,C1060&lt;P$20,3)</f>
        <v>1</v>
      </c>
      <c r="H1060" s="43"/>
      <c r="I1060" s="5"/>
      <c r="Y1060" s="26"/>
    </row>
    <row r="1061" spans="1:25" ht="12" customHeight="1">
      <c r="A1061" s="100" t="s">
        <v>2576</v>
      </c>
      <c r="B1061" s="99" t="s">
        <v>2577</v>
      </c>
      <c r="C1061" s="27">
        <v>90.1</v>
      </c>
      <c r="D1061" s="27">
        <v>1.249714</v>
      </c>
      <c r="E1061" s="43"/>
      <c r="F1061" s="29" cm="1">
        <f t="array" ref="F1061">_xlfn.IFS(C1061=":",":",C1061&gt;=P$19,1,C1061&gt;=P$20,2,C1061&lt;P$20,3)</f>
        <v>1</v>
      </c>
      <c r="H1061" s="43"/>
      <c r="I1061" s="5"/>
      <c r="Y1061" s="26"/>
    </row>
    <row r="1062" spans="1:25" ht="12" customHeight="1">
      <c r="A1062" s="100" t="s">
        <v>2578</v>
      </c>
      <c r="B1062" s="99" t="s">
        <v>2579</v>
      </c>
      <c r="C1062" s="27">
        <v>95.3</v>
      </c>
      <c r="D1062" s="27">
        <v>6.0410000000000004E-3</v>
      </c>
      <c r="E1062" s="43"/>
      <c r="F1062" s="29" cm="1">
        <f t="array" ref="F1062">_xlfn.IFS(C1062=":",":",C1062&gt;=P$19,1,C1062&gt;=P$20,2,C1062&lt;P$20,3)</f>
        <v>1</v>
      </c>
      <c r="H1062" s="43"/>
      <c r="I1062" s="5"/>
      <c r="Y1062" s="26"/>
    </row>
    <row r="1063" spans="1:25" ht="12" customHeight="1">
      <c r="A1063" s="96" t="s">
        <v>2580</v>
      </c>
      <c r="B1063" s="97" t="s">
        <v>2959</v>
      </c>
      <c r="C1063" s="27">
        <v>40.299999999999997</v>
      </c>
      <c r="D1063" s="27">
        <v>3.9558870000000002</v>
      </c>
      <c r="E1063" s="43"/>
      <c r="F1063" s="29" cm="1">
        <f t="array" ref="F1063">_xlfn.IFS(C1063=":",":",C1063&gt;=P$19,1,C1063&gt;=P$20,2,C1063&lt;P$20,3)</f>
        <v>2</v>
      </c>
      <c r="H1063" s="43"/>
      <c r="I1063" s="5"/>
      <c r="Y1063" s="26"/>
    </row>
    <row r="1064" spans="1:25" ht="12" customHeight="1">
      <c r="A1064" s="96" t="s">
        <v>2581</v>
      </c>
      <c r="B1064" s="97" t="s">
        <v>2582</v>
      </c>
      <c r="C1064" s="27">
        <v>56.1</v>
      </c>
      <c r="D1064" s="27">
        <v>0.263596</v>
      </c>
      <c r="E1064" s="43"/>
      <c r="F1064" s="29" cm="1">
        <f t="array" ref="F1064">_xlfn.IFS(C1064=":",":",C1064&gt;=P$19,1,C1064&gt;=P$20,2,C1064&lt;P$20,3)</f>
        <v>2</v>
      </c>
      <c r="H1064" s="43"/>
      <c r="I1064" s="5"/>
      <c r="Y1064" s="26"/>
    </row>
    <row r="1065" spans="1:25" ht="12" customHeight="1">
      <c r="A1065" s="96" t="s">
        <v>2583</v>
      </c>
      <c r="B1065" s="97" t="s">
        <v>2584</v>
      </c>
      <c r="C1065" s="27">
        <v>81.900000000000006</v>
      </c>
      <c r="D1065" s="27">
        <v>0.28816599999999998</v>
      </c>
      <c r="E1065" s="43"/>
      <c r="F1065" s="29" cm="1">
        <f t="array" ref="F1065">_xlfn.IFS(C1065=":",":",C1065&gt;=P$19,1,C1065&gt;=P$20,2,C1065&lt;P$20,3)</f>
        <v>1</v>
      </c>
      <c r="H1065" s="43"/>
      <c r="I1065" s="5"/>
      <c r="Y1065" s="26"/>
    </row>
    <row r="1066" spans="1:25" ht="12" customHeight="1">
      <c r="A1066" s="96" t="s">
        <v>2585</v>
      </c>
      <c r="B1066" s="97" t="s">
        <v>2586</v>
      </c>
      <c r="C1066" s="27">
        <v>97.4</v>
      </c>
      <c r="D1066" s="27">
        <v>0.222525</v>
      </c>
      <c r="E1066" s="43"/>
      <c r="F1066" s="29" cm="1">
        <f t="array" ref="F1066">_xlfn.IFS(C1066=":",":",C1066&gt;=P$19,1,C1066&gt;=P$20,2,C1066&lt;P$20,3)</f>
        <v>1</v>
      </c>
      <c r="H1066" s="43"/>
      <c r="I1066" s="5"/>
      <c r="Y1066" s="26"/>
    </row>
    <row r="1067" spans="1:25" ht="12" customHeight="1">
      <c r="A1067" s="96" t="s">
        <v>2587</v>
      </c>
      <c r="B1067" s="97" t="s">
        <v>2960</v>
      </c>
      <c r="C1067" s="27">
        <v>93.3</v>
      </c>
      <c r="D1067" s="27">
        <v>0.21901499999999999</v>
      </c>
      <c r="E1067" s="43"/>
      <c r="F1067" s="29" cm="1">
        <f t="array" ref="F1067">_xlfn.IFS(C1067=":",":",C1067&gt;=P$19,1,C1067&gt;=P$20,2,C1067&lt;P$20,3)</f>
        <v>1</v>
      </c>
      <c r="H1067" s="43"/>
      <c r="I1067" s="5"/>
      <c r="Y1067" s="26"/>
    </row>
    <row r="1068" spans="1:25" ht="12" customHeight="1">
      <c r="A1068" s="96" t="s">
        <v>2588</v>
      </c>
      <c r="B1068" s="97" t="s">
        <v>2589</v>
      </c>
      <c r="C1068" s="27">
        <v>92.9</v>
      </c>
      <c r="D1068" s="27">
        <v>8.0642000000000005E-2</v>
      </c>
      <c r="E1068" s="43"/>
      <c r="F1068" s="29" cm="1">
        <f t="array" ref="F1068">_xlfn.IFS(C1068=":",":",C1068&gt;=P$19,1,C1068&gt;=P$20,2,C1068&lt;P$20,3)</f>
        <v>1</v>
      </c>
      <c r="H1068" s="43"/>
      <c r="I1068" s="5"/>
      <c r="Y1068" s="26"/>
    </row>
    <row r="1069" spans="1:25" ht="12" customHeight="1">
      <c r="A1069" s="96" t="s">
        <v>2590</v>
      </c>
      <c r="B1069" s="97" t="s">
        <v>2591</v>
      </c>
      <c r="C1069" s="27">
        <v>98.9</v>
      </c>
      <c r="D1069" s="27">
        <v>1.444658</v>
      </c>
      <c r="E1069" s="43"/>
      <c r="F1069" s="29" cm="1">
        <f t="array" ref="F1069">_xlfn.IFS(C1069=":",":",C1069&gt;=P$19,1,C1069&gt;=P$20,2,C1069&lt;P$20,3)</f>
        <v>1</v>
      </c>
      <c r="H1069" s="43"/>
      <c r="I1069" s="5"/>
      <c r="Y1069" s="26"/>
    </row>
    <row r="1070" spans="1:25" ht="12" customHeight="1">
      <c r="A1070" s="96" t="s">
        <v>2592</v>
      </c>
      <c r="B1070" s="97" t="s">
        <v>2593</v>
      </c>
      <c r="C1070" s="27">
        <v>77.7</v>
      </c>
      <c r="D1070" s="27">
        <v>0.32674199999999998</v>
      </c>
      <c r="E1070" s="43"/>
      <c r="F1070" s="29" cm="1">
        <f t="array" ref="F1070">_xlfn.IFS(C1070=":",":",C1070&gt;=P$19,1,C1070&gt;=P$20,2,C1070&lt;P$20,3)</f>
        <v>1</v>
      </c>
      <c r="H1070" s="43"/>
      <c r="I1070" s="5"/>
      <c r="Y1070" s="26"/>
    </row>
    <row r="1071" spans="1:25" ht="12" customHeight="1">
      <c r="A1071" s="96" t="s">
        <v>2594</v>
      </c>
      <c r="B1071" s="97" t="s">
        <v>2961</v>
      </c>
      <c r="C1071" s="27">
        <v>97.2</v>
      </c>
      <c r="D1071" s="27">
        <v>0.646872</v>
      </c>
      <c r="E1071" s="43"/>
      <c r="F1071" s="29" cm="1">
        <f t="array" ref="F1071">_xlfn.IFS(C1071=":",":",C1071&gt;=P$19,1,C1071&gt;=P$20,2,C1071&lt;P$20,3)</f>
        <v>1</v>
      </c>
      <c r="H1071" s="43"/>
      <c r="I1071" s="5"/>
      <c r="Y1071" s="26"/>
    </row>
    <row r="1072" spans="1:25" ht="12" customHeight="1">
      <c r="A1072" s="96" t="s">
        <v>2595</v>
      </c>
      <c r="B1072" s="97" t="s">
        <v>2596</v>
      </c>
      <c r="C1072" s="27">
        <v>96.9</v>
      </c>
      <c r="D1072" s="27">
        <v>0.30268400000000001</v>
      </c>
      <c r="E1072" s="43"/>
      <c r="F1072" s="29" cm="1">
        <f t="array" ref="F1072">_xlfn.IFS(C1072=":",":",C1072&gt;=P$19,1,C1072&gt;=P$20,2,C1072&lt;P$20,3)</f>
        <v>1</v>
      </c>
      <c r="H1072" s="43"/>
      <c r="I1072" s="5"/>
      <c r="Y1072" s="26"/>
    </row>
    <row r="1073" spans="1:25" ht="12" customHeight="1">
      <c r="A1073" s="96" t="s">
        <v>2597</v>
      </c>
      <c r="B1073" s="97" t="s">
        <v>2962</v>
      </c>
      <c r="C1073" s="27">
        <v>74.5</v>
      </c>
      <c r="D1073" s="27">
        <v>0.69626100000000002</v>
      </c>
      <c r="E1073" s="43"/>
      <c r="F1073" s="29" cm="1">
        <f t="array" ref="F1073">_xlfn.IFS(C1073=":",":",C1073&gt;=P$19,1,C1073&gt;=P$20,2,C1073&lt;P$20,3)</f>
        <v>1</v>
      </c>
      <c r="H1073" s="43"/>
      <c r="I1073" s="5"/>
      <c r="Y1073" s="26"/>
    </row>
    <row r="1074" spans="1:25" ht="12" customHeight="1">
      <c r="A1074" s="96" t="s">
        <v>2598</v>
      </c>
      <c r="B1074" s="97" t="s">
        <v>2599</v>
      </c>
      <c r="C1074" s="27">
        <v>57.1</v>
      </c>
      <c r="D1074" s="27">
        <v>1.0062709999999999</v>
      </c>
      <c r="E1074" s="43"/>
      <c r="F1074" s="29" cm="1">
        <f t="array" ref="F1074">_xlfn.IFS(C1074=":",":",C1074&gt;=P$19,1,C1074&gt;=P$20,2,C1074&lt;P$20,3)</f>
        <v>2</v>
      </c>
      <c r="H1074" s="43"/>
      <c r="I1074" s="5"/>
      <c r="Y1074" s="26"/>
    </row>
    <row r="1075" spans="1:25" ht="12" customHeight="1">
      <c r="A1075" s="96" t="s">
        <v>2600</v>
      </c>
      <c r="B1075" s="97" t="s">
        <v>2601</v>
      </c>
      <c r="C1075" s="27">
        <v>24.2</v>
      </c>
      <c r="D1075" s="27">
        <v>0.90671400000000002</v>
      </c>
      <c r="E1075" s="43"/>
      <c r="F1075" s="29" cm="1">
        <f t="array" ref="F1075">_xlfn.IFS(C1075=":",":",C1075&gt;=P$19,1,C1075&gt;=P$20,2,C1075&lt;P$20,3)</f>
        <v>3</v>
      </c>
      <c r="H1075" s="43"/>
      <c r="I1075" s="5"/>
      <c r="Y1075" s="26"/>
    </row>
    <row r="1076" spans="1:25" ht="12" customHeight="1">
      <c r="A1076" s="96" t="s">
        <v>2602</v>
      </c>
      <c r="B1076" s="97" t="s">
        <v>2963</v>
      </c>
      <c r="C1076" s="27">
        <v>60.4</v>
      </c>
      <c r="D1076" s="27">
        <v>0.14523</v>
      </c>
      <c r="E1076" s="43"/>
      <c r="F1076" s="29" cm="1">
        <f t="array" ref="F1076">_xlfn.IFS(C1076=":",":",C1076&gt;=P$19,1,C1076&gt;=P$20,2,C1076&lt;P$20,3)</f>
        <v>2</v>
      </c>
      <c r="H1076" s="43"/>
      <c r="I1076" s="5"/>
      <c r="Y1076" s="26"/>
    </row>
    <row r="1077" spans="1:25" ht="12" customHeight="1">
      <c r="A1077" s="96" t="s">
        <v>2603</v>
      </c>
      <c r="B1077" s="97" t="s">
        <v>2604</v>
      </c>
      <c r="C1077" s="27">
        <v>47.3</v>
      </c>
      <c r="D1077" s="27">
        <v>1.7626040000000001</v>
      </c>
      <c r="E1077" s="43"/>
      <c r="F1077" s="29" cm="1">
        <f t="array" ref="F1077">_xlfn.IFS(C1077=":",":",C1077&gt;=P$19,1,C1077&gt;=P$20,2,C1077&lt;P$20,3)</f>
        <v>2</v>
      </c>
      <c r="H1077" s="43"/>
      <c r="I1077" s="5"/>
      <c r="Y1077" s="26"/>
    </row>
    <row r="1078" spans="1:25" ht="12" customHeight="1">
      <c r="A1078" s="96" t="s">
        <v>2605</v>
      </c>
      <c r="B1078" s="97" t="s">
        <v>2606</v>
      </c>
      <c r="C1078" s="27">
        <v>49.1</v>
      </c>
      <c r="D1078" s="27">
        <v>2.2536E-2</v>
      </c>
      <c r="E1078" s="43"/>
      <c r="F1078" s="29" cm="1">
        <f t="array" ref="F1078">_xlfn.IFS(C1078=":",":",C1078&gt;=P$19,1,C1078&gt;=P$20,2,C1078&lt;P$20,3)</f>
        <v>2</v>
      </c>
      <c r="H1078" s="43"/>
      <c r="I1078" s="5"/>
      <c r="Y1078" s="26"/>
    </row>
    <row r="1079" spans="1:25" ht="12" customHeight="1">
      <c r="A1079" s="96" t="s">
        <v>2607</v>
      </c>
      <c r="B1079" s="97" t="s">
        <v>2608</v>
      </c>
      <c r="C1079" s="27">
        <v>40.700000000000003</v>
      </c>
      <c r="D1079" s="27">
        <v>0.70589900000000005</v>
      </c>
      <c r="E1079" s="43"/>
      <c r="F1079" s="29" cm="1">
        <f t="array" ref="F1079">_xlfn.IFS(C1079=":",":",C1079&gt;=P$19,1,C1079&gt;=P$20,2,C1079&lt;P$20,3)</f>
        <v>2</v>
      </c>
      <c r="H1079" s="43"/>
      <c r="I1079" s="5"/>
      <c r="Y1079" s="26"/>
    </row>
    <row r="1080" spans="1:25" ht="12" customHeight="1">
      <c r="A1080" s="96" t="s">
        <v>2609</v>
      </c>
      <c r="B1080" s="97" t="s">
        <v>2610</v>
      </c>
      <c r="C1080" s="27">
        <v>65.8</v>
      </c>
      <c r="D1080" s="27">
        <v>0.517849</v>
      </c>
      <c r="E1080" s="43"/>
      <c r="F1080" s="29" cm="1">
        <f t="array" ref="F1080">_xlfn.IFS(C1080=":",":",C1080&gt;=P$19,1,C1080&gt;=P$20,2,C1080&lt;P$20,3)</f>
        <v>1</v>
      </c>
      <c r="H1080" s="43"/>
      <c r="I1080" s="5"/>
      <c r="Y1080" s="26"/>
    </row>
    <row r="1081" spans="1:25" ht="12" customHeight="1">
      <c r="A1081" s="96" t="s">
        <v>2611</v>
      </c>
      <c r="B1081" s="97" t="s">
        <v>2612</v>
      </c>
      <c r="C1081" s="27">
        <v>11.5</v>
      </c>
      <c r="D1081" s="27">
        <v>0.236896</v>
      </c>
      <c r="E1081" s="43"/>
      <c r="F1081" s="29" cm="1">
        <f t="array" ref="F1081">_xlfn.IFS(C1081=":",":",C1081&gt;=P$19,1,C1081&gt;=P$20,2,C1081&lt;P$20,3)</f>
        <v>3</v>
      </c>
      <c r="H1081" s="43"/>
      <c r="I1081" s="5"/>
      <c r="Y1081" s="26"/>
    </row>
    <row r="1082" spans="1:25" ht="12" customHeight="1">
      <c r="A1082" s="96" t="s">
        <v>2613</v>
      </c>
      <c r="B1082" s="97" t="s">
        <v>2614</v>
      </c>
      <c r="C1082" s="27">
        <v>5.3</v>
      </c>
      <c r="D1082" s="27">
        <v>2.8743300000000001</v>
      </c>
      <c r="E1082" s="43"/>
      <c r="F1082" s="29" cm="1">
        <f t="array" ref="F1082">_xlfn.IFS(C1082=":",":",C1082&gt;=P$19,1,C1082&gt;=P$20,2,C1082&lt;P$20,3)</f>
        <v>3</v>
      </c>
      <c r="H1082" s="43"/>
      <c r="I1082" s="5"/>
      <c r="Y1082" s="26"/>
    </row>
    <row r="1083" spans="1:25" ht="12" customHeight="1">
      <c r="A1083" s="96" t="s">
        <v>2615</v>
      </c>
      <c r="B1083" s="97" t="s">
        <v>2616</v>
      </c>
      <c r="C1083" s="27">
        <v>14.3</v>
      </c>
      <c r="D1083" s="27">
        <v>3.973401</v>
      </c>
      <c r="E1083" s="43"/>
      <c r="F1083" s="29" cm="1">
        <f t="array" ref="F1083">_xlfn.IFS(C1083=":",":",C1083&gt;=P$19,1,C1083&gt;=P$20,2,C1083&lt;P$20,3)</f>
        <v>3</v>
      </c>
      <c r="H1083" s="43"/>
      <c r="I1083" s="5"/>
      <c r="Y1083" s="26"/>
    </row>
    <row r="1084" spans="1:25" ht="12" customHeight="1">
      <c r="A1084" s="96" t="s">
        <v>2617</v>
      </c>
      <c r="B1084" s="97" t="s">
        <v>2964</v>
      </c>
      <c r="C1084" s="27">
        <v>13.9</v>
      </c>
      <c r="D1084" s="27">
        <v>1.3564449999999999</v>
      </c>
      <c r="E1084" s="43"/>
      <c r="F1084" s="29" cm="1">
        <f t="array" ref="F1084">_xlfn.IFS(C1084=":",":",C1084&gt;=P$19,1,C1084&gt;=P$20,2,C1084&lt;P$20,3)</f>
        <v>3</v>
      </c>
      <c r="H1084" s="43"/>
      <c r="I1084" s="5"/>
      <c r="Y1084" s="26"/>
    </row>
    <row r="1085" spans="1:25" ht="12" customHeight="1">
      <c r="A1085" s="96" t="s">
        <v>2618</v>
      </c>
      <c r="B1085" s="97" t="s">
        <v>2965</v>
      </c>
      <c r="C1085" s="27">
        <v>36.299999999999997</v>
      </c>
      <c r="D1085" s="27">
        <v>3.3272279999999999</v>
      </c>
      <c r="E1085" s="43"/>
      <c r="F1085" s="29" cm="1">
        <f t="array" ref="F1085">_xlfn.IFS(C1085=":",":",C1085&gt;=P$19,1,C1085&gt;=P$20,2,C1085&lt;P$20,3)</f>
        <v>2</v>
      </c>
      <c r="H1085" s="43"/>
      <c r="I1085" s="5"/>
      <c r="Y1085" s="26"/>
    </row>
    <row r="1086" spans="1:25" ht="12" customHeight="1">
      <c r="A1086" s="96" t="s">
        <v>2619</v>
      </c>
      <c r="B1086" s="97" t="s">
        <v>416</v>
      </c>
      <c r="C1086" s="27">
        <v>40.5</v>
      </c>
      <c r="D1086" s="27">
        <v>2.6072109999999999</v>
      </c>
      <c r="E1086" s="43"/>
      <c r="F1086" s="29" cm="1">
        <f t="array" ref="F1086">_xlfn.IFS(C1086=":",":",C1086&gt;=P$19,1,C1086&gt;=P$20,2,C1086&lt;P$20,3)</f>
        <v>2</v>
      </c>
      <c r="H1086" s="43"/>
      <c r="I1086" s="5"/>
      <c r="Y1086" s="26"/>
    </row>
    <row r="1087" spans="1:25" ht="12" customHeight="1">
      <c r="A1087" s="96" t="s">
        <v>2620</v>
      </c>
      <c r="B1087" s="97" t="s">
        <v>2621</v>
      </c>
      <c r="C1087" s="27">
        <v>56.3</v>
      </c>
      <c r="D1087" s="27">
        <v>1.3364769999999999</v>
      </c>
      <c r="E1087" s="43"/>
      <c r="F1087" s="29" cm="1">
        <f t="array" ref="F1087">_xlfn.IFS(C1087=":",":",C1087&gt;=P$19,1,C1087&gt;=P$20,2,C1087&lt;P$20,3)</f>
        <v>2</v>
      </c>
      <c r="H1087" s="43"/>
      <c r="I1087" s="5"/>
      <c r="Y1087" s="26"/>
    </row>
    <row r="1088" spans="1:25" ht="12" customHeight="1">
      <c r="A1088" s="96" t="s">
        <v>2622</v>
      </c>
      <c r="B1088" s="97" t="s">
        <v>2966</v>
      </c>
      <c r="C1088" s="27">
        <v>84</v>
      </c>
      <c r="D1088" s="27">
        <v>1.236637</v>
      </c>
      <c r="E1088" s="43"/>
      <c r="F1088" s="29" cm="1">
        <f t="array" ref="F1088">_xlfn.IFS(C1088=":",":",C1088&gt;=P$19,1,C1088&gt;=P$20,2,C1088&lt;P$20,3)</f>
        <v>1</v>
      </c>
      <c r="H1088" s="43"/>
      <c r="I1088" s="5"/>
      <c r="Y1088" s="26"/>
    </row>
    <row r="1089" spans="1:25" ht="12" customHeight="1">
      <c r="A1089" s="96" t="s">
        <v>2623</v>
      </c>
      <c r="B1089" s="97" t="s">
        <v>2624</v>
      </c>
      <c r="C1089" s="27">
        <v>65.099999999999994</v>
      </c>
      <c r="D1089" s="27">
        <v>0.73049900000000001</v>
      </c>
      <c r="E1089" s="43"/>
      <c r="F1089" s="29" cm="1">
        <f t="array" ref="F1089">_xlfn.IFS(C1089=":",":",C1089&gt;=P$19,1,C1089&gt;=P$20,2,C1089&lt;P$20,3)</f>
        <v>1</v>
      </c>
      <c r="H1089" s="43"/>
      <c r="I1089" s="5"/>
      <c r="Y1089" s="26"/>
    </row>
    <row r="1090" spans="1:25" ht="12" customHeight="1">
      <c r="A1090" s="96" t="s">
        <v>2625</v>
      </c>
      <c r="B1090" s="97" t="s">
        <v>2967</v>
      </c>
      <c r="C1090" s="27">
        <v>65.5</v>
      </c>
      <c r="D1090" s="27">
        <v>3.1139749999999999</v>
      </c>
      <c r="E1090" s="43"/>
      <c r="F1090" s="29" cm="1">
        <f t="array" ref="F1090">_xlfn.IFS(C1090=":",":",C1090&gt;=P$19,1,C1090&gt;=P$20,2,C1090&lt;P$20,3)</f>
        <v>1</v>
      </c>
      <c r="H1090" s="43"/>
      <c r="I1090" s="5"/>
      <c r="Y1090" s="26"/>
    </row>
    <row r="1091" spans="1:25" ht="12" customHeight="1">
      <c r="A1091" s="96" t="s">
        <v>2626</v>
      </c>
      <c r="B1091" s="97" t="s">
        <v>2627</v>
      </c>
      <c r="C1091" s="27">
        <v>87.9</v>
      </c>
      <c r="D1091" s="27">
        <v>1.851391</v>
      </c>
      <c r="E1091" s="43"/>
      <c r="F1091" s="29" cm="1">
        <f t="array" ref="F1091">_xlfn.IFS(C1091=":",":",C1091&gt;=P$19,1,C1091&gt;=P$20,2,C1091&lt;P$20,3)</f>
        <v>1</v>
      </c>
      <c r="H1091" s="43"/>
      <c r="I1091" s="5"/>
      <c r="Y1091" s="26"/>
    </row>
    <row r="1092" spans="1:25" ht="12" customHeight="1">
      <c r="A1092" s="96" t="s">
        <v>2628</v>
      </c>
      <c r="B1092" s="97" t="s">
        <v>2968</v>
      </c>
      <c r="C1092" s="27">
        <v>75.5</v>
      </c>
      <c r="D1092" s="27">
        <v>2.923584</v>
      </c>
      <c r="E1092" s="43"/>
      <c r="F1092" s="29" cm="1">
        <f t="array" ref="F1092">_xlfn.IFS(C1092=":",":",C1092&gt;=P$19,1,C1092&gt;=P$20,2,C1092&lt;P$20,3)</f>
        <v>1</v>
      </c>
      <c r="H1092" s="43"/>
      <c r="I1092" s="5"/>
      <c r="Y1092" s="26"/>
    </row>
    <row r="1093" spans="1:25" ht="12" customHeight="1">
      <c r="A1093" s="96" t="s">
        <v>2629</v>
      </c>
      <c r="B1093" s="97" t="s">
        <v>2969</v>
      </c>
      <c r="C1093" s="27">
        <v>66.099999999999994</v>
      </c>
      <c r="D1093" s="27">
        <v>0.86709000000000003</v>
      </c>
      <c r="E1093" s="43"/>
      <c r="F1093" s="29" cm="1">
        <f t="array" ref="F1093">_xlfn.IFS(C1093=":",":",C1093&gt;=P$19,1,C1093&gt;=P$20,2,C1093&lt;P$20,3)</f>
        <v>1</v>
      </c>
      <c r="H1093" s="43"/>
      <c r="I1093" s="5"/>
      <c r="Y1093" s="26"/>
    </row>
    <row r="1094" spans="1:25" ht="12" customHeight="1">
      <c r="A1094" s="96" t="s">
        <v>2633</v>
      </c>
      <c r="B1094" s="97" t="s">
        <v>2634</v>
      </c>
      <c r="C1094" s="27">
        <v>84.7</v>
      </c>
      <c r="D1094" s="27">
        <v>0.41439100000000001</v>
      </c>
      <c r="E1094" s="43"/>
      <c r="F1094" s="29" cm="1">
        <f t="array" ref="F1094">_xlfn.IFS(C1094=":",":",C1094&gt;=P$19,1,C1094&gt;=P$20,2,C1094&lt;P$20,3)</f>
        <v>1</v>
      </c>
      <c r="H1094" s="43"/>
      <c r="I1094" s="5"/>
      <c r="Y1094" s="26"/>
    </row>
    <row r="1095" spans="1:25" ht="12" customHeight="1">
      <c r="A1095" s="96" t="s">
        <v>3067</v>
      </c>
      <c r="B1095" s="97" t="s">
        <v>2630</v>
      </c>
      <c r="C1095" s="27">
        <v>90.3</v>
      </c>
      <c r="D1095" s="27">
        <v>1.0475540000000001</v>
      </c>
      <c r="E1095" s="43"/>
      <c r="F1095" s="29" cm="1">
        <f t="array" ref="F1095">_xlfn.IFS(C1095=":",":",C1095&gt;=P$19,1,C1095&gt;=P$20,2,C1095&lt;P$20,3)</f>
        <v>1</v>
      </c>
      <c r="H1095" s="43"/>
      <c r="I1095" s="5"/>
      <c r="Y1095" s="26"/>
    </row>
    <row r="1096" spans="1:25" ht="12" customHeight="1">
      <c r="A1096" s="96" t="s">
        <v>3068</v>
      </c>
      <c r="B1096" s="97" t="s">
        <v>2631</v>
      </c>
      <c r="C1096" s="27">
        <v>96</v>
      </c>
      <c r="D1096" s="27">
        <v>0.76524999999999999</v>
      </c>
      <c r="E1096" s="43"/>
      <c r="F1096" s="29" cm="1">
        <f t="array" ref="F1096">_xlfn.IFS(C1096=":",":",C1096&gt;=P$19,1,C1096&gt;=P$20,2,C1096&lt;P$20,3)</f>
        <v>1</v>
      </c>
      <c r="H1096" s="43"/>
      <c r="I1096" s="5"/>
      <c r="Y1096" s="26"/>
    </row>
    <row r="1097" spans="1:25" ht="12" customHeight="1">
      <c r="A1097" s="96" t="s">
        <v>3069</v>
      </c>
      <c r="B1097" s="97" t="s">
        <v>2632</v>
      </c>
      <c r="C1097" s="27">
        <v>80.400000000000006</v>
      </c>
      <c r="D1097" s="27">
        <v>0.37887199999999999</v>
      </c>
      <c r="E1097" s="43"/>
      <c r="F1097" s="29" cm="1">
        <f t="array" ref="F1097">_xlfn.IFS(C1097=":",":",C1097&gt;=P$19,1,C1097&gt;=P$20,2,C1097&lt;P$20,3)</f>
        <v>1</v>
      </c>
      <c r="H1097" s="43"/>
      <c r="I1097" s="5"/>
      <c r="Y1097" s="26"/>
    </row>
    <row r="1098" spans="1:25" ht="12" customHeight="1">
      <c r="A1098" s="96" t="s">
        <v>3070</v>
      </c>
      <c r="B1098" s="97" t="s">
        <v>2635</v>
      </c>
      <c r="C1098" s="27">
        <v>89.5</v>
      </c>
      <c r="D1098" s="27">
        <v>1.797598</v>
      </c>
      <c r="E1098" s="43"/>
      <c r="F1098" s="29" cm="1">
        <f t="array" ref="F1098">_xlfn.IFS(C1098=":",":",C1098&gt;=P$19,1,C1098&gt;=P$20,2,C1098&lt;P$20,3)</f>
        <v>1</v>
      </c>
      <c r="H1098" s="43"/>
      <c r="I1098" s="5"/>
      <c r="Y1098" s="26"/>
    </row>
    <row r="1099" spans="1:25" ht="12" customHeight="1">
      <c r="A1099" s="96" t="s">
        <v>2636</v>
      </c>
      <c r="B1099" s="97" t="s">
        <v>426</v>
      </c>
      <c r="C1099" s="27">
        <v>58.4</v>
      </c>
      <c r="D1099" s="27">
        <v>6.8066329999999997</v>
      </c>
      <c r="E1099" s="43"/>
      <c r="F1099" s="29" cm="1">
        <f t="array" ref="F1099">_xlfn.IFS(C1099=":",":",C1099&gt;=P$19,1,C1099&gt;=P$20,2,C1099&lt;P$20,3)</f>
        <v>2</v>
      </c>
      <c r="H1099" s="43"/>
      <c r="I1099" s="5"/>
      <c r="Y1099" s="26"/>
    </row>
    <row r="1100" spans="1:25" ht="12" customHeight="1">
      <c r="A1100" s="96" t="s">
        <v>2637</v>
      </c>
      <c r="B1100" s="97" t="s">
        <v>2638</v>
      </c>
      <c r="C1100" s="27">
        <v>86.5</v>
      </c>
      <c r="D1100" s="27">
        <v>1.3365100000000001</v>
      </c>
      <c r="E1100" s="43"/>
      <c r="F1100" s="29" cm="1">
        <f t="array" ref="F1100">_xlfn.IFS(C1100=":",":",C1100&gt;=P$19,1,C1100&gt;=P$20,2,C1100&lt;P$20,3)</f>
        <v>1</v>
      </c>
      <c r="H1100" s="43"/>
      <c r="I1100" s="5"/>
      <c r="Y1100" s="26"/>
    </row>
    <row r="1101" spans="1:25" ht="12" customHeight="1">
      <c r="A1101" s="96" t="s">
        <v>2639</v>
      </c>
      <c r="B1101" s="97" t="s">
        <v>2640</v>
      </c>
      <c r="C1101" s="27">
        <v>95</v>
      </c>
      <c r="D1101" s="27">
        <v>0.38666099999999998</v>
      </c>
      <c r="E1101" s="43"/>
      <c r="F1101" s="29" cm="1">
        <f t="array" ref="F1101">_xlfn.IFS(C1101=":",":",C1101&gt;=P$19,1,C1101&gt;=P$20,2,C1101&lt;P$20,3)</f>
        <v>1</v>
      </c>
      <c r="H1101" s="43"/>
      <c r="I1101" s="5"/>
      <c r="Y1101" s="26"/>
    </row>
    <row r="1102" spans="1:25" ht="12" customHeight="1">
      <c r="A1102" s="96" t="s">
        <v>2643</v>
      </c>
      <c r="B1102" s="97" t="s">
        <v>2644</v>
      </c>
      <c r="C1102" s="27">
        <v>94.3</v>
      </c>
      <c r="D1102" s="27">
        <v>0.52463400000000004</v>
      </c>
      <c r="E1102" s="43"/>
      <c r="F1102" s="29" cm="1">
        <f t="array" ref="F1102">_xlfn.IFS(C1102=":",":",C1102&gt;=P$19,1,C1102&gt;=P$20,2,C1102&lt;P$20,3)</f>
        <v>1</v>
      </c>
      <c r="H1102" s="43"/>
      <c r="I1102" s="5"/>
      <c r="Y1102" s="26"/>
    </row>
    <row r="1103" spans="1:25" ht="12" customHeight="1">
      <c r="A1103" s="96" t="s">
        <v>3071</v>
      </c>
      <c r="B1103" s="97" t="s">
        <v>2641</v>
      </c>
      <c r="C1103" s="27">
        <v>89.9</v>
      </c>
      <c r="D1103" s="27">
        <v>0.60231000000000001</v>
      </c>
      <c r="E1103" s="43"/>
      <c r="F1103" s="29" cm="1">
        <f t="array" ref="F1103">_xlfn.IFS(C1103=":",":",C1103&gt;=P$19,1,C1103&gt;=P$20,2,C1103&lt;P$20,3)</f>
        <v>1</v>
      </c>
      <c r="H1103" s="43"/>
      <c r="I1103" s="5"/>
      <c r="Y1103" s="26"/>
    </row>
    <row r="1104" spans="1:25" ht="12" customHeight="1">
      <c r="A1104" s="96" t="s">
        <v>3072</v>
      </c>
      <c r="B1104" s="97" t="s">
        <v>2642</v>
      </c>
      <c r="C1104" s="27">
        <v>90.7</v>
      </c>
      <c r="D1104" s="27">
        <v>0.27658500000000003</v>
      </c>
      <c r="F1104" s="29" cm="1">
        <f t="array" ref="F1104">_xlfn.IFS(C1104=":",":",C1104&gt;=P$19,1,C1104&gt;=P$20,2,C1104&lt;P$20,3)</f>
        <v>1</v>
      </c>
      <c r="G1104" s="30"/>
      <c r="H1104" s="43"/>
      <c r="I1104" s="5"/>
      <c r="Y1104" s="26"/>
    </row>
    <row r="1105" spans="1:25" ht="12" customHeight="1">
      <c r="A1105" s="96" t="s">
        <v>2648</v>
      </c>
      <c r="B1105" s="97" t="s">
        <v>2649</v>
      </c>
      <c r="C1105" s="27">
        <v>88.2</v>
      </c>
      <c r="D1105" s="27">
        <v>0.138178</v>
      </c>
      <c r="F1105" s="29" cm="1">
        <f t="array" ref="F1105">_xlfn.IFS(C1105=":",":",C1105&gt;=P$19,1,C1105&gt;=P$20,2,C1105&lt;P$20,3)</f>
        <v>1</v>
      </c>
      <c r="G1105" s="30"/>
      <c r="H1105" s="43"/>
      <c r="I1105" s="5"/>
      <c r="Y1105" s="26"/>
    </row>
    <row r="1106" spans="1:25" ht="12" customHeight="1">
      <c r="A1106" s="96" t="s">
        <v>2650</v>
      </c>
      <c r="B1106" s="97" t="s">
        <v>2651</v>
      </c>
      <c r="C1106" s="27">
        <v>41.4</v>
      </c>
      <c r="D1106" s="27">
        <v>3.3732120000000001</v>
      </c>
      <c r="F1106" s="29" cm="1">
        <f t="array" ref="F1106">_xlfn.IFS(C1106=":",":",C1106&gt;=P$19,1,C1106&gt;=P$20,2,C1106&lt;P$20,3)</f>
        <v>2</v>
      </c>
      <c r="G1106" s="30"/>
      <c r="H1106" s="43"/>
      <c r="I1106" s="5"/>
      <c r="Y1106" s="26"/>
    </row>
    <row r="1107" spans="1:25" ht="12" customHeight="1">
      <c r="A1107" s="96" t="s">
        <v>2652</v>
      </c>
      <c r="B1107" s="97" t="s">
        <v>2653</v>
      </c>
      <c r="C1107" s="27">
        <v>92.1</v>
      </c>
      <c r="D1107" s="27">
        <v>0.61415299999999995</v>
      </c>
      <c r="F1107" s="29" cm="1">
        <f t="array" ref="F1107">_xlfn.IFS(C1107=":",":",C1107&gt;=P$19,1,C1107&gt;=P$20,2,C1107&lt;P$20,3)</f>
        <v>1</v>
      </c>
      <c r="G1107" s="30"/>
      <c r="H1107" s="43"/>
      <c r="I1107" s="5"/>
      <c r="Y1107" s="26"/>
    </row>
    <row r="1108" spans="1:25" ht="12" customHeight="1">
      <c r="A1108" s="96" t="s">
        <v>2654</v>
      </c>
      <c r="B1108" s="97" t="s">
        <v>2655</v>
      </c>
      <c r="C1108" s="27">
        <v>81.2</v>
      </c>
      <c r="D1108" s="27">
        <v>1.83291</v>
      </c>
      <c r="F1108" s="29" cm="1">
        <f t="array" ref="F1108">_xlfn.IFS(C1108=":",":",C1108&gt;=P$19,1,C1108&gt;=P$20,2,C1108&lt;P$20,3)</f>
        <v>1</v>
      </c>
      <c r="G1108" s="30"/>
      <c r="H1108" s="43"/>
      <c r="I1108" s="5"/>
      <c r="Y1108" s="26"/>
    </row>
    <row r="1109" spans="1:25" ht="12" customHeight="1">
      <c r="A1109" s="96" t="s">
        <v>3073</v>
      </c>
      <c r="B1109" s="97" t="s">
        <v>2645</v>
      </c>
      <c r="C1109" s="27">
        <v>88.6</v>
      </c>
      <c r="D1109" s="27">
        <v>0.62139999999999995</v>
      </c>
      <c r="F1109" s="29" cm="1">
        <f t="array" ref="F1109">_xlfn.IFS(C1109=":",":",C1109&gt;=P$19,1,C1109&gt;=P$20,2,C1109&lt;P$20,3)</f>
        <v>1</v>
      </c>
      <c r="G1109" s="30"/>
      <c r="H1109" s="43"/>
      <c r="I1109" s="5"/>
      <c r="Y1109" s="26"/>
    </row>
    <row r="1110" spans="1:25" ht="12" customHeight="1">
      <c r="A1110" s="96" t="s">
        <v>3074</v>
      </c>
      <c r="B1110" s="97" t="s">
        <v>2646</v>
      </c>
      <c r="C1110" s="27">
        <v>93.1</v>
      </c>
      <c r="D1110" s="27">
        <v>0.80914699999999995</v>
      </c>
      <c r="F1110" s="29" cm="1">
        <f t="array" ref="F1110">_xlfn.IFS(C1110=":",":",C1110&gt;=P$19,1,C1110&gt;=P$20,2,C1110&lt;P$20,3)</f>
        <v>1</v>
      </c>
      <c r="G1110" s="30"/>
      <c r="H1110" s="43"/>
      <c r="I1110" s="5"/>
      <c r="Y1110" s="26"/>
    </row>
    <row r="1111" spans="1:25" ht="12" customHeight="1">
      <c r="A1111" s="96" t="s">
        <v>3075</v>
      </c>
      <c r="B1111" s="97" t="s">
        <v>2647</v>
      </c>
      <c r="C1111" s="27">
        <v>91.4</v>
      </c>
      <c r="D1111" s="27">
        <v>0.53247800000000001</v>
      </c>
      <c r="F1111" s="29" cm="1">
        <f t="array" ref="F1111">_xlfn.IFS(C1111=":",":",C1111&gt;=P$19,1,C1111&gt;=P$20,2,C1111&lt;P$20,3)</f>
        <v>1</v>
      </c>
      <c r="G1111" s="30"/>
      <c r="H1111" s="43"/>
      <c r="I1111" s="5"/>
      <c r="Y1111" s="26"/>
    </row>
    <row r="1112" spans="1:25" ht="12" customHeight="1">
      <c r="A1112" s="96" t="s">
        <v>2656</v>
      </c>
      <c r="B1112" s="97" t="s">
        <v>431</v>
      </c>
      <c r="C1112" s="27">
        <v>51.4</v>
      </c>
      <c r="D1112" s="27">
        <v>0.41988199999999998</v>
      </c>
      <c r="F1112" s="29" cm="1">
        <f t="array" ref="F1112">_xlfn.IFS(C1112=":",":",C1112&gt;=P$19,1,C1112&gt;=P$20,2,C1112&lt;P$20,3)</f>
        <v>2</v>
      </c>
      <c r="G1112" s="30"/>
      <c r="H1112" s="43"/>
      <c r="I1112" s="5"/>
      <c r="Y1112" s="26"/>
    </row>
    <row r="1113" spans="1:25" ht="12" customHeight="1">
      <c r="A1113" s="96" t="s">
        <v>2657</v>
      </c>
      <c r="B1113" s="97" t="s">
        <v>2658</v>
      </c>
      <c r="C1113" s="27">
        <v>63.7</v>
      </c>
      <c r="D1113" s="27">
        <v>15.307719000000001</v>
      </c>
      <c r="F1113" s="29" cm="1">
        <f t="array" ref="F1113">_xlfn.IFS(C1113=":",":",C1113&gt;=P$19,1,C1113&gt;=P$20,2,C1113&lt;P$20,3)</f>
        <v>2</v>
      </c>
      <c r="G1113" s="30"/>
      <c r="H1113" s="43"/>
      <c r="I1113" s="5"/>
      <c r="Y1113" s="26"/>
    </row>
    <row r="1114" spans="1:25" ht="12" customHeight="1">
      <c r="A1114" s="96" t="s">
        <v>2659</v>
      </c>
      <c r="B1114" s="97" t="s">
        <v>2660</v>
      </c>
      <c r="C1114" s="27">
        <v>82.2</v>
      </c>
      <c r="D1114" s="27">
        <v>1.1802060000000001</v>
      </c>
      <c r="F1114" s="29" cm="1">
        <f t="array" ref="F1114">_xlfn.IFS(C1114=":",":",C1114&gt;=P$19,1,C1114&gt;=P$20,2,C1114&lt;P$20,3)</f>
        <v>1</v>
      </c>
      <c r="G1114" s="30"/>
      <c r="H1114" s="43"/>
      <c r="I1114" s="5"/>
      <c r="Y1114" s="26"/>
    </row>
    <row r="1115" spans="1:25" ht="12" customHeight="1">
      <c r="A1115" s="96" t="s">
        <v>2661</v>
      </c>
      <c r="B1115" s="97" t="s">
        <v>2662</v>
      </c>
      <c r="C1115" s="27">
        <v>89.3</v>
      </c>
      <c r="D1115" s="27">
        <v>1.1269610000000001</v>
      </c>
      <c r="F1115" s="29" cm="1">
        <f t="array" ref="F1115">_xlfn.IFS(C1115=":",":",C1115&gt;=P$19,1,C1115&gt;=P$20,2,C1115&lt;P$20,3)</f>
        <v>1</v>
      </c>
      <c r="G1115" s="30"/>
      <c r="H1115" s="43"/>
      <c r="I1115" s="5"/>
      <c r="Y1115" s="26"/>
    </row>
    <row r="1116" spans="1:25" ht="12" customHeight="1">
      <c r="A1116" s="96" t="s">
        <v>2663</v>
      </c>
      <c r="B1116" s="97" t="s">
        <v>2664</v>
      </c>
      <c r="C1116" s="27">
        <v>83.8</v>
      </c>
      <c r="D1116" s="27">
        <v>1.998937</v>
      </c>
      <c r="F1116" s="29" cm="1">
        <f t="array" ref="F1116">_xlfn.IFS(C1116=":",":",C1116&gt;=P$19,1,C1116&gt;=P$20,2,C1116&lt;P$20,3)</f>
        <v>1</v>
      </c>
      <c r="G1116" s="30"/>
      <c r="H1116" s="43"/>
      <c r="I1116" s="5"/>
      <c r="Y1116" s="26"/>
    </row>
    <row r="1117" spans="1:25" ht="12" customHeight="1">
      <c r="A1117" s="96" t="s">
        <v>2665</v>
      </c>
      <c r="B1117" s="97" t="s">
        <v>2666</v>
      </c>
      <c r="C1117" s="27">
        <v>81.400000000000006</v>
      </c>
      <c r="D1117" s="27">
        <v>1.2488189999999999</v>
      </c>
      <c r="F1117" s="29" cm="1">
        <f t="array" ref="F1117">_xlfn.IFS(C1117=":",":",C1117&gt;=P$19,1,C1117&gt;=P$20,2,C1117&lt;P$20,3)</f>
        <v>1</v>
      </c>
      <c r="G1117" s="30"/>
      <c r="H1117" s="43"/>
      <c r="I1117" s="5"/>
      <c r="Y1117" s="26"/>
    </row>
    <row r="1118" spans="1:25" ht="12" customHeight="1">
      <c r="A1118" s="96" t="s">
        <v>2667</v>
      </c>
      <c r="B1118" s="97" t="s">
        <v>2668</v>
      </c>
      <c r="C1118" s="27">
        <v>91.3</v>
      </c>
      <c r="D1118" s="27">
        <v>0.96473799999999998</v>
      </c>
      <c r="F1118" s="29" cm="1">
        <f t="array" ref="F1118">_xlfn.IFS(C1118=":",":",C1118&gt;=P$19,1,C1118&gt;=P$20,2,C1118&lt;P$20,3)</f>
        <v>1</v>
      </c>
      <c r="G1118" s="30"/>
      <c r="H1118" s="43"/>
      <c r="I1118" s="5"/>
      <c r="Y1118" s="26"/>
    </row>
    <row r="1119" spans="1:25" ht="12" customHeight="1">
      <c r="A1119" s="96" t="s">
        <v>2669</v>
      </c>
      <c r="B1119" s="97" t="s">
        <v>2670</v>
      </c>
      <c r="C1119" s="27">
        <v>77.400000000000006</v>
      </c>
      <c r="D1119" s="27">
        <v>1.6888209999999999</v>
      </c>
      <c r="F1119" s="29" cm="1">
        <f t="array" ref="F1119">_xlfn.IFS(C1119=":",":",C1119&gt;=P$19,1,C1119&gt;=P$20,2,C1119&lt;P$20,3)</f>
        <v>1</v>
      </c>
      <c r="G1119" s="30"/>
      <c r="H1119" s="43"/>
      <c r="I1119" s="5"/>
      <c r="Y1119" s="26"/>
    </row>
    <row r="1120" spans="1:25" ht="12" customHeight="1">
      <c r="A1120" s="96" t="s">
        <v>2671</v>
      </c>
      <c r="B1120" s="97" t="s">
        <v>2672</v>
      </c>
      <c r="C1120" s="27">
        <v>62</v>
      </c>
      <c r="D1120" s="27">
        <v>0.87529299999999999</v>
      </c>
      <c r="F1120" s="29" cm="1">
        <f t="array" ref="F1120">_xlfn.IFS(C1120=":",":",C1120&gt;=P$19,1,C1120&gt;=P$20,2,C1120&lt;P$20,3)</f>
        <v>2</v>
      </c>
      <c r="G1120" s="30"/>
      <c r="H1120" s="43"/>
      <c r="I1120" s="5"/>
      <c r="Y1120" s="26"/>
    </row>
    <row r="1121" spans="1:25" ht="12" customHeight="1">
      <c r="A1121" s="96" t="s">
        <v>2673</v>
      </c>
      <c r="B1121" s="97" t="s">
        <v>2674</v>
      </c>
      <c r="C1121" s="27">
        <v>82.3</v>
      </c>
      <c r="D1121" s="27">
        <v>3.1735090000000001</v>
      </c>
      <c r="F1121" s="29" cm="1">
        <f t="array" ref="F1121">_xlfn.IFS(C1121=":",":",C1121&gt;=P$19,1,C1121&gt;=P$20,2,C1121&lt;P$20,3)</f>
        <v>1</v>
      </c>
      <c r="G1121" s="30"/>
      <c r="H1121" s="43"/>
      <c r="I1121" s="5"/>
      <c r="Y1121" s="26"/>
    </row>
    <row r="1122" spans="1:25" ht="12" customHeight="1">
      <c r="A1122" s="96" t="s">
        <v>2675</v>
      </c>
      <c r="B1122" s="97" t="s">
        <v>2676</v>
      </c>
      <c r="C1122" s="27">
        <v>86.8</v>
      </c>
      <c r="D1122" s="27">
        <v>0.93417700000000004</v>
      </c>
      <c r="F1122" s="29" cm="1">
        <f t="array" ref="F1122">_xlfn.IFS(C1122=":",":",C1122&gt;=P$19,1,C1122&gt;=P$20,2,C1122&lt;P$20,3)</f>
        <v>1</v>
      </c>
      <c r="G1122" s="30"/>
      <c r="H1122" s="43"/>
      <c r="I1122" s="5"/>
      <c r="Y1122" s="26"/>
    </row>
    <row r="1123" spans="1:25" ht="12" customHeight="1">
      <c r="A1123" s="96" t="s">
        <v>2677</v>
      </c>
      <c r="B1123" s="97" t="s">
        <v>2678</v>
      </c>
      <c r="C1123" s="27">
        <v>79.5</v>
      </c>
      <c r="D1123" s="27">
        <v>0.97948500000000005</v>
      </c>
      <c r="F1123" s="29" cm="1">
        <f t="array" ref="F1123">_xlfn.IFS(C1123=":",":",C1123&gt;=P$19,1,C1123&gt;=P$20,2,C1123&lt;P$20,3)</f>
        <v>1</v>
      </c>
      <c r="G1123" s="30"/>
      <c r="H1123" s="43"/>
      <c r="I1123" s="5"/>
      <c r="Y1123" s="26"/>
    </row>
    <row r="1124" spans="1:25" ht="12" customHeight="1">
      <c r="A1124" s="96" t="s">
        <v>2679</v>
      </c>
      <c r="B1124" s="97" t="s">
        <v>2680</v>
      </c>
      <c r="C1124" s="27">
        <v>72</v>
      </c>
      <c r="D1124" s="27">
        <v>6.6707200000000002</v>
      </c>
      <c r="F1124" s="29" cm="1">
        <f t="array" ref="F1124">_xlfn.IFS(C1124=":",":",C1124&gt;=P$19,1,C1124&gt;=P$20,2,C1124&lt;P$20,3)</f>
        <v>1</v>
      </c>
      <c r="G1124" s="30"/>
      <c r="H1124" s="43"/>
      <c r="I1124" s="5"/>
      <c r="Y1124" s="26"/>
    </row>
    <row r="1125" spans="1:25" ht="12" customHeight="1">
      <c r="A1125" s="96" t="s">
        <v>2681</v>
      </c>
      <c r="B1125" s="97" t="s">
        <v>2682</v>
      </c>
      <c r="C1125" s="27">
        <v>88</v>
      </c>
      <c r="D1125" s="27">
        <v>2.8647469999999999</v>
      </c>
      <c r="F1125" s="29" cm="1">
        <f t="array" ref="F1125">_xlfn.IFS(C1125=":",":",C1125&gt;=P$19,1,C1125&gt;=P$20,2,C1125&lt;P$20,3)</f>
        <v>1</v>
      </c>
      <c r="G1125" s="30"/>
      <c r="H1125" s="43"/>
      <c r="I1125" s="5"/>
      <c r="Y1125" s="26"/>
    </row>
    <row r="1126" spans="1:25" ht="12" customHeight="1">
      <c r="A1126" s="96" t="s">
        <v>2683</v>
      </c>
      <c r="B1126" s="97" t="s">
        <v>2684</v>
      </c>
      <c r="C1126" s="27">
        <v>69.400000000000006</v>
      </c>
      <c r="D1126" s="27">
        <v>10.906608</v>
      </c>
      <c r="F1126" s="29" cm="1">
        <f t="array" ref="F1126">_xlfn.IFS(C1126=":",":",C1126&gt;=P$19,1,C1126&gt;=P$20,2,C1126&lt;P$20,3)</f>
        <v>1</v>
      </c>
      <c r="G1126" s="30"/>
      <c r="H1126" s="43"/>
      <c r="I1126" s="5"/>
      <c r="Y1126" s="26"/>
    </row>
    <row r="1127" spans="1:25" ht="12" customHeight="1">
      <c r="A1127" s="96" t="s">
        <v>2685</v>
      </c>
      <c r="B1127" s="97" t="s">
        <v>2686</v>
      </c>
      <c r="C1127" s="27">
        <v>63.3</v>
      </c>
      <c r="D1127" s="27">
        <v>1.9124620000000001</v>
      </c>
      <c r="F1127" s="29" cm="1">
        <f t="array" ref="F1127">_xlfn.IFS(C1127=":",":",C1127&gt;=P$19,1,C1127&gt;=P$20,2,C1127&lt;P$20,3)</f>
        <v>2</v>
      </c>
      <c r="G1127" s="30"/>
      <c r="H1127" s="43"/>
      <c r="I1127" s="5"/>
      <c r="Y1127" s="26"/>
    </row>
    <row r="1128" spans="1:25" ht="12" customHeight="1">
      <c r="A1128" s="100" t="s">
        <v>2687</v>
      </c>
      <c r="B1128" s="99" t="s">
        <v>2688</v>
      </c>
      <c r="C1128" s="27">
        <v>82.5</v>
      </c>
      <c r="D1128" s="27">
        <v>3.2355290000000001</v>
      </c>
      <c r="F1128" s="29" cm="1">
        <f t="array" ref="F1128">_xlfn.IFS(C1128=":",":",C1128&gt;=P$19,1,C1128&gt;=P$20,2,C1128&lt;P$20,3)</f>
        <v>1</v>
      </c>
      <c r="G1128" s="30"/>
      <c r="H1128" s="43"/>
      <c r="I1128" s="5"/>
      <c r="Y1128" s="26"/>
    </row>
    <row r="1129" spans="1:25" ht="12" customHeight="1">
      <c r="A1129" s="100" t="s">
        <v>2689</v>
      </c>
      <c r="B1129" s="99" t="s">
        <v>2690</v>
      </c>
      <c r="C1129" s="27">
        <v>87.9</v>
      </c>
      <c r="D1129" s="27">
        <v>1.189927</v>
      </c>
      <c r="F1129" s="29" cm="1">
        <f t="array" ref="F1129">_xlfn.IFS(C1129=":",":",C1129&gt;=P$19,1,C1129&gt;=P$20,2,C1129&lt;P$20,3)</f>
        <v>1</v>
      </c>
      <c r="G1129" s="30"/>
      <c r="H1129" s="43"/>
      <c r="I1129" s="5"/>
      <c r="Y1129" s="26"/>
    </row>
    <row r="1130" spans="1:25" ht="12" customHeight="1">
      <c r="A1130" s="100" t="s">
        <v>2691</v>
      </c>
      <c r="B1130" s="99" t="s">
        <v>2692</v>
      </c>
      <c r="C1130" s="27">
        <v>85.5</v>
      </c>
      <c r="D1130" s="27">
        <v>1.3249880000000001</v>
      </c>
      <c r="F1130" s="29" cm="1">
        <f t="array" ref="F1130">_xlfn.IFS(C1130=":",":",C1130&gt;=P$19,1,C1130&gt;=P$20,2,C1130&lt;P$20,3)</f>
        <v>1</v>
      </c>
      <c r="G1130" s="30"/>
      <c r="H1130" s="43"/>
      <c r="I1130" s="5"/>
      <c r="Y1130" s="26"/>
    </row>
    <row r="1131" spans="1:25" ht="12" customHeight="1">
      <c r="A1131" s="100" t="s">
        <v>2693</v>
      </c>
      <c r="B1131" s="99" t="s">
        <v>2694</v>
      </c>
      <c r="C1131" s="27">
        <v>77.5</v>
      </c>
      <c r="D1131" s="27">
        <v>1.7681119999999999</v>
      </c>
      <c r="F1131" s="29" cm="1">
        <f t="array" ref="F1131">_xlfn.IFS(C1131=":",":",C1131&gt;=P$19,1,C1131&gt;=P$20,2,C1131&lt;P$20,3)</f>
        <v>1</v>
      </c>
      <c r="G1131" s="30"/>
      <c r="H1131" s="43"/>
      <c r="I1131" s="5"/>
      <c r="Y1131" s="26"/>
    </row>
    <row r="1132" spans="1:25" ht="12" customHeight="1">
      <c r="A1132" s="96" t="s">
        <v>2695</v>
      </c>
      <c r="B1132" s="97" t="s">
        <v>2696</v>
      </c>
      <c r="C1132" s="27">
        <v>75</v>
      </c>
      <c r="D1132" s="27">
        <v>1.8523099999999999</v>
      </c>
      <c r="F1132" s="29" cm="1">
        <f t="array" ref="F1132">_xlfn.IFS(C1132=":",":",C1132&gt;=P$19,1,C1132&gt;=P$20,2,C1132&lt;P$20,3)</f>
        <v>1</v>
      </c>
      <c r="G1132" s="30"/>
      <c r="H1132" s="43"/>
      <c r="I1132" s="5"/>
      <c r="Y1132" s="26"/>
    </row>
    <row r="1133" spans="1:25" ht="12" customHeight="1">
      <c r="A1133" s="96" t="s">
        <v>2697</v>
      </c>
      <c r="B1133" s="97" t="s">
        <v>2698</v>
      </c>
      <c r="C1133" s="27">
        <v>64.599999999999994</v>
      </c>
      <c r="D1133" s="27">
        <v>2.9120170000000001</v>
      </c>
      <c r="F1133" s="29" cm="1">
        <f t="array" ref="F1133">_xlfn.IFS(C1133=":",":",C1133&gt;=P$19,1,C1133&gt;=P$20,2,C1133&lt;P$20,3)</f>
        <v>2</v>
      </c>
      <c r="G1133" s="30"/>
      <c r="H1133" s="43"/>
      <c r="I1133" s="5"/>
      <c r="Y1133" s="26"/>
    </row>
    <row r="1134" spans="1:25" ht="12" customHeight="1">
      <c r="A1134" s="96" t="s">
        <v>2699</v>
      </c>
      <c r="B1134" s="97" t="s">
        <v>2970</v>
      </c>
      <c r="C1134" s="27">
        <v>12.4</v>
      </c>
      <c r="D1134" s="27">
        <v>3.483746</v>
      </c>
      <c r="E1134" s="59">
        <v>2023</v>
      </c>
      <c r="F1134" s="29" cm="1">
        <f t="array" ref="F1134">_xlfn.IFS(C1134=":",":",C1134&gt;=P$19,1,C1134&gt;=P$20,2,C1134&lt;P$20,3)</f>
        <v>3</v>
      </c>
      <c r="G1134" s="30"/>
      <c r="H1134" s="43"/>
      <c r="I1134" s="5"/>
      <c r="Y1134" s="26"/>
    </row>
    <row r="1135" spans="1:25" ht="12" customHeight="1">
      <c r="A1135" s="96" t="s">
        <v>2700</v>
      </c>
      <c r="B1135" s="97" t="s">
        <v>2971</v>
      </c>
      <c r="C1135" s="27">
        <v>25.3</v>
      </c>
      <c r="D1135" s="27">
        <v>6.0348449999999998</v>
      </c>
      <c r="E1135" s="59">
        <v>2023</v>
      </c>
      <c r="F1135" s="29" cm="1">
        <f t="array" ref="F1135">_xlfn.IFS(C1135=":",":",C1135&gt;=P$19,1,C1135&gt;=P$20,2,C1135&lt;P$20,3)</f>
        <v>3</v>
      </c>
      <c r="G1135" s="30"/>
      <c r="H1135" s="43"/>
      <c r="I1135" s="5"/>
      <c r="Y1135" s="26"/>
    </row>
    <row r="1136" spans="1:25" ht="12" customHeight="1">
      <c r="A1136" s="100" t="s">
        <v>2701</v>
      </c>
      <c r="B1136" s="99" t="s">
        <v>453</v>
      </c>
      <c r="C1136" s="27">
        <v>2.2999999999999998</v>
      </c>
      <c r="D1136" s="27">
        <v>0.228579</v>
      </c>
      <c r="E1136" s="59"/>
      <c r="F1136" s="29" cm="1">
        <f t="array" ref="F1136">_xlfn.IFS(C1136=":",":",C1136&gt;=P$19,1,C1136&gt;=P$20,2,C1136&lt;P$20,3)</f>
        <v>3</v>
      </c>
      <c r="G1136" s="30"/>
      <c r="H1136" s="43"/>
      <c r="I1136" s="5"/>
      <c r="Y1136" s="26"/>
    </row>
    <row r="1137" spans="1:25" ht="12" customHeight="1">
      <c r="A1137" s="100" t="s">
        <v>2702</v>
      </c>
      <c r="B1137" s="99" t="s">
        <v>456</v>
      </c>
      <c r="C1137" s="27">
        <v>73.400000000000006</v>
      </c>
      <c r="D1137" s="27">
        <v>3.63313</v>
      </c>
      <c r="E1137" s="59"/>
      <c r="F1137" s="29" cm="1">
        <f t="array" ref="F1137">_xlfn.IFS(C1137=":",":",C1137&gt;=P$19,1,C1137&gt;=P$20,2,C1137&lt;P$20,3)</f>
        <v>1</v>
      </c>
      <c r="G1137" s="30"/>
      <c r="H1137" s="43"/>
      <c r="I1137" s="5"/>
      <c r="Y1137" s="26"/>
    </row>
    <row r="1138" spans="1:25" ht="12" customHeight="1">
      <c r="A1138" s="96" t="s">
        <v>2703</v>
      </c>
      <c r="B1138" s="97" t="s">
        <v>3026</v>
      </c>
      <c r="C1138" s="27">
        <v>79.5</v>
      </c>
      <c r="D1138" s="27">
        <v>2.8790650000000002</v>
      </c>
      <c r="E1138" s="59"/>
      <c r="F1138" s="29" cm="1">
        <f t="array" ref="F1138">_xlfn.IFS(C1138=":",":",C1138&gt;=P$19,1,C1138&gt;=P$20,2,C1138&lt;P$20,3)</f>
        <v>1</v>
      </c>
      <c r="G1138" s="30"/>
      <c r="H1138" s="43"/>
      <c r="I1138" s="5"/>
      <c r="Y1138" s="26"/>
    </row>
    <row r="1139" spans="1:25" ht="12" customHeight="1">
      <c r="A1139" s="96" t="s">
        <v>2704</v>
      </c>
      <c r="B1139" s="97" t="s">
        <v>3027</v>
      </c>
      <c r="C1139" s="27">
        <v>59.3</v>
      </c>
      <c r="D1139" s="27">
        <v>2.6285980000000002</v>
      </c>
      <c r="F1139" s="29" cm="1">
        <f t="array" ref="F1139">_xlfn.IFS(C1139=":",":",C1139&gt;=P$19,1,C1139&gt;=P$20,2,C1139&lt;P$20,3)</f>
        <v>2</v>
      </c>
      <c r="G1139" s="30"/>
      <c r="H1139" s="43"/>
      <c r="I1139" s="5"/>
      <c r="Y1139" s="26"/>
    </row>
    <row r="1140" spans="1:25" ht="12" customHeight="1">
      <c r="A1140" s="96" t="s">
        <v>3096</v>
      </c>
      <c r="B1140" s="97" t="s">
        <v>3097</v>
      </c>
      <c r="C1140" s="27">
        <v>49.4</v>
      </c>
      <c r="D1140" s="27">
        <v>1.8761350000000001</v>
      </c>
      <c r="F1140" s="29" cm="1">
        <f t="array" ref="F1140">_xlfn.IFS(C1140=":",":",C1140&gt;=P$19,1,C1140&gt;=P$20,2,C1140&lt;P$20,3)</f>
        <v>2</v>
      </c>
      <c r="G1140" s="30"/>
      <c r="H1140" s="43"/>
      <c r="I1140" s="5"/>
      <c r="Y1140" s="26"/>
    </row>
    <row r="1141" spans="1:25" ht="12" customHeight="1">
      <c r="A1141" s="96" t="s">
        <v>3098</v>
      </c>
      <c r="B1141" s="97" t="s">
        <v>3099</v>
      </c>
      <c r="C1141" s="27">
        <v>58.7</v>
      </c>
      <c r="D1141" s="27">
        <v>0.77346000000000004</v>
      </c>
      <c r="F1141" s="29" cm="1">
        <f t="array" ref="F1141">_xlfn.IFS(C1141=":",":",C1141&gt;=P$19,1,C1141&gt;=P$20,2,C1141&lt;P$20,3)</f>
        <v>2</v>
      </c>
      <c r="G1141" s="30"/>
      <c r="H1141" s="43"/>
      <c r="I1141" s="5"/>
      <c r="Y1141" s="26"/>
    </row>
    <row r="1142" spans="1:25" ht="12" customHeight="1">
      <c r="A1142" s="100" t="s">
        <v>2705</v>
      </c>
      <c r="B1142" s="99" t="s">
        <v>2706</v>
      </c>
      <c r="C1142" s="27">
        <v>59.9</v>
      </c>
      <c r="D1142" s="27">
        <v>6.71896</v>
      </c>
      <c r="F1142" s="29" cm="1">
        <f t="array" ref="F1142">_xlfn.IFS(C1142=":",":",C1142&gt;=P$19,1,C1142&gt;=P$20,2,C1142&lt;P$20,3)</f>
        <v>2</v>
      </c>
      <c r="G1142" s="30"/>
      <c r="H1142" s="43"/>
      <c r="I1142" s="5"/>
      <c r="Y1142" s="26"/>
    </row>
    <row r="1143" spans="1:25" ht="12" customHeight="1">
      <c r="A1143" s="100" t="s">
        <v>3100</v>
      </c>
      <c r="B1143" s="99" t="s">
        <v>3101</v>
      </c>
      <c r="C1143" s="27">
        <v>86.1</v>
      </c>
      <c r="D1143" s="27">
        <v>0.76390000000000002</v>
      </c>
      <c r="F1143" s="29" cm="1">
        <f t="array" ref="F1143">_xlfn.IFS(C1143=":",":",C1143&gt;=P$19,1,C1143&gt;=P$20,2,C1143&lt;P$20,3)</f>
        <v>1</v>
      </c>
      <c r="G1143" s="30"/>
      <c r="H1143" s="43"/>
      <c r="I1143" s="5"/>
      <c r="Y1143" s="26"/>
    </row>
    <row r="1144" spans="1:25" ht="12" customHeight="1">
      <c r="A1144" s="100" t="s">
        <v>3102</v>
      </c>
      <c r="B1144" s="99" t="s">
        <v>3103</v>
      </c>
      <c r="C1144" s="27">
        <v>80.2</v>
      </c>
      <c r="D1144" s="27">
        <v>2.5045090000000001</v>
      </c>
      <c r="F1144" s="29" cm="1">
        <f t="array" ref="F1144">_xlfn.IFS(C1144=":",":",C1144&gt;=P$19,1,C1144&gt;=P$20,2,C1144&lt;P$20,3)</f>
        <v>1</v>
      </c>
      <c r="G1144" s="30"/>
      <c r="H1144" s="43"/>
      <c r="I1144" s="5"/>
      <c r="Y1144" s="26"/>
    </row>
    <row r="1145" spans="1:25" ht="12" customHeight="1">
      <c r="A1145" s="96" t="s">
        <v>3104</v>
      </c>
      <c r="B1145" s="97" t="s">
        <v>3105</v>
      </c>
      <c r="C1145" s="27">
        <v>72.3</v>
      </c>
      <c r="D1145" s="27">
        <v>1.917087</v>
      </c>
      <c r="F1145" s="29" cm="1">
        <f t="array" ref="F1145">_xlfn.IFS(C1145=":",":",C1145&gt;=P$19,1,C1145&gt;=P$20,2,C1145&lt;P$20,3)</f>
        <v>1</v>
      </c>
      <c r="G1145" s="30"/>
      <c r="H1145" s="43"/>
      <c r="I1145" s="5"/>
      <c r="Y1145" s="26"/>
    </row>
    <row r="1146" spans="1:25" ht="12" customHeight="1">
      <c r="A1146" s="96" t="s">
        <v>2707</v>
      </c>
      <c r="B1146" s="97" t="s">
        <v>2708</v>
      </c>
      <c r="C1146" s="27">
        <v>80.099999999999994</v>
      </c>
      <c r="D1146" s="27">
        <v>2.0939899999999998</v>
      </c>
      <c r="F1146" s="29" cm="1">
        <f t="array" ref="F1146">_xlfn.IFS(C1146=":",":",C1146&gt;=P$19,1,C1146&gt;=P$20,2,C1146&lt;P$20,3)</f>
        <v>1</v>
      </c>
      <c r="G1146" s="30"/>
      <c r="H1146" s="43"/>
      <c r="I1146" s="5"/>
      <c r="Y1146" s="26"/>
    </row>
    <row r="1147" spans="1:25" ht="12" customHeight="1">
      <c r="A1147" s="96" t="s">
        <v>3106</v>
      </c>
      <c r="B1147" s="97" t="s">
        <v>3107</v>
      </c>
      <c r="C1147" s="27">
        <v>83.3</v>
      </c>
      <c r="D1147" s="27">
        <v>1.372382</v>
      </c>
      <c r="F1147" s="29" cm="1">
        <f t="array" ref="F1147">_xlfn.IFS(C1147=":",":",C1147&gt;=P$19,1,C1147&gt;=P$20,2,C1147&lt;P$20,3)</f>
        <v>1</v>
      </c>
      <c r="G1147" s="30"/>
      <c r="H1147" s="43"/>
      <c r="I1147" s="5"/>
      <c r="Y1147" s="26"/>
    </row>
    <row r="1148" spans="1:25" ht="12" customHeight="1">
      <c r="A1148" s="96" t="s">
        <v>3108</v>
      </c>
      <c r="B1148" s="97" t="s">
        <v>3109</v>
      </c>
      <c r="C1148" s="27">
        <v>79</v>
      </c>
      <c r="D1148" s="27">
        <v>1.1862429999999999</v>
      </c>
      <c r="F1148" s="29" cm="1">
        <f t="array" ref="F1148">_xlfn.IFS(C1148=":",":",C1148&gt;=P$19,1,C1148&gt;=P$20,2,C1148&lt;P$20,3)</f>
        <v>1</v>
      </c>
      <c r="G1148" s="30"/>
      <c r="H1148" s="43"/>
      <c r="I1148" s="5"/>
      <c r="Y1148" s="26"/>
    </row>
    <row r="1149" spans="1:25" ht="12" customHeight="1">
      <c r="A1149" s="96" t="s">
        <v>2709</v>
      </c>
      <c r="B1149" s="97" t="s">
        <v>2710</v>
      </c>
      <c r="C1149" s="27">
        <v>73.099999999999994</v>
      </c>
      <c r="D1149" s="27">
        <v>2.410072</v>
      </c>
      <c r="F1149" s="29" cm="1">
        <f t="array" ref="F1149">_xlfn.IFS(C1149=":",":",C1149&gt;=P$19,1,C1149&gt;=P$20,2,C1149&lt;P$20,3)</f>
        <v>1</v>
      </c>
      <c r="G1149" s="30"/>
      <c r="H1149" s="43"/>
      <c r="I1149" s="5"/>
      <c r="Y1149" s="26"/>
    </row>
    <row r="1150" spans="1:25" ht="12" customHeight="1">
      <c r="A1150" s="96" t="s">
        <v>2711</v>
      </c>
      <c r="B1150" s="97" t="s">
        <v>2712</v>
      </c>
      <c r="C1150" s="27">
        <v>59.3</v>
      </c>
      <c r="D1150" s="27">
        <v>5.8336740000000002</v>
      </c>
      <c r="F1150" s="29" cm="1">
        <f t="array" ref="F1150">_xlfn.IFS(C1150=":",":",C1150&gt;=P$19,1,C1150&gt;=P$20,2,C1150&lt;P$20,3)</f>
        <v>2</v>
      </c>
      <c r="G1150" s="30"/>
      <c r="H1150" s="43"/>
      <c r="I1150" s="5"/>
      <c r="Y1150" s="26"/>
    </row>
    <row r="1151" spans="1:25" ht="12" customHeight="1">
      <c r="A1151" s="96" t="s">
        <v>2713</v>
      </c>
      <c r="B1151" s="97" t="s">
        <v>2714</v>
      </c>
      <c r="C1151" s="27">
        <v>62.7</v>
      </c>
      <c r="D1151" s="27">
        <v>1.8226739999999999</v>
      </c>
      <c r="F1151" s="29" cm="1">
        <f t="array" ref="F1151">_xlfn.IFS(C1151=":",":",C1151&gt;=P$19,1,C1151&gt;=P$20,2,C1151&lt;P$20,3)</f>
        <v>2</v>
      </c>
      <c r="G1151" s="30"/>
      <c r="H1151" s="43"/>
      <c r="I1151" s="5"/>
      <c r="Y1151" s="26"/>
    </row>
    <row r="1152" spans="1:25" ht="12" customHeight="1">
      <c r="A1152" s="96" t="s">
        <v>2847</v>
      </c>
      <c r="B1152" s="97" t="s">
        <v>2848</v>
      </c>
      <c r="C1152" s="27" t="s">
        <v>546</v>
      </c>
      <c r="D1152" s="27">
        <v>0</v>
      </c>
      <c r="F1152" s="29" t="str" cm="1">
        <f t="array" ref="F1152">_xlfn.IFS(C1152=":",":",C1152&gt;=P$19,1,C1152&gt;=P$20,2,C1152&lt;P$20,3)</f>
        <v>:</v>
      </c>
      <c r="G1152" s="30"/>
      <c r="H1152" s="43"/>
      <c r="I1152" s="5"/>
      <c r="Y1152" s="26"/>
    </row>
    <row r="1153" spans="1:25" ht="12" customHeight="1">
      <c r="A1153" s="96" t="s">
        <v>2715</v>
      </c>
      <c r="B1153" s="97" t="s">
        <v>2716</v>
      </c>
      <c r="C1153" s="27">
        <v>37.299999999999997</v>
      </c>
      <c r="D1153" s="27">
        <v>0.17405100000000001</v>
      </c>
      <c r="F1153" s="29" cm="1">
        <f t="array" ref="F1153">_xlfn.IFS(C1153=":",":",C1153&gt;=P$19,1,C1153&gt;=P$20,2,C1153&lt;P$20,3)</f>
        <v>2</v>
      </c>
      <c r="G1153" s="30"/>
      <c r="H1153" s="43"/>
      <c r="I1153" s="5"/>
      <c r="Y1153" s="26"/>
    </row>
    <row r="1154" spans="1:25" ht="12" customHeight="1">
      <c r="A1154" s="96" t="s">
        <v>2717</v>
      </c>
      <c r="B1154" s="97" t="s">
        <v>2718</v>
      </c>
      <c r="C1154" s="27">
        <v>56.4</v>
      </c>
      <c r="D1154" s="27">
        <v>3.835359</v>
      </c>
      <c r="F1154" s="29" cm="1">
        <f t="array" ref="F1154">_xlfn.IFS(C1154=":",":",C1154&gt;=P$19,1,C1154&gt;=P$20,2,C1154&lt;P$20,3)</f>
        <v>2</v>
      </c>
      <c r="G1154" s="30"/>
      <c r="H1154" s="43"/>
      <c r="I1154" s="5"/>
      <c r="Y1154" s="26"/>
    </row>
    <row r="1155" spans="1:25" ht="12" customHeight="1">
      <c r="A1155" s="96" t="s">
        <v>2719</v>
      </c>
      <c r="B1155" s="97" t="s">
        <v>3013</v>
      </c>
      <c r="C1155" s="27">
        <v>57.2</v>
      </c>
      <c r="D1155" s="27">
        <v>8.2759719999999994</v>
      </c>
      <c r="F1155" s="29" cm="1">
        <f t="array" ref="F1155">_xlfn.IFS(C1155=":",":",C1155&gt;=P$19,1,C1155&gt;=P$20,2,C1155&lt;P$20,3)</f>
        <v>2</v>
      </c>
      <c r="G1155" s="30"/>
      <c r="H1155" s="43"/>
      <c r="I1155" s="5"/>
      <c r="Y1155" s="26"/>
    </row>
    <row r="1156" spans="1:25" ht="12" customHeight="1">
      <c r="A1156" s="96" t="s">
        <v>2720</v>
      </c>
      <c r="B1156" s="97" t="s">
        <v>2721</v>
      </c>
      <c r="C1156" s="27">
        <v>26.7</v>
      </c>
      <c r="D1156" s="27">
        <v>3.937662</v>
      </c>
      <c r="F1156" s="29" cm="1">
        <f t="array" ref="F1156">_xlfn.IFS(C1156=":",":",C1156&gt;=P$19,1,C1156&gt;=P$20,2,C1156&lt;P$20,3)</f>
        <v>3</v>
      </c>
      <c r="G1156" s="30"/>
      <c r="H1156" s="43"/>
      <c r="I1156" s="5"/>
      <c r="Y1156" s="26"/>
    </row>
    <row r="1157" spans="1:25" ht="12" customHeight="1">
      <c r="A1157" s="96" t="s">
        <v>2722</v>
      </c>
      <c r="B1157" s="97" t="s">
        <v>3014</v>
      </c>
      <c r="C1157" s="27">
        <v>46.6</v>
      </c>
      <c r="D1157" s="27">
        <v>9.385294</v>
      </c>
      <c r="F1157" s="29" cm="1">
        <f t="array" ref="F1157">_xlfn.IFS(C1157=":",":",C1157&gt;=P$19,1,C1157&gt;=P$20,2,C1157&lt;P$20,3)</f>
        <v>2</v>
      </c>
      <c r="G1157" s="30"/>
      <c r="H1157" s="43"/>
      <c r="I1157" s="5"/>
      <c r="Y1157" s="26"/>
    </row>
    <row r="1158" spans="1:25" ht="12" customHeight="1">
      <c r="A1158" s="96" t="s">
        <v>2723</v>
      </c>
      <c r="B1158" s="97" t="s">
        <v>3015</v>
      </c>
      <c r="C1158" s="27">
        <v>75</v>
      </c>
      <c r="D1158" s="27">
        <v>0.73912500000000003</v>
      </c>
      <c r="F1158" s="29" cm="1">
        <f t="array" ref="F1158">_xlfn.IFS(C1158=":",":",C1158&gt;=P$19,1,C1158&gt;=P$20,2,C1158&lt;P$20,3)</f>
        <v>1</v>
      </c>
      <c r="G1158" s="30"/>
      <c r="H1158" s="43"/>
      <c r="I1158" s="5"/>
      <c r="Y1158" s="26"/>
    </row>
    <row r="1159" spans="1:25" ht="12" customHeight="1">
      <c r="A1159" s="96" t="s">
        <v>2724</v>
      </c>
      <c r="B1159" s="97" t="s">
        <v>2725</v>
      </c>
      <c r="C1159" s="27">
        <v>69.599999999999994</v>
      </c>
      <c r="D1159" s="27">
        <v>0.55058799999999997</v>
      </c>
      <c r="F1159" s="29" cm="1">
        <f t="array" ref="F1159">_xlfn.IFS(C1159=":",":",C1159&gt;=P$19,1,C1159&gt;=P$20,2,C1159&lt;P$20,3)</f>
        <v>1</v>
      </c>
      <c r="G1159" s="30"/>
      <c r="H1159" s="43"/>
      <c r="I1159" s="5"/>
      <c r="Y1159" s="26"/>
    </row>
    <row r="1160" spans="1:25" ht="12" customHeight="1">
      <c r="A1160" s="96" t="s">
        <v>2726</v>
      </c>
      <c r="B1160" s="97" t="s">
        <v>2727</v>
      </c>
      <c r="C1160" s="27">
        <v>70.900000000000006</v>
      </c>
      <c r="D1160" s="27">
        <v>0.46516800000000003</v>
      </c>
      <c r="F1160" s="29" cm="1">
        <f t="array" ref="F1160">_xlfn.IFS(C1160=":",":",C1160&gt;=P$19,1,C1160&gt;=P$20,2,C1160&lt;P$20,3)</f>
        <v>1</v>
      </c>
      <c r="G1160" s="30"/>
      <c r="H1160" s="43"/>
      <c r="I1160" s="5"/>
      <c r="Y1160" s="26"/>
    </row>
    <row r="1161" spans="1:25" ht="12" customHeight="1">
      <c r="A1161" s="96" t="s">
        <v>2728</v>
      </c>
      <c r="B1161" s="97" t="s">
        <v>1818</v>
      </c>
      <c r="C1161" s="27">
        <v>90</v>
      </c>
      <c r="D1161" s="27">
        <v>0.28104499999999999</v>
      </c>
      <c r="F1161" s="29" cm="1">
        <f t="array" ref="F1161">_xlfn.IFS(C1161=":",":",C1161&gt;=P$19,1,C1161&gt;=P$20,2,C1161&lt;P$20,3)</f>
        <v>1</v>
      </c>
      <c r="G1161" s="30"/>
      <c r="H1161" s="43"/>
      <c r="I1161" s="5"/>
      <c r="Y1161" s="26"/>
    </row>
    <row r="1162" spans="1:25" ht="12" customHeight="1">
      <c r="A1162" s="96" t="s">
        <v>2729</v>
      </c>
      <c r="B1162" s="97" t="s">
        <v>2730</v>
      </c>
      <c r="C1162" s="27">
        <v>37.1</v>
      </c>
      <c r="D1162" s="27">
        <v>1.5982369999999999</v>
      </c>
      <c r="F1162" s="29" cm="1">
        <f t="array" ref="F1162">_xlfn.IFS(C1162=":",":",C1162&gt;=P$19,1,C1162&gt;=P$20,2,C1162&lt;P$20,3)</f>
        <v>2</v>
      </c>
      <c r="G1162" s="30"/>
      <c r="H1162" s="43"/>
      <c r="I1162" s="5"/>
      <c r="Y1162" s="26"/>
    </row>
    <row r="1163" spans="1:25" ht="12" customHeight="1">
      <c r="A1163" s="96" t="s">
        <v>2731</v>
      </c>
      <c r="B1163" s="97" t="s">
        <v>2732</v>
      </c>
      <c r="C1163" s="27">
        <v>54.4</v>
      </c>
      <c r="D1163" s="27">
        <v>0.32549600000000001</v>
      </c>
      <c r="F1163" s="29" cm="1">
        <f t="array" ref="F1163">_xlfn.IFS(C1163=":",":",C1163&gt;=P$19,1,C1163&gt;=P$20,2,C1163&lt;P$20,3)</f>
        <v>2</v>
      </c>
      <c r="G1163" s="30"/>
      <c r="H1163" s="43"/>
      <c r="I1163" s="5"/>
      <c r="Y1163" s="26"/>
    </row>
    <row r="1164" spans="1:25" ht="12" customHeight="1">
      <c r="A1164" s="96" t="s">
        <v>2733</v>
      </c>
      <c r="B1164" s="97" t="s">
        <v>2734</v>
      </c>
      <c r="C1164" s="27">
        <v>57.3</v>
      </c>
      <c r="D1164" s="27">
        <v>1.0321990000000001</v>
      </c>
      <c r="F1164" s="29" cm="1">
        <f t="array" ref="F1164">_xlfn.IFS(C1164=":",":",C1164&gt;=P$19,1,C1164&gt;=P$20,2,C1164&lt;P$20,3)</f>
        <v>2</v>
      </c>
      <c r="G1164" s="30"/>
      <c r="H1164" s="43"/>
      <c r="I1164" s="5"/>
      <c r="Y1164" s="26"/>
    </row>
    <row r="1165" spans="1:25" ht="12" customHeight="1">
      <c r="A1165" s="96" t="s">
        <v>2735</v>
      </c>
      <c r="B1165" s="97" t="s">
        <v>467</v>
      </c>
      <c r="C1165" s="27">
        <v>38.200000000000003</v>
      </c>
      <c r="D1165" s="27">
        <v>7.0936620000000001</v>
      </c>
      <c r="F1165" s="29" cm="1">
        <f t="array" ref="F1165">_xlfn.IFS(C1165=":",":",C1165&gt;=P$19,1,C1165&gt;=P$20,2,C1165&lt;P$20,3)</f>
        <v>2</v>
      </c>
      <c r="G1165" s="30"/>
      <c r="H1165" s="43"/>
      <c r="I1165" s="5"/>
      <c r="Y1165" s="26"/>
    </row>
    <row r="1166" spans="1:25" ht="12" customHeight="1">
      <c r="A1166" s="96" t="s">
        <v>2736</v>
      </c>
      <c r="B1166" s="97" t="s">
        <v>2737</v>
      </c>
      <c r="C1166" s="27">
        <v>84.5</v>
      </c>
      <c r="D1166" s="27">
        <v>0.31066100000000002</v>
      </c>
      <c r="F1166" s="29" cm="1">
        <f t="array" ref="F1166">_xlfn.IFS(C1166=":",":",C1166&gt;=P$19,1,C1166&gt;=P$20,2,C1166&lt;P$20,3)</f>
        <v>1</v>
      </c>
      <c r="G1166" s="30"/>
      <c r="H1166" s="43"/>
      <c r="I1166" s="5"/>
      <c r="Y1166" s="26"/>
    </row>
    <row r="1167" spans="1:25" ht="12" customHeight="1">
      <c r="A1167" s="100" t="s">
        <v>2738</v>
      </c>
      <c r="B1167" s="99" t="s">
        <v>2739</v>
      </c>
      <c r="C1167" s="27">
        <v>56</v>
      </c>
      <c r="D1167" s="27">
        <v>0.162525</v>
      </c>
      <c r="F1167" s="29" cm="1">
        <f t="array" ref="F1167">_xlfn.IFS(C1167=":",":",C1167&gt;=P$19,1,C1167&gt;=P$20,2,C1167&lt;P$20,3)</f>
        <v>2</v>
      </c>
      <c r="G1167" s="30"/>
      <c r="H1167" s="43"/>
      <c r="I1167" s="5"/>
      <c r="Y1167" s="26"/>
    </row>
    <row r="1168" spans="1:25" ht="12" customHeight="1">
      <c r="A1168" s="100" t="s">
        <v>2740</v>
      </c>
      <c r="B1168" s="99" t="s">
        <v>2741</v>
      </c>
      <c r="C1168" s="27">
        <v>81.400000000000006</v>
      </c>
      <c r="D1168" s="27">
        <v>0.192663</v>
      </c>
      <c r="F1168" s="29" cm="1">
        <f t="array" ref="F1168">_xlfn.IFS(C1168=":",":",C1168&gt;=P$19,1,C1168&gt;=P$20,2,C1168&lt;P$20,3)</f>
        <v>1</v>
      </c>
      <c r="G1168" s="30"/>
      <c r="H1168" s="43"/>
      <c r="I1168" s="5"/>
      <c r="Y1168" s="26"/>
    </row>
    <row r="1169" spans="1:25" ht="12" customHeight="1">
      <c r="A1169" s="100" t="s">
        <v>2742</v>
      </c>
      <c r="B1169" s="99" t="s">
        <v>2743</v>
      </c>
      <c r="C1169" s="27">
        <v>84.8</v>
      </c>
      <c r="D1169" s="27">
        <v>0.30571500000000001</v>
      </c>
      <c r="F1169" s="29" cm="1">
        <f t="array" ref="F1169">_xlfn.IFS(C1169=":",":",C1169&gt;=P$19,1,C1169&gt;=P$20,2,C1169&lt;P$20,3)</f>
        <v>1</v>
      </c>
      <c r="G1169" s="30"/>
      <c r="H1169" s="43"/>
      <c r="I1169" s="5"/>
      <c r="Y1169" s="26"/>
    </row>
    <row r="1170" spans="1:25" ht="12" customHeight="1">
      <c r="A1170" s="100" t="s">
        <v>2744</v>
      </c>
      <c r="B1170" s="99" t="s">
        <v>2745</v>
      </c>
      <c r="C1170" s="27">
        <v>69.8</v>
      </c>
      <c r="D1170" s="27">
        <v>1.619737</v>
      </c>
      <c r="F1170" s="29" cm="1">
        <f t="array" ref="F1170">_xlfn.IFS(C1170=":",":",C1170&gt;=P$19,1,C1170&gt;=P$20,2,C1170&lt;P$20,3)</f>
        <v>1</v>
      </c>
      <c r="G1170" s="30"/>
      <c r="H1170" s="43"/>
      <c r="I1170" s="5"/>
      <c r="Y1170" s="26"/>
    </row>
    <row r="1171" spans="1:25" ht="12" customHeight="1">
      <c r="A1171" s="103" t="s">
        <v>2746</v>
      </c>
      <c r="B1171" s="104" t="s">
        <v>3016</v>
      </c>
      <c r="C1171" s="27">
        <v>67.7</v>
      </c>
      <c r="D1171" s="27">
        <v>8.9219469999999994</v>
      </c>
      <c r="F1171" s="29" cm="1">
        <f t="array" ref="F1171">_xlfn.IFS(C1171=":",":",C1171&gt;=P$19,1,C1171&gt;=P$20,2,C1171&lt;P$20,3)</f>
        <v>1</v>
      </c>
      <c r="G1171" s="30"/>
      <c r="H1171" s="43"/>
      <c r="I1171" s="5"/>
      <c r="Y1171" s="26"/>
    </row>
    <row r="1172" spans="1:25" ht="12" customHeight="1">
      <c r="A1172" s="103" t="s">
        <v>2747</v>
      </c>
      <c r="B1172" s="104" t="s">
        <v>2748</v>
      </c>
      <c r="C1172" s="27">
        <v>70.099999999999994</v>
      </c>
      <c r="D1172" s="27">
        <v>0.62279499999999999</v>
      </c>
      <c r="F1172" s="29" cm="1">
        <f t="array" ref="F1172">_xlfn.IFS(C1172=":",":",C1172&gt;=P$19,1,C1172&gt;=P$20,2,C1172&lt;P$20,3)</f>
        <v>1</v>
      </c>
      <c r="G1172" s="30"/>
      <c r="H1172" s="43"/>
      <c r="I1172" s="5"/>
      <c r="Y1172" s="26"/>
    </row>
    <row r="1173" spans="1:25" ht="12" customHeight="1">
      <c r="A1173" s="103" t="s">
        <v>2749</v>
      </c>
      <c r="B1173" s="104" t="s">
        <v>2750</v>
      </c>
      <c r="C1173" s="27">
        <v>41.2</v>
      </c>
      <c r="D1173" s="27">
        <v>3.0588649999999999</v>
      </c>
      <c r="F1173" s="29" cm="1">
        <f t="array" ref="F1173">_xlfn.IFS(C1173=":",":",C1173&gt;=P$19,1,C1173&gt;=P$20,2,C1173&lt;P$20,3)</f>
        <v>2</v>
      </c>
      <c r="G1173" s="30"/>
      <c r="H1173" s="43"/>
      <c r="I1173" s="5"/>
      <c r="Y1173" s="26"/>
    </row>
    <row r="1174" spans="1:25" ht="12" customHeight="1">
      <c r="A1174" s="103" t="s">
        <v>2751</v>
      </c>
      <c r="B1174" s="104" t="s">
        <v>2752</v>
      </c>
      <c r="C1174" s="27">
        <v>60.4</v>
      </c>
      <c r="D1174" s="27">
        <v>0.50154900000000002</v>
      </c>
      <c r="F1174" s="29" cm="1">
        <f t="array" ref="F1174">_xlfn.IFS(C1174=":",":",C1174&gt;=P$19,1,C1174&gt;=P$20,2,C1174&lt;P$20,3)</f>
        <v>2</v>
      </c>
      <c r="G1174" s="30"/>
      <c r="H1174" s="43"/>
      <c r="I1174" s="5"/>
      <c r="Y1174" s="26"/>
    </row>
    <row r="1175" spans="1:25" ht="12" customHeight="1">
      <c r="A1175" s="103" t="s">
        <v>2753</v>
      </c>
      <c r="B1175" s="104" t="s">
        <v>2754</v>
      </c>
      <c r="C1175" s="27">
        <v>73.3</v>
      </c>
      <c r="D1175" s="27">
        <v>0.835067</v>
      </c>
      <c r="F1175" s="29" cm="1">
        <f t="array" ref="F1175">_xlfn.IFS(C1175=":",":",C1175&gt;=P$19,1,C1175&gt;=P$20,2,C1175&lt;P$20,3)</f>
        <v>1</v>
      </c>
      <c r="G1175" s="30"/>
      <c r="H1175" s="43"/>
      <c r="I1175" s="5"/>
      <c r="Y1175" s="26"/>
    </row>
    <row r="1176" spans="1:25" ht="12" customHeight="1">
      <c r="A1176" s="103" t="s">
        <v>2755</v>
      </c>
      <c r="B1176" s="104" t="s">
        <v>2756</v>
      </c>
      <c r="C1176" s="27">
        <v>62</v>
      </c>
      <c r="D1176" s="27">
        <v>0.997089</v>
      </c>
      <c r="F1176" s="29" cm="1">
        <f t="array" ref="F1176">_xlfn.IFS(C1176=":",":",C1176&gt;=P$19,1,C1176&gt;=P$20,2,C1176&lt;P$20,3)</f>
        <v>2</v>
      </c>
      <c r="G1176" s="30"/>
      <c r="H1176" s="43"/>
      <c r="I1176" s="5"/>
      <c r="Y1176" s="26"/>
    </row>
    <row r="1177" spans="1:25" ht="12" customHeight="1">
      <c r="A1177" s="103" t="s">
        <v>2757</v>
      </c>
      <c r="B1177" s="104" t="s">
        <v>2758</v>
      </c>
      <c r="C1177" s="27">
        <v>49.3</v>
      </c>
      <c r="D1177" s="27">
        <v>0.40971299999999999</v>
      </c>
      <c r="F1177" s="29" cm="1">
        <f t="array" ref="F1177">_xlfn.IFS(C1177=":",":",C1177&gt;=P$19,1,C1177&gt;=P$20,2,C1177&lt;P$20,3)</f>
        <v>2</v>
      </c>
      <c r="G1177" s="30"/>
      <c r="H1177" s="43"/>
      <c r="I1177" s="5"/>
      <c r="Y1177" s="26"/>
    </row>
    <row r="1178" spans="1:25" ht="12" customHeight="1">
      <c r="A1178" s="103" t="s">
        <v>2759</v>
      </c>
      <c r="B1178" s="104" t="s">
        <v>2760</v>
      </c>
      <c r="C1178" s="27">
        <v>56.2</v>
      </c>
      <c r="D1178" s="27">
        <v>0.332484</v>
      </c>
      <c r="F1178" s="29" cm="1">
        <f t="array" ref="F1178">_xlfn.IFS(C1178=":",":",C1178&gt;=P$19,1,C1178&gt;=P$20,2,C1178&lt;P$20,3)</f>
        <v>2</v>
      </c>
      <c r="G1178" s="30"/>
      <c r="H1178" s="43"/>
      <c r="I1178" s="5"/>
      <c r="Y1178" s="26"/>
    </row>
    <row r="1179" spans="1:25" ht="12" customHeight="1">
      <c r="A1179" s="103" t="s">
        <v>2761</v>
      </c>
      <c r="B1179" s="104" t="s">
        <v>473</v>
      </c>
      <c r="C1179" s="27">
        <v>67.7</v>
      </c>
      <c r="D1179" s="27">
        <v>4.3256779999999999</v>
      </c>
      <c r="F1179" s="29" cm="1">
        <f t="array" ref="F1179">_xlfn.IFS(C1179=":",":",C1179&gt;=P$19,1,C1179&gt;=P$20,2,C1179&lt;P$20,3)</f>
        <v>1</v>
      </c>
      <c r="G1179" s="30"/>
      <c r="H1179" s="43"/>
      <c r="I1179" s="5"/>
      <c r="Y1179" s="26"/>
    </row>
    <row r="1180" spans="1:25" ht="12" customHeight="1">
      <c r="A1180" s="103" t="s">
        <v>2996</v>
      </c>
      <c r="B1180" s="104" t="s">
        <v>2997</v>
      </c>
      <c r="C1180" s="27" t="s">
        <v>546</v>
      </c>
      <c r="D1180" s="27" t="s">
        <v>546</v>
      </c>
      <c r="F1180" s="29" t="str" cm="1">
        <f t="array" ref="F1180">_xlfn.IFS(C1180=":",":",C1180&gt;=P$19,1,C1180&gt;=P$20,2,C1180&lt;P$20,3)</f>
        <v>:</v>
      </c>
      <c r="G1180" s="30"/>
      <c r="H1180" s="43"/>
      <c r="I1180" s="5"/>
      <c r="Y1180" s="26"/>
    </row>
    <row r="1181" spans="1:25" ht="12" customHeight="1">
      <c r="A1181" s="103" t="s">
        <v>2972</v>
      </c>
      <c r="B1181" s="104" t="s">
        <v>3110</v>
      </c>
      <c r="C1181" s="27">
        <v>11.5</v>
      </c>
      <c r="D1181" s="27">
        <v>5.2005759999999999</v>
      </c>
      <c r="F1181" s="29" cm="1">
        <f t="array" ref="F1181">_xlfn.IFS(C1181=":",":",C1181&gt;=P$19,1,C1181&gt;=P$20,2,C1181&lt;P$20,3)</f>
        <v>3</v>
      </c>
      <c r="G1181" s="30"/>
      <c r="H1181" s="43"/>
      <c r="I1181" s="5"/>
      <c r="Y1181" s="26"/>
    </row>
    <row r="1182" spans="1:25" ht="12" customHeight="1">
      <c r="A1182" s="103" t="s">
        <v>2990</v>
      </c>
      <c r="B1182" s="104" t="s">
        <v>2991</v>
      </c>
      <c r="C1182" s="27" t="s">
        <v>546</v>
      </c>
      <c r="D1182" s="27" t="s">
        <v>546</v>
      </c>
      <c r="F1182" s="29" t="str" cm="1">
        <f t="array" ref="F1182">_xlfn.IFS(C1182=":",":",C1182&gt;=P$19,1,C1182&gt;=P$20,2,C1182&lt;P$20,3)</f>
        <v>:</v>
      </c>
      <c r="G1182" s="30"/>
      <c r="H1182" s="43"/>
      <c r="I1182" s="5"/>
      <c r="Y1182" s="26"/>
    </row>
    <row r="1183" spans="1:25" ht="12" customHeight="1">
      <c r="A1183" s="100" t="s">
        <v>2762</v>
      </c>
      <c r="B1183" s="99" t="s">
        <v>2763</v>
      </c>
      <c r="C1183" s="27">
        <v>40.700000000000003</v>
      </c>
      <c r="D1183" s="27">
        <v>4.2758999999999998E-2</v>
      </c>
      <c r="F1183" s="29" cm="1">
        <f t="array" ref="F1183">_xlfn.IFS(C1183=":",":",C1183&gt;=P$19,1,C1183&gt;=P$20,2,C1183&lt;P$20,3)</f>
        <v>2</v>
      </c>
      <c r="G1183" s="30"/>
      <c r="H1183" s="43"/>
      <c r="I1183" s="5"/>
      <c r="Y1183" s="26"/>
    </row>
    <row r="1184" spans="1:25" ht="12" customHeight="1">
      <c r="A1184" s="103" t="s">
        <v>2764</v>
      </c>
      <c r="B1184" s="104" t="s">
        <v>2973</v>
      </c>
      <c r="C1184" s="27">
        <v>71.5</v>
      </c>
      <c r="D1184" s="27">
        <v>8.2849000000000006E-2</v>
      </c>
      <c r="F1184" s="29" cm="1">
        <f t="array" ref="F1184">_xlfn.IFS(C1184=":",":",C1184&gt;=P$19,1,C1184&gt;=P$20,2,C1184&lt;P$20,3)</f>
        <v>1</v>
      </c>
      <c r="G1184" s="30"/>
      <c r="H1184" s="43"/>
      <c r="I1184" s="5"/>
      <c r="Y1184" s="26"/>
    </row>
    <row r="1185" spans="1:25" ht="12" customHeight="1">
      <c r="A1185" s="103" t="s">
        <v>2765</v>
      </c>
      <c r="B1185" s="104" t="s">
        <v>2766</v>
      </c>
      <c r="C1185" s="27">
        <v>34.299999999999997</v>
      </c>
      <c r="D1185" s="27">
        <v>0.90687499999999999</v>
      </c>
      <c r="F1185" s="29" cm="1">
        <f t="array" ref="F1185">_xlfn.IFS(C1185=":",":",C1185&gt;=P$19,1,C1185&gt;=P$20,2,C1185&lt;P$20,3)</f>
        <v>3</v>
      </c>
      <c r="G1185" s="30"/>
      <c r="H1185" s="43"/>
      <c r="I1185" s="5"/>
      <c r="Y1185" s="26"/>
    </row>
    <row r="1186" spans="1:25" ht="12" customHeight="1">
      <c r="A1186" s="103" t="s">
        <v>2767</v>
      </c>
      <c r="B1186" s="104" t="s">
        <v>2974</v>
      </c>
      <c r="C1186" s="27">
        <v>45.7</v>
      </c>
      <c r="D1186" s="27">
        <v>0.138991</v>
      </c>
      <c r="F1186" s="29" cm="1">
        <f t="array" ref="F1186">_xlfn.IFS(C1186=":",":",C1186&gt;=P$19,1,C1186&gt;=P$20,2,C1186&lt;P$20,3)</f>
        <v>2</v>
      </c>
      <c r="G1186" s="30"/>
      <c r="H1186" s="43"/>
      <c r="I1186" s="5"/>
      <c r="Y1186" s="26"/>
    </row>
    <row r="1187" spans="1:25" ht="12" customHeight="1">
      <c r="A1187" s="100" t="s">
        <v>2768</v>
      </c>
      <c r="B1187" s="99" t="s">
        <v>2769</v>
      </c>
      <c r="C1187" s="27">
        <v>37.299999999999997</v>
      </c>
      <c r="D1187" s="27">
        <v>9.7457000000000002E-2</v>
      </c>
      <c r="F1187" s="29" cm="1">
        <f t="array" ref="F1187">_xlfn.IFS(C1187=":",":",C1187&gt;=P$19,1,C1187&gt;=P$20,2,C1187&lt;P$20,3)</f>
        <v>2</v>
      </c>
      <c r="G1187" s="30"/>
      <c r="H1187" s="43"/>
      <c r="I1187" s="5"/>
      <c r="Y1187" s="26"/>
    </row>
    <row r="1188" spans="1:25" ht="12" customHeight="1">
      <c r="A1188" s="100" t="s">
        <v>2770</v>
      </c>
      <c r="B1188" s="99" t="s">
        <v>2975</v>
      </c>
      <c r="C1188" s="27">
        <v>47.7</v>
      </c>
      <c r="D1188" s="27">
        <v>7.5982999999999995E-2</v>
      </c>
      <c r="F1188" s="29" cm="1">
        <f t="array" ref="F1188">_xlfn.IFS(C1188=":",":",C1188&gt;=P$19,1,C1188&gt;=P$20,2,C1188&lt;P$20,3)</f>
        <v>2</v>
      </c>
      <c r="G1188" s="30"/>
      <c r="H1188" s="43"/>
      <c r="I1188" s="5"/>
      <c r="Y1188" s="26"/>
    </row>
    <row r="1189" spans="1:25" ht="12" customHeight="1">
      <c r="A1189" s="100" t="s">
        <v>2771</v>
      </c>
      <c r="B1189" s="99" t="s">
        <v>2976</v>
      </c>
      <c r="C1189" s="27">
        <v>68.099999999999994</v>
      </c>
      <c r="D1189" s="27">
        <v>6.2267999999999997E-2</v>
      </c>
      <c r="F1189" s="29" cm="1">
        <f t="array" ref="F1189">_xlfn.IFS(C1189=":",":",C1189&gt;=P$19,1,C1189&gt;=P$20,2,C1189&lt;P$20,3)</f>
        <v>1</v>
      </c>
      <c r="G1189" s="30"/>
      <c r="H1189" s="43"/>
      <c r="I1189" s="5"/>
      <c r="Y1189" s="26"/>
    </row>
    <row r="1190" spans="1:25" ht="12" customHeight="1">
      <c r="A1190" s="100" t="s">
        <v>2772</v>
      </c>
      <c r="B1190" s="99" t="s">
        <v>2773</v>
      </c>
      <c r="C1190" s="27">
        <v>10.9</v>
      </c>
      <c r="D1190" s="27">
        <v>0.77332800000000002</v>
      </c>
      <c r="F1190" s="29" cm="1">
        <f t="array" ref="F1190">_xlfn.IFS(C1190=":",":",C1190&gt;=P$19,1,C1190&gt;=P$20,2,C1190&lt;P$20,3)</f>
        <v>3</v>
      </c>
      <c r="G1190" s="30"/>
      <c r="H1190" s="43"/>
      <c r="I1190" s="5"/>
      <c r="Y1190" s="26"/>
    </row>
    <row r="1191" spans="1:25" ht="12" customHeight="1">
      <c r="A1191" s="100" t="s">
        <v>3017</v>
      </c>
      <c r="B1191" s="99" t="s">
        <v>3018</v>
      </c>
      <c r="C1191" s="27" t="s">
        <v>546</v>
      </c>
      <c r="D1191" s="27" t="s">
        <v>546</v>
      </c>
      <c r="F1191" s="29" t="str" cm="1">
        <f t="array" ref="F1191">_xlfn.IFS(C1191=":",":",C1191&gt;=P$19,1,C1191&gt;=P$20,2,C1191&lt;P$20,3)</f>
        <v>:</v>
      </c>
      <c r="G1191" s="30"/>
      <c r="H1191" s="43"/>
      <c r="I1191" s="5"/>
      <c r="Y1191" s="26"/>
    </row>
    <row r="1192" spans="1:25" ht="12" customHeight="1">
      <c r="A1192" s="100" t="s">
        <v>3166</v>
      </c>
      <c r="B1192" s="99" t="s">
        <v>3167</v>
      </c>
      <c r="C1192" s="27">
        <v>78.3</v>
      </c>
      <c r="D1192" s="27">
        <v>3.1861E-2</v>
      </c>
      <c r="F1192" s="29" cm="1">
        <f t="array" ref="F1192">_xlfn.IFS(C1192=":",":",C1192&gt;=P$19,1,C1192&gt;=P$20,2,C1192&lt;P$20,3)</f>
        <v>1</v>
      </c>
      <c r="G1192" s="30"/>
      <c r="H1192" s="43"/>
      <c r="I1192" s="5"/>
      <c r="Y1192" s="26"/>
    </row>
    <row r="1193" spans="1:25" ht="12" customHeight="1">
      <c r="A1193" s="100" t="s">
        <v>3168</v>
      </c>
      <c r="B1193" s="99" t="s">
        <v>3169</v>
      </c>
      <c r="C1193" s="27">
        <v>33.799999999999997</v>
      </c>
      <c r="D1193" s="27">
        <v>0.74421400000000004</v>
      </c>
      <c r="F1193" s="29" cm="1">
        <f t="array" ref="F1193">_xlfn.IFS(C1193=":",":",C1193&gt;=P$19,1,C1193&gt;=P$20,2,C1193&lt;P$20,3)</f>
        <v>3</v>
      </c>
      <c r="G1193" s="30"/>
      <c r="H1193" s="43"/>
      <c r="I1193" s="5"/>
      <c r="Y1193" s="26"/>
    </row>
    <row r="1194" spans="1:25" ht="12" customHeight="1">
      <c r="A1194" s="100" t="s">
        <v>3170</v>
      </c>
      <c r="B1194" s="99" t="s">
        <v>3171</v>
      </c>
      <c r="C1194" s="27">
        <v>52.6</v>
      </c>
      <c r="D1194" s="27">
        <v>1.4759E-2</v>
      </c>
      <c r="F1194" s="29" cm="1">
        <f t="array" ref="F1194">_xlfn.IFS(C1194=":",":",C1194&gt;=P$19,1,C1194&gt;=P$20,2,C1194&lt;P$20,3)</f>
        <v>2</v>
      </c>
      <c r="G1194" s="30"/>
      <c r="H1194" s="43"/>
      <c r="I1194" s="5"/>
      <c r="Y1194" s="26"/>
    </row>
    <row r="1195" spans="1:25" ht="12" customHeight="1">
      <c r="A1195" s="100" t="s">
        <v>3172</v>
      </c>
      <c r="B1195" s="99" t="s">
        <v>3173</v>
      </c>
      <c r="C1195" s="27">
        <v>24.9</v>
      </c>
      <c r="D1195" s="27">
        <v>0.43409900000000001</v>
      </c>
      <c r="F1195" s="29" cm="1">
        <f t="array" ref="F1195">_xlfn.IFS(C1195=":",":",C1195&gt;=P$19,1,C1195&gt;=P$20,2,C1195&lt;P$20,3)</f>
        <v>3</v>
      </c>
      <c r="G1195" s="30"/>
      <c r="H1195" s="43"/>
      <c r="I1195" s="5"/>
      <c r="Y1195" s="26"/>
    </row>
    <row r="1196" spans="1:25" ht="12" customHeight="1">
      <c r="A1196" s="100" t="s">
        <v>3174</v>
      </c>
      <c r="B1196" s="99" t="s">
        <v>3175</v>
      </c>
      <c r="C1196" s="27">
        <v>34.5</v>
      </c>
      <c r="D1196" s="27">
        <v>0.44668600000000003</v>
      </c>
      <c r="F1196" s="29" cm="1">
        <f t="array" ref="F1196">_xlfn.IFS(C1196=":",":",C1196&gt;=P$19,1,C1196&gt;=P$20,2,C1196&lt;P$20,3)</f>
        <v>3</v>
      </c>
      <c r="G1196" s="30"/>
      <c r="H1196" s="43"/>
      <c r="I1196" s="5"/>
      <c r="Y1196" s="26"/>
    </row>
    <row r="1197" spans="1:25" ht="12" customHeight="1">
      <c r="A1197" s="100" t="s">
        <v>3176</v>
      </c>
      <c r="B1197" s="99" t="s">
        <v>3177</v>
      </c>
      <c r="C1197" s="27">
        <v>34.799999999999997</v>
      </c>
      <c r="D1197" s="27">
        <v>0.10327699999999999</v>
      </c>
      <c r="F1197" s="29" cm="1">
        <f t="array" ref="F1197">_xlfn.IFS(C1197=":",":",C1197&gt;=P$19,1,C1197&gt;=P$20,2,C1197&lt;P$20,3)</f>
        <v>3</v>
      </c>
      <c r="G1197" s="30"/>
      <c r="H1197" s="43"/>
      <c r="I1197" s="5"/>
      <c r="Y1197" s="26"/>
    </row>
    <row r="1198" spans="1:25" ht="12" customHeight="1">
      <c r="A1198" s="100" t="s">
        <v>3178</v>
      </c>
      <c r="B1198" s="99" t="s">
        <v>3179</v>
      </c>
      <c r="C1198" s="27">
        <v>19.5</v>
      </c>
      <c r="D1198" s="27">
        <v>3.045201</v>
      </c>
      <c r="F1198" s="29" cm="1">
        <f t="array" ref="F1198">_xlfn.IFS(C1198=":",":",C1198&gt;=P$19,1,C1198&gt;=P$20,2,C1198&lt;P$20,3)</f>
        <v>3</v>
      </c>
      <c r="G1198" s="30"/>
      <c r="H1198" s="43"/>
      <c r="I1198" s="5"/>
      <c r="Y1198" s="26"/>
    </row>
    <row r="1199" spans="1:25" ht="12" customHeight="1">
      <c r="A1199" s="100" t="s">
        <v>3180</v>
      </c>
      <c r="B1199" s="99" t="s">
        <v>3181</v>
      </c>
      <c r="C1199" s="27">
        <v>22.5</v>
      </c>
      <c r="D1199" s="27">
        <v>8.8469999999999993E-2</v>
      </c>
      <c r="F1199" s="29" cm="1">
        <f t="array" ref="F1199">_xlfn.IFS(C1199=":",":",C1199&gt;=P$19,1,C1199&gt;=P$20,2,C1199&lt;P$20,3)</f>
        <v>3</v>
      </c>
      <c r="G1199" s="30"/>
      <c r="H1199" s="43"/>
      <c r="I1199" s="5"/>
      <c r="Y1199" s="26"/>
    </row>
    <row r="1200" spans="1:25" ht="12" customHeight="1">
      <c r="A1200" s="100" t="s">
        <v>3182</v>
      </c>
      <c r="B1200" s="99" t="s">
        <v>3183</v>
      </c>
      <c r="C1200" s="27">
        <v>43.9</v>
      </c>
      <c r="D1200" s="27">
        <v>5.0216999999999998E-2</v>
      </c>
      <c r="F1200" s="29" cm="1">
        <f t="array" ref="F1200">_xlfn.IFS(C1200=":",":",C1200&gt;=P$19,1,C1200&gt;=P$20,2,C1200&lt;P$20,3)</f>
        <v>2</v>
      </c>
      <c r="G1200" s="30"/>
      <c r="H1200" s="43"/>
      <c r="I1200" s="5"/>
      <c r="Y1200" s="26"/>
    </row>
    <row r="1201" spans="1:25" ht="12" customHeight="1">
      <c r="A1201" s="100" t="s">
        <v>3184</v>
      </c>
      <c r="B1201" s="99" t="s">
        <v>3185</v>
      </c>
      <c r="C1201" s="27">
        <v>34.1</v>
      </c>
      <c r="D1201" s="27">
        <v>0.116842</v>
      </c>
      <c r="F1201" s="29" cm="1">
        <f t="array" ref="F1201">_xlfn.IFS(C1201=":",":",C1201&gt;=P$19,1,C1201&gt;=P$20,2,C1201&lt;P$20,3)</f>
        <v>3</v>
      </c>
      <c r="G1201" s="30"/>
      <c r="H1201" s="43"/>
      <c r="I1201" s="5"/>
      <c r="Y1201" s="26"/>
    </row>
    <row r="1202" spans="1:25" ht="12" customHeight="1">
      <c r="A1202" s="100" t="s">
        <v>3186</v>
      </c>
      <c r="B1202" s="99" t="s">
        <v>3187</v>
      </c>
      <c r="C1202" s="27">
        <v>72</v>
      </c>
      <c r="D1202" s="27">
        <v>0.26361299999999999</v>
      </c>
      <c r="F1202" s="29" cm="1">
        <f t="array" ref="F1202">_xlfn.IFS(C1202=":",":",C1202&gt;=P$19,1,C1202&gt;=P$20,2,C1202&lt;P$20,3)</f>
        <v>1</v>
      </c>
      <c r="G1202" s="30"/>
      <c r="H1202" s="43"/>
      <c r="I1202" s="5"/>
      <c r="Y1202" s="26"/>
    </row>
    <row r="1203" spans="1:25" ht="12" customHeight="1">
      <c r="A1203" s="100" t="s">
        <v>3188</v>
      </c>
      <c r="B1203" s="99" t="s">
        <v>3189</v>
      </c>
      <c r="C1203" s="27">
        <v>36.4</v>
      </c>
      <c r="D1203" s="27">
        <v>2.1064750000000001</v>
      </c>
      <c r="F1203" s="29" cm="1">
        <f t="array" ref="F1203">_xlfn.IFS(C1203=":",":",C1203&gt;=P$19,1,C1203&gt;=P$20,2,C1203&lt;P$20,3)</f>
        <v>2</v>
      </c>
      <c r="G1203" s="30"/>
      <c r="H1203" s="43"/>
      <c r="I1203" s="5"/>
      <c r="Y1203" s="26"/>
    </row>
    <row r="1204" spans="1:25" ht="12" customHeight="1">
      <c r="A1204" s="100" t="s">
        <v>2774</v>
      </c>
      <c r="B1204" s="99" t="s">
        <v>558</v>
      </c>
      <c r="C1204" s="27">
        <v>14</v>
      </c>
      <c r="D1204" s="27">
        <v>3.7120380000000002</v>
      </c>
      <c r="F1204" s="29" cm="1">
        <f t="array" ref="F1204">_xlfn.IFS(C1204=":",":",C1204&gt;=P$19,1,C1204&gt;=P$20,2,C1204&lt;P$20,3)</f>
        <v>3</v>
      </c>
      <c r="G1204" s="30"/>
      <c r="H1204" s="43"/>
      <c r="I1204" s="5"/>
      <c r="Y1204" s="26"/>
    </row>
    <row r="1205" spans="1:25" ht="12" customHeight="1">
      <c r="A1205" s="100" t="s">
        <v>2775</v>
      </c>
      <c r="B1205" s="99" t="s">
        <v>3191</v>
      </c>
      <c r="C1205" s="27">
        <v>65.8</v>
      </c>
      <c r="D1205" s="27">
        <v>0.144788</v>
      </c>
      <c r="F1205" s="29" cm="1">
        <f t="array" ref="F1205">_xlfn.IFS(C1205=":",":",C1205&gt;=P$19,1,C1205&gt;=P$20,2,C1205&lt;P$20,3)</f>
        <v>1</v>
      </c>
      <c r="G1205" s="30"/>
      <c r="H1205" s="43"/>
      <c r="I1205" s="5"/>
      <c r="Y1205" s="26"/>
    </row>
    <row r="1206" spans="1:25" ht="12" customHeight="1">
      <c r="A1206" s="100" t="s">
        <v>2776</v>
      </c>
      <c r="B1206" s="99" t="s">
        <v>2977</v>
      </c>
      <c r="C1206" s="27">
        <v>41.6</v>
      </c>
      <c r="D1206" s="27">
        <v>0.151842</v>
      </c>
      <c r="F1206" s="29" cm="1">
        <f t="array" ref="F1206">_xlfn.IFS(C1206=":",":",C1206&gt;=P$19,1,C1206&gt;=P$20,2,C1206&lt;P$20,3)</f>
        <v>2</v>
      </c>
      <c r="G1206" s="30"/>
      <c r="H1206" s="43"/>
      <c r="I1206" s="5"/>
      <c r="Y1206" s="26"/>
    </row>
    <row r="1207" spans="1:25" ht="12" customHeight="1">
      <c r="A1207" s="100" t="s">
        <v>2777</v>
      </c>
      <c r="B1207" s="99" t="s">
        <v>2978</v>
      </c>
      <c r="C1207" s="27">
        <v>29.1</v>
      </c>
      <c r="D1207" s="27">
        <v>0.65307599999999999</v>
      </c>
      <c r="F1207" s="29" cm="1">
        <f t="array" ref="F1207">_xlfn.IFS(C1207=":",":",C1207&gt;=P$19,1,C1207&gt;=P$20,2,C1207&lt;P$20,3)</f>
        <v>3</v>
      </c>
      <c r="G1207" s="30"/>
      <c r="H1207" s="43"/>
      <c r="I1207" s="5"/>
      <c r="Y1207" s="26"/>
    </row>
    <row r="1208" spans="1:25" ht="12" customHeight="1">
      <c r="A1208" s="100" t="s">
        <v>2778</v>
      </c>
      <c r="B1208" s="99" t="s">
        <v>2779</v>
      </c>
      <c r="C1208" s="27">
        <v>77.2</v>
      </c>
      <c r="D1208" s="27">
        <v>0.219413</v>
      </c>
      <c r="F1208" s="29" cm="1">
        <f t="array" ref="F1208">_xlfn.IFS(C1208=":",":",C1208&gt;=P$19,1,C1208&gt;=P$20,2,C1208&lt;P$20,3)</f>
        <v>1</v>
      </c>
      <c r="G1208" s="30"/>
      <c r="H1208" s="43"/>
      <c r="I1208" s="5"/>
      <c r="Y1208" s="26"/>
    </row>
    <row r="1209" spans="1:25" ht="12" customHeight="1">
      <c r="A1209" s="100" t="s">
        <v>2780</v>
      </c>
      <c r="B1209" s="99" t="s">
        <v>2979</v>
      </c>
      <c r="C1209" s="27">
        <v>47.2</v>
      </c>
      <c r="D1209" s="27">
        <v>0.34764899999999999</v>
      </c>
      <c r="F1209" s="29" cm="1">
        <f t="array" ref="F1209">_xlfn.IFS(C1209=":",":",C1209&gt;=P$19,1,C1209&gt;=P$20,2,C1209&lt;P$20,3)</f>
        <v>2</v>
      </c>
      <c r="G1209" s="30"/>
      <c r="H1209" s="43"/>
      <c r="I1209" s="5"/>
      <c r="Y1209" s="26"/>
    </row>
    <row r="1210" spans="1:25" ht="12" customHeight="1">
      <c r="A1210" s="100" t="s">
        <v>2781</v>
      </c>
      <c r="B1210" s="99" t="s">
        <v>2782</v>
      </c>
      <c r="C1210" s="27">
        <v>49</v>
      </c>
      <c r="D1210" s="27">
        <v>9.2757000000000006E-2</v>
      </c>
      <c r="F1210" s="29" cm="1">
        <f t="array" ref="F1210">_xlfn.IFS(C1210=":",":",C1210&gt;=P$19,1,C1210&gt;=P$20,2,C1210&lt;P$20,3)</f>
        <v>2</v>
      </c>
      <c r="G1210" s="30"/>
      <c r="H1210" s="43"/>
      <c r="I1210" s="5"/>
      <c r="Y1210" s="26"/>
    </row>
    <row r="1211" spans="1:25" ht="12" customHeight="1">
      <c r="A1211" s="100" t="s">
        <v>2783</v>
      </c>
      <c r="B1211" s="99" t="s">
        <v>2784</v>
      </c>
      <c r="C1211" s="27">
        <v>57.9</v>
      </c>
      <c r="D1211" s="27">
        <v>0.38374200000000003</v>
      </c>
      <c r="F1211" s="29" cm="1">
        <f t="array" ref="F1211">_xlfn.IFS(C1211=":",":",C1211&gt;=P$19,1,C1211&gt;=P$20,2,C1211&lt;P$20,3)</f>
        <v>2</v>
      </c>
      <c r="G1211" s="30"/>
      <c r="H1211" s="43"/>
      <c r="I1211" s="5"/>
      <c r="Y1211" s="26"/>
    </row>
    <row r="1212" spans="1:25" ht="12" customHeight="1">
      <c r="A1212" s="100" t="s">
        <v>2785</v>
      </c>
      <c r="B1212" s="99" t="s">
        <v>2786</v>
      </c>
      <c r="C1212" s="27">
        <v>75</v>
      </c>
      <c r="D1212" s="27">
        <v>1.762551</v>
      </c>
      <c r="F1212" s="29" cm="1">
        <f t="array" ref="F1212">_xlfn.IFS(C1212=":",":",C1212&gt;=P$19,1,C1212&gt;=P$20,2,C1212&lt;P$20,3)</f>
        <v>1</v>
      </c>
      <c r="G1212" s="30"/>
      <c r="H1212" s="43"/>
      <c r="I1212" s="5"/>
      <c r="Y1212" s="26"/>
    </row>
    <row r="1213" spans="1:25" ht="12" customHeight="1">
      <c r="A1213" s="96" t="s">
        <v>2787</v>
      </c>
      <c r="B1213" s="99" t="s">
        <v>2788</v>
      </c>
      <c r="C1213" s="27">
        <v>89</v>
      </c>
      <c r="D1213" s="27">
        <v>0.30776700000000001</v>
      </c>
      <c r="F1213" s="29" cm="1">
        <f t="array" ref="F1213">_xlfn.IFS(C1213=":",":",C1213&gt;=P$19,1,C1213&gt;=P$20,2,C1213&lt;P$20,3)</f>
        <v>1</v>
      </c>
      <c r="G1213" s="30"/>
      <c r="H1213" s="43"/>
      <c r="I1213" s="5"/>
      <c r="Y1213" s="26"/>
    </row>
    <row r="1214" spans="1:25" ht="12" customHeight="1">
      <c r="A1214" s="100" t="s">
        <v>2789</v>
      </c>
      <c r="B1214" s="99" t="s">
        <v>2980</v>
      </c>
      <c r="C1214" s="27">
        <v>57.4</v>
      </c>
      <c r="D1214" s="27">
        <v>0.39641999999999999</v>
      </c>
      <c r="F1214" s="29" cm="1">
        <f t="array" ref="F1214">_xlfn.IFS(C1214=":",":",C1214&gt;=P$19,1,C1214&gt;=P$20,2,C1214&lt;P$20,3)</f>
        <v>2</v>
      </c>
      <c r="G1214" s="30"/>
      <c r="H1214" s="43"/>
      <c r="I1214" s="5"/>
      <c r="Y1214" s="26"/>
    </row>
    <row r="1215" spans="1:25" ht="12" customHeight="1">
      <c r="A1215" s="96" t="s">
        <v>2790</v>
      </c>
      <c r="B1215" s="99" t="s">
        <v>2981</v>
      </c>
      <c r="C1215" s="27">
        <v>79.599999999999994</v>
      </c>
      <c r="D1215" s="27">
        <v>0.29555700000000001</v>
      </c>
      <c r="E1215" s="43"/>
      <c r="F1215" s="29" cm="1">
        <f t="array" ref="F1215">_xlfn.IFS(C1215=":",":",C1215&gt;=P$19,1,C1215&gt;=P$20,2,C1215&lt;P$20,3)</f>
        <v>1</v>
      </c>
      <c r="G1215" s="28"/>
      <c r="H1215" s="43"/>
      <c r="I1215" s="5"/>
      <c r="Y1215" s="26"/>
    </row>
    <row r="1216" spans="1:25" ht="12" customHeight="1">
      <c r="A1216" s="100" t="s">
        <v>2791</v>
      </c>
      <c r="B1216" s="99" t="s">
        <v>2792</v>
      </c>
      <c r="C1216" s="27">
        <v>52</v>
      </c>
      <c r="D1216" s="27">
        <v>0.12835199999999999</v>
      </c>
      <c r="E1216" s="43"/>
      <c r="F1216" s="29" cm="1">
        <f t="array" ref="F1216">_xlfn.IFS(C1216=":",":",C1216&gt;=P$19,1,C1216&gt;=P$20,2,C1216&lt;P$20,3)</f>
        <v>2</v>
      </c>
      <c r="G1216" s="28"/>
      <c r="H1216" s="43"/>
      <c r="I1216" s="5"/>
      <c r="Y1216" s="26"/>
    </row>
    <row r="1217" spans="1:25" ht="12" customHeight="1">
      <c r="A1217" s="100" t="s">
        <v>2793</v>
      </c>
      <c r="B1217" s="99" t="s">
        <v>2794</v>
      </c>
      <c r="C1217" s="27">
        <v>76.8</v>
      </c>
      <c r="D1217" s="27">
        <v>0.22638</v>
      </c>
      <c r="E1217" s="43"/>
      <c r="F1217" s="29" cm="1">
        <f t="array" ref="F1217">_xlfn.IFS(C1217=":",":",C1217&gt;=P$19,1,C1217&gt;=P$20,2,C1217&lt;P$20,3)</f>
        <v>1</v>
      </c>
      <c r="G1217" s="28"/>
      <c r="H1217" s="43"/>
      <c r="I1217" s="5"/>
      <c r="Y1217" s="26"/>
    </row>
    <row r="1218" spans="1:25" ht="12" customHeight="1">
      <c r="A1218" s="100" t="s">
        <v>2795</v>
      </c>
      <c r="B1218" s="99" t="s">
        <v>2982</v>
      </c>
      <c r="C1218" s="27">
        <v>77.099999999999994</v>
      </c>
      <c r="D1218" s="27">
        <v>1.358276</v>
      </c>
      <c r="E1218" s="43"/>
      <c r="F1218" s="29" cm="1">
        <f t="array" ref="F1218">_xlfn.IFS(C1218=":",":",C1218&gt;=P$19,1,C1218&gt;=P$20,2,C1218&lt;P$20,3)</f>
        <v>1</v>
      </c>
      <c r="G1218" s="28"/>
      <c r="H1218" s="43"/>
      <c r="I1218" s="5"/>
      <c r="Y1218" s="26"/>
    </row>
    <row r="1219" spans="1:25" ht="12" customHeight="1">
      <c r="A1219" s="100" t="s">
        <v>2796</v>
      </c>
      <c r="B1219" s="99" t="s">
        <v>2983</v>
      </c>
      <c r="C1219" s="27">
        <v>57.7</v>
      </c>
      <c r="D1219" s="27">
        <v>0.30903199999999997</v>
      </c>
      <c r="E1219" s="43"/>
      <c r="F1219" s="29" cm="1">
        <f t="array" ref="F1219">_xlfn.IFS(C1219=":",":",C1219&gt;=P$19,1,C1219&gt;=P$20,2,C1219&lt;P$20,3)</f>
        <v>2</v>
      </c>
      <c r="G1219" s="28"/>
      <c r="H1219" s="43"/>
      <c r="I1219" s="5"/>
      <c r="Y1219" s="26"/>
    </row>
    <row r="1220" spans="1:25" ht="12" customHeight="1">
      <c r="A1220" s="100" t="s">
        <v>2797</v>
      </c>
      <c r="B1220" s="99" t="s">
        <v>2798</v>
      </c>
      <c r="C1220" s="27">
        <v>78.2</v>
      </c>
      <c r="D1220" s="27">
        <v>0.214478</v>
      </c>
      <c r="E1220" s="43"/>
      <c r="F1220" s="29" cm="1">
        <f t="array" ref="F1220">_xlfn.IFS(C1220=":",":",C1220&gt;=P$19,1,C1220&gt;=P$20,2,C1220&lt;P$20,3)</f>
        <v>1</v>
      </c>
      <c r="G1220" s="28"/>
      <c r="H1220" s="43"/>
      <c r="I1220" s="5"/>
      <c r="Y1220" s="26"/>
    </row>
    <row r="1221" spans="1:25" ht="12" customHeight="1">
      <c r="A1221" s="100" t="s">
        <v>2799</v>
      </c>
      <c r="B1221" s="99" t="s">
        <v>2984</v>
      </c>
      <c r="C1221" s="27">
        <v>71.2</v>
      </c>
      <c r="D1221" s="27">
        <v>0.21979699999999999</v>
      </c>
      <c r="E1221" s="43"/>
      <c r="F1221" s="29" cm="1">
        <f t="array" ref="F1221">_xlfn.IFS(C1221=":",":",C1221&gt;=P$19,1,C1221&gt;=P$20,2,C1221&lt;P$20,3)</f>
        <v>1</v>
      </c>
      <c r="G1221" s="28"/>
      <c r="H1221" s="43"/>
      <c r="I1221" s="5"/>
      <c r="Y1221" s="26"/>
    </row>
    <row r="1222" spans="1:25" ht="12" customHeight="1">
      <c r="A1222" s="100" t="s">
        <v>2800</v>
      </c>
      <c r="B1222" s="99" t="s">
        <v>2985</v>
      </c>
      <c r="C1222" s="27">
        <v>89.7</v>
      </c>
      <c r="D1222" s="27">
        <v>0.64166699999999999</v>
      </c>
      <c r="E1222" s="43"/>
      <c r="F1222" s="29" cm="1">
        <f t="array" ref="F1222">_xlfn.IFS(C1222=":",":",C1222&gt;=P$19,1,C1222&gt;=P$20,2,C1222&lt;P$20,3)</f>
        <v>1</v>
      </c>
      <c r="G1222" s="28"/>
      <c r="H1222" s="43"/>
      <c r="I1222" s="5"/>
      <c r="Y1222" s="26"/>
    </row>
    <row r="1223" spans="1:25" ht="12" customHeight="1">
      <c r="A1223" s="100" t="s">
        <v>2801</v>
      </c>
      <c r="B1223" s="99" t="s">
        <v>2986</v>
      </c>
      <c r="C1223" s="27">
        <v>72.400000000000006</v>
      </c>
      <c r="D1223" s="27">
        <v>0.141233</v>
      </c>
      <c r="E1223" s="43"/>
      <c r="F1223" s="29" cm="1">
        <f t="array" ref="F1223">_xlfn.IFS(C1223=":",":",C1223&gt;=P$19,1,C1223&gt;=P$20,2,C1223&lt;P$20,3)</f>
        <v>1</v>
      </c>
      <c r="G1223" s="28"/>
      <c r="H1223" s="43"/>
      <c r="I1223" s="5"/>
      <c r="Y1223" s="26"/>
    </row>
    <row r="1224" spans="1:25" ht="12" customHeight="1">
      <c r="A1224" s="96" t="s">
        <v>2802</v>
      </c>
      <c r="B1224" s="99" t="s">
        <v>2987</v>
      </c>
      <c r="C1224" s="27">
        <v>48.7</v>
      </c>
      <c r="D1224" s="27">
        <v>0.36669099999999999</v>
      </c>
      <c r="E1224" s="43"/>
      <c r="F1224" s="29" cm="1">
        <f t="array" ref="F1224">_xlfn.IFS(C1224=":",":",C1224&gt;=P$19,1,C1224&gt;=P$20,2,C1224&lt;P$20,3)</f>
        <v>2</v>
      </c>
      <c r="G1224" s="28"/>
      <c r="H1224" s="43"/>
      <c r="I1224" s="5"/>
      <c r="Y1224" s="26"/>
    </row>
    <row r="1225" spans="1:25" ht="12" customHeight="1">
      <c r="A1225" s="100" t="s">
        <v>2803</v>
      </c>
      <c r="B1225" s="99" t="s">
        <v>2804</v>
      </c>
      <c r="C1225" s="27">
        <v>46.2</v>
      </c>
      <c r="D1225" s="27">
        <v>0.100852</v>
      </c>
      <c r="E1225" s="43"/>
      <c r="F1225" s="29" cm="1">
        <f t="array" ref="F1225">_xlfn.IFS(C1225=":",":",C1225&gt;=P$19,1,C1225&gt;=P$20,2,C1225&lt;P$20,3)</f>
        <v>2</v>
      </c>
      <c r="G1225" s="28"/>
      <c r="H1225" s="43"/>
      <c r="I1225" s="5"/>
      <c r="Y1225" s="26"/>
    </row>
    <row r="1226" spans="1:25" ht="12" customHeight="1">
      <c r="A1226" s="100" t="s">
        <v>2805</v>
      </c>
      <c r="B1226" s="99" t="s">
        <v>2806</v>
      </c>
      <c r="C1226" s="27">
        <v>48.1</v>
      </c>
      <c r="D1226" s="27">
        <v>5.8525000000000001E-2</v>
      </c>
      <c r="E1226" s="43"/>
      <c r="F1226" s="29" cm="1">
        <f t="array" ref="F1226">_xlfn.IFS(C1226=":",":",C1226&gt;=P$19,1,C1226&gt;=P$20,2,C1226&lt;P$20,3)</f>
        <v>2</v>
      </c>
      <c r="G1226" s="28"/>
      <c r="H1226" s="43"/>
      <c r="I1226" s="5"/>
      <c r="Y1226" s="26"/>
    </row>
    <row r="1227" spans="1:25" ht="12" customHeight="1">
      <c r="A1227" s="100" t="s">
        <v>2807</v>
      </c>
      <c r="B1227" s="99" t="s">
        <v>2988</v>
      </c>
      <c r="C1227" s="27">
        <v>64.8</v>
      </c>
      <c r="D1227" s="27">
        <v>0.15091599999999999</v>
      </c>
      <c r="E1227" s="43"/>
      <c r="F1227" s="29" cm="1">
        <f t="array" ref="F1227">_xlfn.IFS(C1227=":",":",C1227&gt;=P$19,1,C1227&gt;=P$20,2,C1227&lt;P$20,3)</f>
        <v>2</v>
      </c>
      <c r="G1227" s="28"/>
      <c r="H1227" s="43"/>
      <c r="I1227" s="5"/>
      <c r="Y1227" s="26"/>
    </row>
    <row r="1228" spans="1:25" ht="12" customHeight="1">
      <c r="A1228" s="100" t="s">
        <v>2808</v>
      </c>
      <c r="B1228" s="99" t="s">
        <v>2989</v>
      </c>
      <c r="C1228" s="27">
        <v>78.599999999999994</v>
      </c>
      <c r="D1228" s="27">
        <v>0.27835199999999999</v>
      </c>
      <c r="E1228" s="43"/>
      <c r="F1228" s="29" cm="1">
        <f t="array" ref="F1228">_xlfn.IFS(C1228=":",":",C1228&gt;=P$19,1,C1228&gt;=P$20,2,C1228&lt;P$20,3)</f>
        <v>1</v>
      </c>
      <c r="G1228" s="28"/>
      <c r="H1228" s="43"/>
      <c r="I1228" s="5"/>
      <c r="Y1228" s="26"/>
    </row>
    <row r="1229" spans="1:25" ht="12" customHeight="1">
      <c r="A1229" s="100" t="s">
        <v>479</v>
      </c>
      <c r="B1229" s="99" t="s">
        <v>562</v>
      </c>
      <c r="C1229" s="27">
        <v>24.8</v>
      </c>
      <c r="D1229" s="27">
        <v>31.631933</v>
      </c>
      <c r="E1229" s="43"/>
      <c r="F1229" s="29" cm="1">
        <f t="array" ref="F1229">_xlfn.IFS(C1229=":",":",C1229&gt;=P$19,1,C1229&gt;=P$20,2,C1229&lt;P$20,3)</f>
        <v>3</v>
      </c>
      <c r="G1229" s="43" t="s">
        <v>3032</v>
      </c>
      <c r="H1229" s="43"/>
      <c r="I1229" s="5"/>
      <c r="Y1229" s="26"/>
    </row>
    <row r="1230" spans="1:25" ht="12" customHeight="1">
      <c r="A1230" s="100" t="s">
        <v>480</v>
      </c>
      <c r="B1230" s="99" t="s">
        <v>563</v>
      </c>
      <c r="C1230" s="27">
        <v>76.3</v>
      </c>
      <c r="D1230" s="27">
        <v>2.1218080000000001</v>
      </c>
      <c r="E1230" s="43"/>
      <c r="F1230" s="29" cm="1">
        <f t="array" ref="F1230">_xlfn.IFS(C1230=":",":",C1230&gt;=P$19,1,C1230&gt;=P$20,2,C1230&lt;P$20,3)</f>
        <v>1</v>
      </c>
      <c r="G1230" s="43" t="s">
        <v>3032</v>
      </c>
      <c r="H1230" s="43"/>
      <c r="I1230" s="5"/>
      <c r="Y1230" s="26"/>
    </row>
    <row r="1231" spans="1:25" ht="12" customHeight="1">
      <c r="A1231" s="100" t="s">
        <v>481</v>
      </c>
      <c r="B1231" s="99" t="s">
        <v>564</v>
      </c>
      <c r="C1231" s="27">
        <v>87.8</v>
      </c>
      <c r="D1231" s="27">
        <v>3.0765940000000001</v>
      </c>
      <c r="E1231" s="43"/>
      <c r="F1231" s="29" cm="1">
        <f t="array" ref="F1231">_xlfn.IFS(C1231=":",":",C1231&gt;=P$19,1,C1231&gt;=P$20,2,C1231&lt;P$20,3)</f>
        <v>1</v>
      </c>
      <c r="G1231" s="43" t="s">
        <v>3032</v>
      </c>
      <c r="H1231" s="43"/>
      <c r="I1231" s="5"/>
      <c r="Y1231" s="26"/>
    </row>
    <row r="1232" spans="1:25" ht="12" customHeight="1">
      <c r="A1232" s="100" t="s">
        <v>482</v>
      </c>
      <c r="B1232" s="99" t="s">
        <v>565</v>
      </c>
      <c r="C1232" s="27">
        <v>59.4</v>
      </c>
      <c r="D1232" s="27">
        <v>6.889113</v>
      </c>
      <c r="E1232" s="43"/>
      <c r="F1232" s="29" cm="1">
        <f t="array" ref="F1232">_xlfn.IFS(C1232=":",":",C1232&gt;=P$19,1,C1232&gt;=P$20,2,C1232&lt;P$20,3)</f>
        <v>2</v>
      </c>
      <c r="G1232" s="43" t="s">
        <v>3032</v>
      </c>
      <c r="H1232" s="43"/>
      <c r="I1232" s="5"/>
      <c r="Y1232" s="26"/>
    </row>
    <row r="1233" spans="1:25" ht="12" customHeight="1">
      <c r="A1233" s="100" t="s">
        <v>483</v>
      </c>
      <c r="B1233" s="99" t="s">
        <v>566</v>
      </c>
      <c r="C1233" s="27">
        <v>35</v>
      </c>
      <c r="D1233" s="27">
        <v>25.693591000000001</v>
      </c>
      <c r="F1233" s="29" cm="1">
        <f t="array" ref="F1233">_xlfn.IFS(C1233=":",":",C1233&gt;=P$19,1,C1233&gt;=P$20,2,C1233&lt;P$20,3)</f>
        <v>3</v>
      </c>
      <c r="G1233" s="43" t="s">
        <v>3032</v>
      </c>
      <c r="H1233" s="28"/>
      <c r="Y1233" s="26"/>
    </row>
    <row r="1234" spans="1:25" ht="12" customHeight="1">
      <c r="A1234" s="100" t="s">
        <v>484</v>
      </c>
      <c r="B1234" s="99" t="s">
        <v>567</v>
      </c>
      <c r="C1234" s="27">
        <v>94.4</v>
      </c>
      <c r="D1234" s="27">
        <v>3.155869</v>
      </c>
      <c r="F1234" s="29" cm="1">
        <f t="array" ref="F1234">_xlfn.IFS(C1234=":",":",C1234&gt;=P$19,1,C1234&gt;=P$20,2,C1234&lt;P$20,3)</f>
        <v>1</v>
      </c>
      <c r="G1234" s="43" t="s">
        <v>3032</v>
      </c>
      <c r="H1234" s="28"/>
      <c r="Y1234" s="26"/>
    </row>
    <row r="1235" spans="1:25" ht="12" customHeight="1">
      <c r="A1235" s="100" t="s">
        <v>485</v>
      </c>
      <c r="B1235" s="99" t="s">
        <v>568</v>
      </c>
      <c r="C1235" s="27">
        <v>81</v>
      </c>
      <c r="D1235" s="27">
        <v>4.1390609999999999</v>
      </c>
      <c r="F1235" s="29" cm="1">
        <f t="array" ref="F1235">_xlfn.IFS(C1235=":",":",C1235&gt;=P$19,1,C1235&gt;=P$20,2,C1235&lt;P$20,3)</f>
        <v>1</v>
      </c>
      <c r="G1235" s="43" t="s">
        <v>3032</v>
      </c>
      <c r="H1235" s="28"/>
      <c r="Y1235" s="26"/>
    </row>
    <row r="1236" spans="1:25" ht="12" customHeight="1">
      <c r="A1236" s="100" t="s">
        <v>486</v>
      </c>
      <c r="B1236" s="99" t="s">
        <v>487</v>
      </c>
      <c r="C1236" s="27">
        <v>84.1</v>
      </c>
      <c r="D1236" s="27">
        <v>5.0876989999999997</v>
      </c>
      <c r="F1236" s="29" cm="1">
        <f t="array" ref="F1236">_xlfn.IFS(C1236=":",":",C1236&gt;=P$19,1,C1236&gt;=P$20,2,C1236&lt;P$20,3)</f>
        <v>1</v>
      </c>
      <c r="G1236" s="43" t="s">
        <v>3032</v>
      </c>
      <c r="H1236" s="28"/>
      <c r="Y1236" s="26"/>
    </row>
    <row r="1237" spans="1:25" ht="12" customHeight="1">
      <c r="A1237" s="100" t="s">
        <v>488</v>
      </c>
      <c r="B1237" s="99" t="s">
        <v>489</v>
      </c>
      <c r="C1237" s="27">
        <v>80.400000000000006</v>
      </c>
      <c r="D1237" s="27">
        <v>5.9055540000000004</v>
      </c>
      <c r="F1237" s="29" cm="1">
        <f t="array" ref="F1237">_xlfn.IFS(C1237=":",":",C1237&gt;=P$19,1,C1237&gt;=P$20,2,C1237&lt;P$20,3)</f>
        <v>1</v>
      </c>
      <c r="G1237" s="43" t="s">
        <v>3032</v>
      </c>
      <c r="H1237" s="28"/>
      <c r="Y1237" s="26"/>
    </row>
    <row r="1238" spans="1:25" ht="12" customHeight="1">
      <c r="A1238" s="100" t="s">
        <v>490</v>
      </c>
      <c r="B1238" s="99" t="s">
        <v>491</v>
      </c>
      <c r="C1238" s="27">
        <v>84.2</v>
      </c>
      <c r="D1238" s="27">
        <v>1.6757280000000001</v>
      </c>
      <c r="F1238" s="29" cm="1">
        <f t="array" ref="F1238">_xlfn.IFS(C1238=":",":",C1238&gt;=P$19,1,C1238&gt;=P$20,2,C1238&lt;P$20,3)</f>
        <v>1</v>
      </c>
      <c r="G1238" s="43" t="s">
        <v>3032</v>
      </c>
      <c r="H1238" s="28"/>
      <c r="Y1238" s="26"/>
    </row>
    <row r="1239" spans="1:25" ht="12" customHeight="1">
      <c r="A1239" s="100" t="s">
        <v>492</v>
      </c>
      <c r="B1239" s="99" t="s">
        <v>493</v>
      </c>
      <c r="C1239" s="27">
        <v>13.8</v>
      </c>
      <c r="D1239" s="27">
        <v>101.4297</v>
      </c>
      <c r="F1239" s="29" cm="1">
        <f t="array" ref="F1239">_xlfn.IFS(C1239=":",":",C1239&gt;=P$19,1,C1239&gt;=P$20,2,C1239&lt;P$20,3)</f>
        <v>3</v>
      </c>
      <c r="G1239" s="43" t="s">
        <v>3032</v>
      </c>
      <c r="H1239" s="28"/>
      <c r="Y1239" s="26"/>
    </row>
    <row r="1240" spans="1:25" ht="12" customHeight="1">
      <c r="A1240" s="100" t="s">
        <v>494</v>
      </c>
      <c r="B1240" s="99" t="s">
        <v>495</v>
      </c>
      <c r="C1240" s="27">
        <v>86.2</v>
      </c>
      <c r="D1240" s="27">
        <v>3.6953550000000002</v>
      </c>
      <c r="F1240" s="29" cm="1">
        <f t="array" ref="F1240">_xlfn.IFS(C1240=":",":",C1240&gt;=P$19,1,C1240&gt;=P$20,2,C1240&lt;P$20,3)</f>
        <v>1</v>
      </c>
      <c r="G1240" s="43" t="s">
        <v>3032</v>
      </c>
      <c r="H1240" s="28"/>
      <c r="Y1240" s="26"/>
    </row>
    <row r="1241" spans="1:25" ht="12" customHeight="1">
      <c r="A1241" s="100" t="s">
        <v>496</v>
      </c>
      <c r="B1241" s="99" t="s">
        <v>569</v>
      </c>
      <c r="C1241" s="27">
        <v>95.8</v>
      </c>
      <c r="D1241" s="27">
        <v>1.547798</v>
      </c>
      <c r="F1241" s="29" cm="1">
        <f t="array" ref="F1241">_xlfn.IFS(C1241=":",":",C1241&gt;=P$19,1,C1241&gt;=P$20,2,C1241&lt;P$20,3)</f>
        <v>1</v>
      </c>
      <c r="G1241" s="43" t="s">
        <v>3032</v>
      </c>
      <c r="H1241" s="28"/>
      <c r="Y1241" s="26"/>
    </row>
    <row r="1242" spans="1:25" ht="12" customHeight="1">
      <c r="A1242" s="100" t="s">
        <v>497</v>
      </c>
      <c r="B1242" s="99" t="s">
        <v>570</v>
      </c>
      <c r="C1242" s="27">
        <v>48.8</v>
      </c>
      <c r="D1242" s="27">
        <v>3.5929920000000002</v>
      </c>
      <c r="F1242" s="29" cm="1">
        <f t="array" ref="F1242">_xlfn.IFS(C1242=":",":",C1242&gt;=P$19,1,C1242&gt;=P$20,2,C1242&lt;P$20,3)</f>
        <v>2</v>
      </c>
      <c r="G1242" s="43" t="s">
        <v>3032</v>
      </c>
      <c r="H1242" s="28"/>
      <c r="Y1242" s="26"/>
    </row>
    <row r="1243" spans="1:25" ht="12" customHeight="1">
      <c r="A1243" s="100" t="s">
        <v>498</v>
      </c>
      <c r="B1243" s="99" t="s">
        <v>499</v>
      </c>
      <c r="C1243" s="27">
        <v>88.9</v>
      </c>
      <c r="D1243" s="27">
        <v>1.660156</v>
      </c>
      <c r="F1243" s="29" cm="1">
        <f t="array" ref="F1243">_xlfn.IFS(C1243=":",":",C1243&gt;=P$19,1,C1243&gt;=P$20,2,C1243&lt;P$20,3)</f>
        <v>1</v>
      </c>
      <c r="G1243" s="43" t="s">
        <v>3032</v>
      </c>
      <c r="H1243" s="28"/>
      <c r="Y1243" s="26"/>
    </row>
    <row r="1244" spans="1:25" ht="12" customHeight="1">
      <c r="A1244" s="100" t="s">
        <v>500</v>
      </c>
      <c r="B1244" s="99" t="s">
        <v>571</v>
      </c>
      <c r="C1244" s="27">
        <v>89.7</v>
      </c>
      <c r="D1244" s="27">
        <v>0.90826300000000004</v>
      </c>
      <c r="F1244" s="29" cm="1">
        <f t="array" ref="F1244">_xlfn.IFS(C1244=":",":",C1244&gt;=P$19,1,C1244&gt;=P$20,2,C1244&lt;P$20,3)</f>
        <v>1</v>
      </c>
      <c r="G1244" s="43" t="s">
        <v>3032</v>
      </c>
      <c r="H1244" s="28"/>
      <c r="Y1244" s="26"/>
    </row>
    <row r="1245" spans="1:25" ht="12" customHeight="1">
      <c r="A1245" s="100" t="s">
        <v>501</v>
      </c>
      <c r="B1245" s="99" t="s">
        <v>572</v>
      </c>
      <c r="C1245" s="27">
        <v>98</v>
      </c>
      <c r="D1245" s="27">
        <v>0.73095200000000005</v>
      </c>
      <c r="F1245" s="29" cm="1">
        <f t="array" ref="F1245">_xlfn.IFS(C1245=":",":",C1245&gt;=P$19,1,C1245&gt;=P$20,2,C1245&lt;P$20,3)</f>
        <v>1</v>
      </c>
      <c r="G1245" s="43" t="s">
        <v>3032</v>
      </c>
      <c r="H1245" s="28"/>
      <c r="Y1245" s="26"/>
    </row>
    <row r="1246" spans="1:25" ht="12" customHeight="1">
      <c r="A1246" s="100" t="s">
        <v>502</v>
      </c>
      <c r="B1246" s="99" t="s">
        <v>503</v>
      </c>
      <c r="C1246" s="27">
        <v>93.6</v>
      </c>
      <c r="D1246" s="27">
        <v>1.8797809999999999</v>
      </c>
      <c r="F1246" s="29" cm="1">
        <f t="array" ref="F1246">_xlfn.IFS(C1246=":",":",C1246&gt;=P$19,1,C1246&gt;=P$20,2,C1246&lt;P$20,3)</f>
        <v>1</v>
      </c>
      <c r="G1246" s="43" t="s">
        <v>3032</v>
      </c>
      <c r="H1246" s="28"/>
      <c r="Y1246" s="26"/>
    </row>
    <row r="1247" spans="1:25" ht="12" customHeight="1">
      <c r="A1247" s="100" t="s">
        <v>504</v>
      </c>
      <c r="B1247" s="99" t="s">
        <v>573</v>
      </c>
      <c r="C1247" s="27">
        <v>65.8</v>
      </c>
      <c r="D1247" s="27">
        <v>3.1627510000000001</v>
      </c>
      <c r="F1247" s="29" cm="1">
        <f t="array" ref="F1247">_xlfn.IFS(C1247=":",":",C1247&gt;=P$19,1,C1247&gt;=P$20,2,C1247&lt;P$20,3)</f>
        <v>1</v>
      </c>
      <c r="G1247" s="43" t="s">
        <v>3032</v>
      </c>
      <c r="H1247" s="28"/>
      <c r="Y1247" s="26"/>
    </row>
    <row r="1248" spans="1:25" ht="12" customHeight="1">
      <c r="A1248" s="100" t="s">
        <v>505</v>
      </c>
      <c r="B1248" s="99" t="s">
        <v>506</v>
      </c>
      <c r="C1248" s="27">
        <v>91.4</v>
      </c>
      <c r="D1248" s="27">
        <v>0.93510700000000002</v>
      </c>
      <c r="F1248" s="29" cm="1">
        <f t="array" ref="F1248">_xlfn.IFS(C1248=":",":",C1248&gt;=P$19,1,C1248&gt;=P$20,2,C1248&lt;P$20,3)</f>
        <v>1</v>
      </c>
      <c r="G1248" s="43" t="s">
        <v>3032</v>
      </c>
      <c r="H1248" s="28"/>
      <c r="Y1248" s="26"/>
    </row>
    <row r="1249" spans="1:25" ht="12" customHeight="1">
      <c r="A1249" s="100" t="s">
        <v>507</v>
      </c>
      <c r="B1249" s="99" t="s">
        <v>574</v>
      </c>
      <c r="C1249" s="27">
        <v>88.7</v>
      </c>
      <c r="D1249" s="27">
        <v>0.67908400000000002</v>
      </c>
      <c r="F1249" s="29" cm="1">
        <f t="array" ref="F1249">_xlfn.IFS(C1249=":",":",C1249&gt;=P$19,1,C1249&gt;=P$20,2,C1249&lt;P$20,3)</f>
        <v>1</v>
      </c>
      <c r="G1249" s="43" t="s">
        <v>3032</v>
      </c>
      <c r="H1249" s="28"/>
      <c r="Y1249" s="26"/>
    </row>
    <row r="1250" spans="1:25" ht="12" customHeight="1">
      <c r="A1250" s="100" t="s">
        <v>508</v>
      </c>
      <c r="B1250" s="99" t="s">
        <v>575</v>
      </c>
      <c r="C1250" s="27">
        <v>97.2</v>
      </c>
      <c r="D1250" s="27">
        <v>0.80065500000000001</v>
      </c>
      <c r="F1250" s="29" cm="1">
        <f t="array" ref="F1250">_xlfn.IFS(C1250=":",":",C1250&gt;=P$19,1,C1250&gt;=P$20,2,C1250&lt;P$20,3)</f>
        <v>1</v>
      </c>
      <c r="G1250" s="43" t="s">
        <v>3032</v>
      </c>
      <c r="H1250" s="28"/>
      <c r="Y1250" s="26"/>
    </row>
    <row r="1251" spans="1:25" ht="12" customHeight="1">
      <c r="A1251" s="100" t="s">
        <v>509</v>
      </c>
      <c r="B1251" s="99" t="s">
        <v>576</v>
      </c>
      <c r="C1251" s="27">
        <v>68.7</v>
      </c>
      <c r="D1251" s="27">
        <v>1.1439729999999999</v>
      </c>
      <c r="F1251" s="29" cm="1">
        <f t="array" ref="F1251">_xlfn.IFS(C1251=":",":",C1251&gt;=P$19,1,C1251&gt;=P$20,2,C1251&lt;P$20,3)</f>
        <v>1</v>
      </c>
      <c r="G1251" s="43" t="s">
        <v>3032</v>
      </c>
      <c r="H1251" s="28"/>
      <c r="Y1251" s="26"/>
    </row>
    <row r="1252" spans="1:25" ht="12" customHeight="1">
      <c r="A1252" s="100" t="s">
        <v>510</v>
      </c>
      <c r="B1252" s="99" t="s">
        <v>577</v>
      </c>
      <c r="C1252" s="27">
        <v>86.6</v>
      </c>
      <c r="D1252" s="27">
        <v>1.711444</v>
      </c>
      <c r="F1252" s="29" cm="1">
        <f t="array" ref="F1252">_xlfn.IFS(C1252=":",":",C1252&gt;=P$19,1,C1252&gt;=P$20,2,C1252&lt;P$20,3)</f>
        <v>1</v>
      </c>
      <c r="G1252" s="43" t="s">
        <v>3032</v>
      </c>
      <c r="H1252" s="28"/>
      <c r="Y1252" s="26"/>
    </row>
    <row r="1253" spans="1:25" ht="12" customHeight="1">
      <c r="A1253" s="100" t="s">
        <v>511</v>
      </c>
      <c r="B1253" s="99" t="s">
        <v>578</v>
      </c>
      <c r="C1253" s="27">
        <v>93.9</v>
      </c>
      <c r="D1253" s="27">
        <v>1.6040000000000001</v>
      </c>
      <c r="F1253" s="29" cm="1">
        <f t="array" ref="F1253">_xlfn.IFS(C1253=":",":",C1253&gt;=P$19,1,C1253&gt;=P$20,2,C1253&lt;P$20,3)</f>
        <v>1</v>
      </c>
      <c r="G1253" s="43" t="s">
        <v>3032</v>
      </c>
      <c r="H1253" s="28"/>
      <c r="Y1253" s="26"/>
    </row>
    <row r="1254" spans="1:25" ht="12" customHeight="1">
      <c r="A1254" s="100" t="s">
        <v>512</v>
      </c>
      <c r="B1254" s="99" t="s">
        <v>579</v>
      </c>
      <c r="C1254" s="27">
        <v>93.5</v>
      </c>
      <c r="D1254" s="27">
        <v>1.1587540000000001</v>
      </c>
      <c r="F1254" s="29" cm="1">
        <f t="array" ref="F1254">_xlfn.IFS(C1254=":",":",C1254&gt;=P$19,1,C1254&gt;=P$20,2,C1254&lt;P$20,3)</f>
        <v>1</v>
      </c>
      <c r="G1254" s="43" t="s">
        <v>3032</v>
      </c>
      <c r="H1254" s="28"/>
      <c r="Y1254" s="26"/>
    </row>
    <row r="1255" spans="1:25" ht="12" customHeight="1">
      <c r="A1255" s="100" t="s">
        <v>2992</v>
      </c>
      <c r="B1255" s="99" t="s">
        <v>2993</v>
      </c>
      <c r="C1255" s="27" t="s">
        <v>546</v>
      </c>
      <c r="D1255" s="27" t="s">
        <v>546</v>
      </c>
      <c r="F1255" s="29" t="str" cm="1">
        <f t="array" ref="F1255">_xlfn.IFS(C1255=":",":",C1255&gt;=P$19,1,C1255&gt;=P$20,2,C1255&lt;P$20,3)</f>
        <v>:</v>
      </c>
      <c r="H1255" s="28"/>
      <c r="Y1255" s="26"/>
    </row>
    <row r="1256" spans="1:25" ht="12" customHeight="1">
      <c r="H1256" s="28"/>
      <c r="Y1256" s="26"/>
    </row>
    <row r="1257" spans="1:25" ht="12" customHeight="1">
      <c r="H1257" s="28"/>
      <c r="Y1257" s="26"/>
    </row>
    <row r="1258" spans="1:25" ht="12" customHeight="1">
      <c r="H1258" s="28"/>
      <c r="Y1258" s="26"/>
    </row>
    <row r="1259" spans="1:25" ht="12" customHeight="1">
      <c r="H1259" s="28"/>
      <c r="Y1259" s="26"/>
    </row>
    <row r="1260" spans="1:25" ht="12" customHeight="1">
      <c r="H1260" s="28"/>
      <c r="Y1260" s="26"/>
    </row>
    <row r="1261" spans="1:25" ht="12" customHeight="1">
      <c r="H1261" s="28"/>
      <c r="Y1261" s="26"/>
    </row>
    <row r="1262" spans="1:25" ht="12" customHeight="1">
      <c r="H1262" s="28"/>
      <c r="Y1262" s="26"/>
    </row>
    <row r="1263" spans="1:25" ht="12" customHeight="1">
      <c r="H1263" s="28"/>
      <c r="Y1263" s="26"/>
    </row>
    <row r="1264" spans="1:25" ht="12" customHeight="1">
      <c r="H1264" s="28"/>
      <c r="Y1264" s="26"/>
    </row>
    <row r="1265" spans="8:25" ht="12" customHeight="1">
      <c r="H1265" s="28"/>
      <c r="Y1265" s="26"/>
    </row>
    <row r="1266" spans="8:25" ht="12" customHeight="1">
      <c r="H1266" s="28"/>
      <c r="Y1266" s="26"/>
    </row>
    <row r="1267" spans="8:25" ht="12" customHeight="1">
      <c r="H1267" s="28"/>
      <c r="Y1267" s="26"/>
    </row>
    <row r="1268" spans="8:25" ht="12" customHeight="1">
      <c r="H1268" s="28"/>
      <c r="Y1268" s="26"/>
    </row>
    <row r="1269" spans="8:25" ht="12" customHeight="1">
      <c r="H1269" s="28"/>
      <c r="Y1269" s="26"/>
    </row>
    <row r="1270" spans="8:25" ht="12" customHeight="1">
      <c r="H1270" s="28"/>
      <c r="Y1270" s="26"/>
    </row>
    <row r="1271" spans="8:25" ht="12" customHeight="1">
      <c r="H1271" s="28"/>
      <c r="Y1271" s="26"/>
    </row>
    <row r="1272" spans="8:25" ht="12" customHeight="1">
      <c r="H1272" s="28"/>
      <c r="Y1272" s="26"/>
    </row>
    <row r="1273" spans="8:25" ht="12" customHeight="1">
      <c r="H1273" s="28"/>
      <c r="Y1273" s="26"/>
    </row>
    <row r="1274" spans="8:25" ht="12" customHeight="1">
      <c r="H1274" s="28"/>
      <c r="Y1274" s="26"/>
    </row>
    <row r="1275" spans="8:25" ht="12" customHeight="1">
      <c r="H1275" s="28"/>
      <c r="Y1275" s="26"/>
    </row>
    <row r="1276" spans="8:25" ht="12" customHeight="1">
      <c r="H1276" s="28"/>
      <c r="Y1276" s="26"/>
    </row>
    <row r="1277" spans="8:25" ht="12" customHeight="1">
      <c r="H1277" s="28"/>
      <c r="Y1277" s="26"/>
    </row>
    <row r="1278" spans="8:25" ht="12" customHeight="1">
      <c r="H1278" s="28"/>
      <c r="Y1278" s="26"/>
    </row>
    <row r="1279" spans="8:25" ht="12" customHeight="1">
      <c r="H1279" s="28"/>
      <c r="Y1279" s="26"/>
    </row>
    <row r="1280" spans="8:25" ht="12" customHeight="1">
      <c r="H1280" s="28"/>
      <c r="Y1280" s="26"/>
    </row>
    <row r="1281" spans="8:25" ht="12" customHeight="1">
      <c r="H1281" s="28"/>
      <c r="Y1281" s="26"/>
    </row>
    <row r="1282" spans="8:25" ht="12" customHeight="1">
      <c r="H1282" s="28"/>
      <c r="Y1282" s="26"/>
    </row>
    <row r="1283" spans="8:25" ht="12" customHeight="1">
      <c r="H1283" s="28"/>
      <c r="Y1283" s="26"/>
    </row>
    <row r="1284" spans="8:25" ht="12" customHeight="1">
      <c r="H1284" s="28"/>
      <c r="Y1284" s="26"/>
    </row>
    <row r="1285" spans="8:25" ht="12" customHeight="1">
      <c r="H1285" s="28"/>
      <c r="Y1285" s="26"/>
    </row>
    <row r="1286" spans="8:25" ht="12" customHeight="1">
      <c r="H1286" s="28"/>
      <c r="Y1286" s="26"/>
    </row>
    <row r="1287" spans="8:25" ht="12" customHeight="1">
      <c r="H1287" s="28"/>
      <c r="Y1287" s="26"/>
    </row>
    <row r="1288" spans="8:25" ht="12" customHeight="1">
      <c r="H1288" s="28"/>
      <c r="Y1288" s="26"/>
    </row>
    <row r="1289" spans="8:25" ht="12" customHeight="1">
      <c r="H1289" s="28"/>
      <c r="Y1289" s="26"/>
    </row>
    <row r="1290" spans="8:25" ht="12" customHeight="1">
      <c r="H1290" s="28"/>
      <c r="Y1290" s="26"/>
    </row>
    <row r="1291" spans="8:25" ht="12" customHeight="1">
      <c r="H1291" s="28"/>
      <c r="Y1291" s="26"/>
    </row>
    <row r="1292" spans="8:25" ht="12" customHeight="1">
      <c r="H1292" s="28"/>
      <c r="Y1292" s="26"/>
    </row>
    <row r="1293" spans="8:25" ht="12" customHeight="1">
      <c r="H1293" s="28"/>
      <c r="Y1293" s="26"/>
    </row>
    <row r="1294" spans="8:25" ht="12" customHeight="1">
      <c r="H1294" s="28"/>
      <c r="Y1294" s="26"/>
    </row>
    <row r="1295" spans="8:25" ht="12" customHeight="1">
      <c r="H1295" s="28"/>
      <c r="Y1295" s="26"/>
    </row>
    <row r="1296" spans="8:25" ht="12" customHeight="1">
      <c r="H1296" s="28"/>
      <c r="Y1296" s="26"/>
    </row>
    <row r="1297" spans="8:25" ht="12" customHeight="1">
      <c r="H1297" s="28"/>
      <c r="Y1297" s="26"/>
    </row>
    <row r="1298" spans="8:25" ht="12" customHeight="1">
      <c r="H1298" s="28"/>
      <c r="Y1298" s="26"/>
    </row>
    <row r="1299" spans="8:25" ht="12" customHeight="1">
      <c r="H1299" s="28"/>
      <c r="Y1299" s="26"/>
    </row>
    <row r="1300" spans="8:25" ht="12" customHeight="1">
      <c r="H1300" s="28"/>
      <c r="Y1300" s="26"/>
    </row>
    <row r="1301" spans="8:25" ht="12" customHeight="1">
      <c r="H1301" s="28"/>
      <c r="Y1301" s="26"/>
    </row>
    <row r="1302" spans="8:25" ht="12" customHeight="1">
      <c r="H1302" s="28"/>
      <c r="Y1302" s="26"/>
    </row>
    <row r="1303" spans="8:25" ht="12" customHeight="1">
      <c r="H1303" s="28"/>
      <c r="Y1303" s="26"/>
    </row>
    <row r="1304" spans="8:25" ht="12" customHeight="1">
      <c r="H1304" s="28"/>
      <c r="Y1304" s="26"/>
    </row>
    <row r="1305" spans="8:25" ht="12" customHeight="1">
      <c r="H1305" s="28"/>
      <c r="Y1305" s="26"/>
    </row>
    <row r="1306" spans="8:25" ht="12" customHeight="1">
      <c r="H1306" s="28"/>
      <c r="Y1306" s="26"/>
    </row>
    <row r="1307" spans="8:25" ht="12" customHeight="1">
      <c r="H1307" s="28"/>
      <c r="Y1307" s="26"/>
    </row>
    <row r="1308" spans="8:25" ht="12" customHeight="1">
      <c r="H1308" s="28"/>
      <c r="Y1308" s="26"/>
    </row>
    <row r="1309" spans="8:25" ht="12" customHeight="1">
      <c r="H1309" s="28"/>
      <c r="Y1309" s="26"/>
    </row>
    <row r="1310" spans="8:25" ht="12" customHeight="1">
      <c r="H1310" s="28"/>
      <c r="Y1310" s="26"/>
    </row>
    <row r="1311" spans="8:25" ht="12" customHeight="1">
      <c r="H1311" s="28"/>
      <c r="Y1311" s="26"/>
    </row>
    <row r="1312" spans="8:25" ht="12" customHeight="1">
      <c r="H1312" s="28"/>
      <c r="Y1312" s="26"/>
    </row>
    <row r="1313" spans="8:8" ht="12" customHeight="1">
      <c r="H1313" s="28"/>
    </row>
    <row r="1314" spans="8:8" ht="12" customHeight="1">
      <c r="H1314" s="28"/>
    </row>
    <row r="1315" spans="8:8" ht="12" customHeight="1">
      <c r="H1315" s="28"/>
    </row>
    <row r="1316" spans="8:8" ht="12" customHeight="1">
      <c r="H1316" s="28"/>
    </row>
    <row r="1317" spans="8:8" ht="12" customHeight="1">
      <c r="H1317" s="28"/>
    </row>
    <row r="1318" spans="8:8" ht="12" customHeight="1">
      <c r="H1318" s="28"/>
    </row>
    <row r="1319" spans="8:8" ht="12" customHeight="1">
      <c r="H1319" s="28"/>
    </row>
    <row r="1320" spans="8:8" ht="12" customHeight="1">
      <c r="H1320" s="28"/>
    </row>
    <row r="1321" spans="8:8" ht="12" customHeight="1">
      <c r="H1321" s="28"/>
    </row>
    <row r="1322" spans="8:8" ht="12" customHeight="1">
      <c r="H1322" s="28"/>
    </row>
    <row r="1323" spans="8:8" ht="12" customHeight="1">
      <c r="H1323" s="28"/>
    </row>
    <row r="1324" spans="8:8" ht="12" customHeight="1">
      <c r="H1324" s="28"/>
    </row>
    <row r="1325" spans="8:8" ht="12" customHeight="1">
      <c r="H1325" s="28"/>
    </row>
    <row r="1326" spans="8:8" ht="12" customHeight="1">
      <c r="H1326" s="28"/>
    </row>
    <row r="1327" spans="8:8" ht="12" customHeight="1">
      <c r="H1327" s="28"/>
    </row>
    <row r="1328" spans="8:8" ht="12" customHeight="1">
      <c r="H1328" s="28"/>
    </row>
    <row r="1329" spans="8:8" ht="12" customHeight="1">
      <c r="H1329" s="28"/>
    </row>
    <row r="1330" spans="8:8" ht="12" customHeight="1">
      <c r="H1330" s="28"/>
    </row>
    <row r="1331" spans="8:8" ht="12" customHeight="1">
      <c r="H1331" s="28"/>
    </row>
    <row r="1332" spans="8:8" ht="12" customHeight="1">
      <c r="H1332" s="28"/>
    </row>
    <row r="1333" spans="8:8" ht="12" customHeight="1">
      <c r="H1333" s="28"/>
    </row>
    <row r="1334" spans="8:8" ht="12" customHeight="1">
      <c r="H1334" s="28"/>
    </row>
    <row r="1335" spans="8:8" ht="12" customHeight="1">
      <c r="H1335" s="28"/>
    </row>
    <row r="1336" spans="8:8" ht="12" customHeight="1">
      <c r="H1336" s="28"/>
    </row>
    <row r="1337" spans="8:8" ht="12" customHeight="1">
      <c r="H1337" s="28"/>
    </row>
    <row r="1338" spans="8:8" ht="12" customHeight="1">
      <c r="H1338" s="28"/>
    </row>
    <row r="1339" spans="8:8" ht="12" customHeight="1">
      <c r="H1339" s="28"/>
    </row>
    <row r="1340" spans="8:8" ht="12" customHeight="1">
      <c r="H1340" s="28"/>
    </row>
    <row r="1341" spans="8:8" ht="12" customHeight="1">
      <c r="H1341" s="28"/>
    </row>
    <row r="1342" spans="8:8" ht="12" customHeight="1">
      <c r="H1342" s="28"/>
    </row>
    <row r="1343" spans="8:8" ht="12" customHeight="1">
      <c r="H1343" s="28"/>
    </row>
    <row r="1344" spans="8:8" ht="12" customHeight="1">
      <c r="H1344" s="28"/>
    </row>
    <row r="1345" spans="8:8" ht="12" customHeight="1">
      <c r="H1345" s="28"/>
    </row>
    <row r="1346" spans="8:8" ht="12" customHeight="1">
      <c r="H1346" s="28"/>
    </row>
    <row r="1347" spans="8:8" ht="12" customHeight="1">
      <c r="H1347" s="28"/>
    </row>
    <row r="1348" spans="8:8" ht="12" customHeight="1">
      <c r="H1348" s="28"/>
    </row>
    <row r="1349" spans="8:8" ht="12" customHeight="1">
      <c r="H1349" s="28"/>
    </row>
    <row r="1350" spans="8:8" ht="12" customHeight="1">
      <c r="H1350" s="28"/>
    </row>
    <row r="1351" spans="8:8" ht="12" customHeight="1">
      <c r="H1351" s="28"/>
    </row>
    <row r="1352" spans="8:8" ht="12" customHeight="1">
      <c r="H1352" s="28"/>
    </row>
    <row r="1353" spans="8:8" ht="12" customHeight="1">
      <c r="H1353" s="28"/>
    </row>
    <row r="1354" spans="8:8" ht="12" customHeight="1">
      <c r="H1354" s="28"/>
    </row>
    <row r="1355" spans="8:8" ht="12" customHeight="1">
      <c r="H1355" s="28"/>
    </row>
    <row r="1356" spans="8:8" ht="12" customHeight="1">
      <c r="H1356" s="28"/>
    </row>
    <row r="1357" spans="8:8" ht="12" customHeight="1">
      <c r="H1357" s="28"/>
    </row>
    <row r="1358" spans="8:8" ht="12" customHeight="1">
      <c r="H1358" s="28"/>
    </row>
    <row r="1359" spans="8:8" ht="12" customHeight="1">
      <c r="H1359" s="28"/>
    </row>
    <row r="1360" spans="8:8" ht="12" customHeight="1">
      <c r="H1360" s="28"/>
    </row>
    <row r="1361" spans="8:8" ht="12" customHeight="1">
      <c r="H1361" s="28"/>
    </row>
    <row r="1362" spans="8:8" ht="12" customHeight="1">
      <c r="H1362" s="28"/>
    </row>
    <row r="1363" spans="8:8" ht="12" customHeight="1">
      <c r="H1363" s="28"/>
    </row>
    <row r="1364" spans="8:8" ht="12" customHeight="1">
      <c r="H1364" s="28"/>
    </row>
    <row r="1365" spans="8:8" ht="12" customHeight="1">
      <c r="H1365" s="28"/>
    </row>
    <row r="1366" spans="8:8" ht="12" customHeight="1">
      <c r="H1366" s="28"/>
    </row>
    <row r="1367" spans="8:8" ht="12" customHeight="1">
      <c r="H1367" s="28"/>
    </row>
    <row r="1368" spans="8:8" ht="12" customHeight="1">
      <c r="H1368" s="28"/>
    </row>
    <row r="1369" spans="8:8" ht="12" customHeight="1">
      <c r="H1369" s="28"/>
    </row>
    <row r="1370" spans="8:8" ht="12" customHeight="1">
      <c r="H1370" s="28"/>
    </row>
    <row r="1371" spans="8:8" ht="12" customHeight="1">
      <c r="H1371" s="28"/>
    </row>
    <row r="1372" spans="8:8" ht="12" customHeight="1">
      <c r="H1372" s="28"/>
    </row>
    <row r="1373" spans="8:8" ht="12" customHeight="1">
      <c r="H1373" s="28"/>
    </row>
    <row r="1374" spans="8:8" ht="12" customHeight="1">
      <c r="H1374" s="28"/>
    </row>
    <row r="1375" spans="8:8" ht="12" customHeight="1">
      <c r="H1375" s="28"/>
    </row>
    <row r="1376" spans="8:8" ht="12" customHeight="1">
      <c r="H1376" s="28"/>
    </row>
    <row r="1377" spans="8:8" ht="12" customHeight="1">
      <c r="H1377" s="28"/>
    </row>
    <row r="1378" spans="8:8" ht="12" customHeight="1">
      <c r="H1378" s="28"/>
    </row>
    <row r="1379" spans="8:8" ht="12" customHeight="1">
      <c r="H1379" s="28"/>
    </row>
    <row r="1380" spans="8:8" ht="12" customHeight="1">
      <c r="H1380" s="28"/>
    </row>
    <row r="1381" spans="8:8" ht="12" customHeight="1">
      <c r="H1381" s="28"/>
    </row>
    <row r="1382" spans="8:8" ht="12" customHeight="1"/>
    <row r="1383" spans="8:8" ht="12" customHeight="1"/>
    <row r="1384" spans="8:8" ht="12" customHeight="1"/>
    <row r="1385" spans="8:8" ht="12" customHeight="1"/>
    <row r="1386" spans="8:8" ht="12" customHeight="1"/>
    <row r="1387" spans="8:8" ht="12" customHeight="1"/>
    <row r="1388" spans="8:8" ht="12" customHeight="1"/>
    <row r="1389" spans="8:8" ht="12" customHeight="1"/>
    <row r="1390" spans="8:8" ht="12" customHeight="1"/>
    <row r="1391" spans="8:8" ht="12" customHeight="1"/>
    <row r="1392" spans="8:8" ht="12" customHeight="1"/>
    <row r="1393" ht="12" customHeight="1"/>
    <row r="1394" s="29" customFormat="1" ht="12" customHeight="1"/>
    <row r="1395" s="29" customFormat="1" ht="12" customHeight="1"/>
    <row r="1396" s="29" customFormat="1" ht="12" customHeight="1"/>
    <row r="1397" s="29" customFormat="1" ht="12" customHeight="1"/>
    <row r="1398" s="29" customFormat="1" ht="12" customHeight="1"/>
    <row r="1399" s="29" customFormat="1" ht="12" customHeight="1"/>
    <row r="1400" s="29" customFormat="1" ht="12" customHeight="1"/>
    <row r="1401" s="29" customFormat="1" ht="12" customHeight="1"/>
    <row r="1402" s="29" customFormat="1" ht="12" customHeight="1"/>
    <row r="1403" s="29" customFormat="1" ht="12" customHeight="1"/>
    <row r="1404" s="29" customFormat="1" ht="12" customHeight="1"/>
    <row r="1405" s="29" customFormat="1" ht="12" customHeight="1"/>
    <row r="1406" s="29" customFormat="1" ht="12" customHeight="1"/>
    <row r="1407" s="29" customFormat="1" ht="12" customHeight="1"/>
    <row r="1408" s="29" customFormat="1" ht="12" customHeight="1"/>
    <row r="1409" s="29" customFormat="1" ht="12" customHeight="1"/>
    <row r="1410" ht="12" customHeight="1"/>
    <row r="1411" ht="12" customHeight="1"/>
    <row r="1412" ht="12" customHeight="1"/>
    <row r="1413" ht="12" customHeight="1"/>
    <row r="1414" ht="12" customHeight="1"/>
    <row r="1415" ht="12" customHeight="1"/>
    <row r="1416" ht="12" customHeight="1"/>
    <row r="1417" ht="12" customHeight="1"/>
    <row r="1418" ht="12" customHeight="1"/>
    <row r="1419" ht="12" customHeight="1"/>
    <row r="1420" ht="12" customHeight="1"/>
    <row r="1421" ht="12" customHeight="1"/>
    <row r="1422" ht="12" customHeight="1"/>
    <row r="1423" ht="12" customHeight="1"/>
    <row r="1424" ht="12" customHeight="1"/>
    <row r="1425" ht="12" customHeight="1"/>
    <row r="1426" s="29" customFormat="1" ht="12" customHeight="1"/>
    <row r="1427" s="29" customFormat="1" ht="12" customHeight="1"/>
    <row r="1428" s="29" customFormat="1" ht="12" customHeight="1"/>
    <row r="1429" s="29" customFormat="1" ht="12" customHeight="1"/>
    <row r="1430" s="29" customFormat="1" ht="12" customHeight="1"/>
    <row r="1431" s="29" customFormat="1" ht="12" customHeight="1"/>
    <row r="1432" s="29" customFormat="1" ht="12" customHeight="1"/>
    <row r="1433" s="29" customFormat="1" ht="12" customHeight="1"/>
    <row r="1434" s="29" customFormat="1" ht="12" customHeight="1"/>
    <row r="1435" s="29" customFormat="1" ht="12" customHeight="1"/>
    <row r="1436" s="29" customFormat="1" ht="12" customHeight="1"/>
    <row r="1437" s="29" customFormat="1" ht="12" customHeight="1"/>
    <row r="1438" s="29" customFormat="1" ht="12" customHeight="1"/>
    <row r="1439" s="29" customFormat="1" ht="12" customHeight="1"/>
    <row r="1440" s="29" customFormat="1" ht="12" customHeight="1"/>
    <row r="1441" s="29" customFormat="1" ht="12" customHeight="1"/>
    <row r="1442" ht="12" customHeight="1"/>
    <row r="1443" ht="12" customHeight="1"/>
    <row r="1444" ht="12" customHeight="1"/>
    <row r="1445" ht="12" customHeight="1"/>
    <row r="1446" ht="12" customHeight="1"/>
    <row r="1447" ht="12" customHeight="1"/>
    <row r="1448" ht="12" customHeight="1"/>
    <row r="1449" ht="12" customHeight="1"/>
    <row r="1450" ht="12" customHeight="1"/>
    <row r="1451" ht="12" customHeight="1"/>
    <row r="1452" ht="12" customHeight="1"/>
    <row r="1453" ht="12" customHeight="1"/>
    <row r="1454" ht="12" customHeight="1"/>
    <row r="1455" ht="12" customHeight="1"/>
    <row r="1456" ht="12" customHeight="1"/>
    <row r="1457" ht="12" customHeight="1"/>
    <row r="1458" ht="12" customHeight="1"/>
    <row r="1459" ht="12" customHeight="1"/>
    <row r="1460" ht="12" customHeight="1"/>
    <row r="1461" ht="12" customHeight="1"/>
    <row r="1462" ht="12" customHeight="1"/>
    <row r="1463" ht="12" customHeight="1"/>
    <row r="1464" ht="12" customHeight="1"/>
    <row r="1465" ht="12" customHeight="1"/>
    <row r="1466" ht="12" customHeight="1"/>
    <row r="1467" ht="12" customHeight="1"/>
    <row r="1468" ht="12" customHeight="1"/>
    <row r="1469" ht="12" customHeight="1"/>
    <row r="1470" ht="12" customHeight="1"/>
    <row r="1471" ht="12" customHeight="1"/>
    <row r="1472" ht="12" customHeight="1"/>
    <row r="1473" ht="12" customHeight="1"/>
    <row r="1474" ht="12" customHeight="1"/>
    <row r="1475" ht="12" customHeight="1"/>
    <row r="1476" ht="12" customHeight="1"/>
    <row r="1477" ht="12" customHeight="1"/>
    <row r="1478" ht="12" customHeight="1"/>
    <row r="1479" ht="12" customHeight="1"/>
    <row r="1480" ht="12" customHeight="1"/>
    <row r="1481" ht="12" customHeight="1"/>
    <row r="1482" ht="12" customHeight="1"/>
    <row r="1483" ht="12" customHeight="1"/>
    <row r="1484" ht="12" customHeight="1"/>
    <row r="1485" ht="12" customHeight="1"/>
    <row r="1486" ht="12" customHeight="1"/>
    <row r="1487" ht="12" customHeight="1"/>
    <row r="1488" ht="12" customHeight="1"/>
    <row r="1489" ht="12" customHeight="1"/>
    <row r="1490" ht="12" customHeight="1"/>
    <row r="1491" ht="12" customHeight="1"/>
    <row r="1492" ht="12" customHeight="1"/>
    <row r="1493" ht="12" customHeight="1"/>
    <row r="1494" ht="12" customHeight="1"/>
    <row r="1495" ht="12" customHeight="1"/>
    <row r="1496" ht="12" customHeight="1"/>
    <row r="1497" ht="12" customHeight="1"/>
    <row r="1498" ht="12" customHeight="1"/>
    <row r="1499" ht="12" customHeight="1"/>
    <row r="1500" ht="12" customHeight="1"/>
    <row r="1501" ht="12" customHeight="1"/>
    <row r="1502" ht="12" customHeight="1"/>
    <row r="1503" ht="12" customHeight="1"/>
    <row r="3499" spans="26:26" ht="11.25" customHeight="1">
      <c r="Z3499" s="25"/>
    </row>
    <row r="3522" ht="12.75"/>
    <row r="3523" ht="12.75"/>
  </sheetData>
  <phoneticPr fontId="4" type="noConversion"/>
  <hyperlinks>
    <hyperlink ref="J42" r:id="rId1" xr:uid="{FCFA5EDC-0633-460A-949E-8EE1D62E230F}"/>
    <hyperlink ref="J43" r:id="rId2" xr:uid="{DC8463BC-4851-4FDE-A326-78B3C5595B79}"/>
  </hyperlinks>
  <pageMargins left="0.75" right="0.75" top="1" bottom="1" header="0.5" footer="0.5"/>
  <pageSetup paperSize="9" orientation="portrait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4B8BA-EFAC-402A-BE0A-4D9AC828ADAD}">
  <sheetPr>
    <tabColor rgb="FF92D050"/>
  </sheetPr>
  <dimension ref="A1:Z1253"/>
  <sheetViews>
    <sheetView showGridLines="0" zoomScaleNormal="100" workbookViewId="0"/>
  </sheetViews>
  <sheetFormatPr defaultColWidth="9.140625" defaultRowHeight="12.75"/>
  <cols>
    <col min="1" max="1" width="8.7109375" style="5" customWidth="1"/>
    <col min="2" max="2" width="30.140625" style="5" customWidth="1"/>
    <col min="3" max="15" width="12.7109375" style="30" customWidth="1"/>
    <col min="16" max="16" width="4.140625" style="5" customWidth="1"/>
    <col min="17" max="18" width="4.140625" style="62" customWidth="1"/>
    <col min="19" max="19" width="27.85546875" style="44" customWidth="1"/>
    <col min="20" max="23" width="20.7109375" style="5" customWidth="1"/>
    <col min="24" max="24" width="9.140625" style="5"/>
    <col min="25" max="25" width="9.28515625" style="5" bestFit="1" customWidth="1"/>
    <col min="26" max="26" width="7.42578125" style="5" customWidth="1"/>
    <col min="27" max="16384" width="9.140625" style="5"/>
  </cols>
  <sheetData>
    <row r="1" spans="1:24">
      <c r="A1" s="19" t="s">
        <v>539</v>
      </c>
      <c r="B1" s="19" t="s">
        <v>540</v>
      </c>
      <c r="C1" s="124" t="s">
        <v>2816</v>
      </c>
      <c r="D1" s="124" t="s">
        <v>2835</v>
      </c>
      <c r="E1" s="124" t="s">
        <v>2836</v>
      </c>
      <c r="F1" s="124" t="s">
        <v>2837</v>
      </c>
      <c r="G1" s="124" t="s">
        <v>2838</v>
      </c>
      <c r="H1" s="124" t="s">
        <v>2839</v>
      </c>
      <c r="I1" s="124" t="s">
        <v>2840</v>
      </c>
      <c r="J1" s="124" t="s">
        <v>2832</v>
      </c>
      <c r="K1" s="124" t="s">
        <v>2833</v>
      </c>
      <c r="L1" s="124" t="s">
        <v>2834</v>
      </c>
      <c r="M1" s="124" t="s">
        <v>2841</v>
      </c>
      <c r="N1" s="124" t="s">
        <v>2842</v>
      </c>
      <c r="O1" s="124" t="s">
        <v>2843</v>
      </c>
      <c r="P1" s="19"/>
      <c r="Q1" s="21"/>
      <c r="R1" s="21"/>
      <c r="S1" s="4"/>
      <c r="T1" s="67"/>
      <c r="U1" s="5" t="s">
        <v>3028</v>
      </c>
    </row>
    <row r="2" spans="1:24">
      <c r="A2" s="10" t="s">
        <v>3230</v>
      </c>
      <c r="Q2" s="29"/>
      <c r="R2" s="69"/>
      <c r="S2" s="26"/>
    </row>
    <row r="3" spans="1:24" ht="12" customHeight="1">
      <c r="A3" s="10" t="s">
        <v>29</v>
      </c>
      <c r="B3" s="112" t="s">
        <v>3139</v>
      </c>
      <c r="C3" s="155">
        <v>7.3729709999999997</v>
      </c>
      <c r="D3" s="156">
        <v>0.45028400000000002</v>
      </c>
      <c r="E3" s="156">
        <v>0.51835299999999995</v>
      </c>
      <c r="F3" s="156">
        <v>0.61299199999999998</v>
      </c>
      <c r="G3" s="156">
        <v>0.632965</v>
      </c>
      <c r="H3" s="156">
        <v>0.645208</v>
      </c>
      <c r="I3" s="156">
        <v>0.61578100000000002</v>
      </c>
      <c r="J3" s="156">
        <v>0.70096599999999998</v>
      </c>
      <c r="K3" s="156">
        <v>0.65070300000000003</v>
      </c>
      <c r="L3" s="156">
        <v>0.60001400000000005</v>
      </c>
      <c r="M3" s="156">
        <v>0.65787200000000001</v>
      </c>
      <c r="N3" s="156">
        <v>0.61397400000000002</v>
      </c>
      <c r="O3" s="156">
        <v>0.67385899999999999</v>
      </c>
      <c r="P3" s="112"/>
      <c r="Q3" s="29"/>
      <c r="R3" s="60"/>
      <c r="S3" s="26"/>
      <c r="T3" s="6" t="s">
        <v>3135</v>
      </c>
    </row>
    <row r="4" spans="1:24" ht="12" customHeight="1">
      <c r="A4" s="10" t="s">
        <v>30</v>
      </c>
      <c r="B4" s="112" t="s">
        <v>31</v>
      </c>
      <c r="C4" s="155">
        <v>5.5977829999999997</v>
      </c>
      <c r="D4" s="156">
        <v>0.28315899999999999</v>
      </c>
      <c r="E4" s="156">
        <v>0.35030499999999998</v>
      </c>
      <c r="F4" s="156">
        <v>0.427149</v>
      </c>
      <c r="G4" s="156">
        <v>0.44366299999999997</v>
      </c>
      <c r="H4" s="156">
        <v>0.51746300000000001</v>
      </c>
      <c r="I4" s="156">
        <v>0.45835999999999999</v>
      </c>
      <c r="J4" s="156">
        <v>0.79066999999999998</v>
      </c>
      <c r="K4" s="156">
        <v>0.67142100000000005</v>
      </c>
      <c r="L4" s="156">
        <v>0.41269600000000001</v>
      </c>
      <c r="M4" s="156">
        <v>0.48634500000000003</v>
      </c>
      <c r="N4" s="156">
        <v>0.37973600000000002</v>
      </c>
      <c r="O4" s="156">
        <v>0.37681599999999998</v>
      </c>
      <c r="P4" s="112"/>
      <c r="Q4" s="29"/>
      <c r="R4" s="60"/>
      <c r="S4" s="26"/>
      <c r="T4" s="6" t="s">
        <v>28</v>
      </c>
    </row>
    <row r="5" spans="1:24" s="31" customFormat="1" ht="12" customHeight="1">
      <c r="A5" s="10" t="s">
        <v>32</v>
      </c>
      <c r="B5" s="112" t="s">
        <v>33</v>
      </c>
      <c r="C5" s="157">
        <v>5.1851200000000004</v>
      </c>
      <c r="D5" s="156">
        <v>0.23319999999999999</v>
      </c>
      <c r="E5" s="156">
        <v>0.300037</v>
      </c>
      <c r="F5" s="156">
        <v>0.37000699999999997</v>
      </c>
      <c r="G5" s="156">
        <v>0.43137700000000001</v>
      </c>
      <c r="H5" s="156">
        <v>0.490956</v>
      </c>
      <c r="I5" s="156">
        <v>0.39592100000000002</v>
      </c>
      <c r="J5" s="156">
        <v>0.80518699999999999</v>
      </c>
      <c r="K5" s="156">
        <v>0.74129100000000003</v>
      </c>
      <c r="L5" s="156">
        <v>0.39167200000000002</v>
      </c>
      <c r="M5" s="156">
        <v>0.43336999999999998</v>
      </c>
      <c r="N5" s="156">
        <v>0.30176799999999998</v>
      </c>
      <c r="O5" s="156">
        <v>0.29033399999999998</v>
      </c>
      <c r="P5" s="112"/>
      <c r="Q5" s="29"/>
      <c r="R5" s="60"/>
      <c r="S5" s="40"/>
      <c r="T5" s="32"/>
      <c r="U5" s="5"/>
    </row>
    <row r="6" spans="1:24" ht="15.75">
      <c r="A6" s="10" t="s">
        <v>34</v>
      </c>
      <c r="B6" s="112" t="s">
        <v>35</v>
      </c>
      <c r="C6" s="155">
        <v>2.946412</v>
      </c>
      <c r="D6" s="156">
        <v>0.144954</v>
      </c>
      <c r="E6" s="156">
        <v>0.17846999999999999</v>
      </c>
      <c r="F6" s="156">
        <v>0.23652799999999999</v>
      </c>
      <c r="G6" s="156">
        <v>0.24526600000000001</v>
      </c>
      <c r="H6" s="156">
        <v>0.285389</v>
      </c>
      <c r="I6" s="156">
        <v>0.244505</v>
      </c>
      <c r="J6" s="156">
        <v>0.37570500000000001</v>
      </c>
      <c r="K6" s="156">
        <v>0.336837</v>
      </c>
      <c r="L6" s="156">
        <v>0.242114</v>
      </c>
      <c r="M6" s="156">
        <v>0.25051400000000001</v>
      </c>
      <c r="N6" s="156">
        <v>0.210565</v>
      </c>
      <c r="O6" s="156">
        <v>0.19556499999999999</v>
      </c>
      <c r="P6" s="112"/>
      <c r="Q6" s="29"/>
      <c r="R6" s="60"/>
      <c r="S6" s="40"/>
      <c r="T6" s="1" t="s">
        <v>3233</v>
      </c>
    </row>
    <row r="7" spans="1:24" ht="14.25">
      <c r="A7" s="10" t="s">
        <v>36</v>
      </c>
      <c r="B7" s="112" t="s">
        <v>37</v>
      </c>
      <c r="C7" s="155">
        <v>2.3679540000000001</v>
      </c>
      <c r="D7" s="156">
        <v>0.124876</v>
      </c>
      <c r="E7" s="156">
        <v>0.147674</v>
      </c>
      <c r="F7" s="156">
        <v>0.18623600000000001</v>
      </c>
      <c r="G7" s="156">
        <v>0.206235</v>
      </c>
      <c r="H7" s="156">
        <v>0.21173500000000001</v>
      </c>
      <c r="I7" s="156">
        <v>0.190687</v>
      </c>
      <c r="J7" s="156">
        <v>0.31034499999999998</v>
      </c>
      <c r="K7" s="156">
        <v>0.24634800000000001</v>
      </c>
      <c r="L7" s="156">
        <v>0.19972500000000001</v>
      </c>
      <c r="M7" s="156">
        <v>0.20702400000000001</v>
      </c>
      <c r="N7" s="156">
        <v>0.17347299999999999</v>
      </c>
      <c r="O7" s="156">
        <v>0.16359599999999999</v>
      </c>
      <c r="P7" s="112"/>
      <c r="Q7" s="29"/>
      <c r="R7" s="60"/>
      <c r="S7" s="26"/>
      <c r="T7" s="84" t="s">
        <v>3196</v>
      </c>
    </row>
    <row r="8" spans="1:24" ht="12" customHeight="1">
      <c r="A8" s="10" t="s">
        <v>38</v>
      </c>
      <c r="B8" s="112" t="s">
        <v>39</v>
      </c>
      <c r="C8" s="155">
        <v>12.139851999999999</v>
      </c>
      <c r="D8" s="156">
        <v>0.35786200000000001</v>
      </c>
      <c r="E8" s="156">
        <v>0.48901299999999998</v>
      </c>
      <c r="F8" s="156">
        <v>0.75240399999999996</v>
      </c>
      <c r="G8" s="156">
        <v>0.92073499999999997</v>
      </c>
      <c r="H8" s="156">
        <v>1.239724</v>
      </c>
      <c r="I8" s="156">
        <v>1.17763</v>
      </c>
      <c r="J8" s="156">
        <v>1.7896939999999999</v>
      </c>
      <c r="K8" s="156">
        <v>1.949247</v>
      </c>
      <c r="L8" s="156">
        <v>1.1863680000000001</v>
      </c>
      <c r="M8" s="156">
        <v>0.95844399999999996</v>
      </c>
      <c r="N8" s="156">
        <v>0.60945400000000005</v>
      </c>
      <c r="O8" s="156">
        <v>0.70927700000000005</v>
      </c>
      <c r="P8" s="112"/>
      <c r="Q8" s="29"/>
      <c r="R8" s="60"/>
      <c r="S8" s="26"/>
      <c r="T8" s="32"/>
      <c r="V8" s="33"/>
    </row>
    <row r="9" spans="1:24" ht="12" customHeight="1">
      <c r="A9" s="10" t="s">
        <v>40</v>
      </c>
      <c r="B9" s="112" t="s">
        <v>41</v>
      </c>
      <c r="C9" s="155">
        <v>0.572017</v>
      </c>
      <c r="D9" s="156">
        <v>3.3780999999999999E-2</v>
      </c>
      <c r="E9" s="156">
        <v>3.925E-2</v>
      </c>
      <c r="F9" s="156">
        <v>4.5642000000000002E-2</v>
      </c>
      <c r="G9" s="156">
        <v>4.6609999999999999E-2</v>
      </c>
      <c r="H9" s="156">
        <v>5.5739999999999998E-2</v>
      </c>
      <c r="I9" s="156">
        <v>5.0970000000000001E-2</v>
      </c>
      <c r="J9" s="156">
        <v>5.4491999999999999E-2</v>
      </c>
      <c r="K9" s="156">
        <v>5.6696999999999997E-2</v>
      </c>
      <c r="L9" s="156">
        <v>5.2587000000000002E-2</v>
      </c>
      <c r="M9" s="156">
        <v>5.3006999999999999E-2</v>
      </c>
      <c r="N9" s="156">
        <v>4.6450999999999999E-2</v>
      </c>
      <c r="O9" s="156">
        <v>3.6790000000000003E-2</v>
      </c>
      <c r="P9" s="112"/>
      <c r="Q9" s="29"/>
      <c r="R9" s="60"/>
      <c r="S9" s="26"/>
      <c r="V9" s="71"/>
    </row>
    <row r="10" spans="1:24" ht="12" customHeight="1">
      <c r="A10" s="10" t="s">
        <v>42</v>
      </c>
      <c r="B10" s="112" t="s">
        <v>43</v>
      </c>
      <c r="C10" s="155">
        <v>1.350069</v>
      </c>
      <c r="D10" s="156">
        <v>6.7412E-2</v>
      </c>
      <c r="E10" s="156">
        <v>7.8864000000000004E-2</v>
      </c>
      <c r="F10" s="156">
        <v>0.101517</v>
      </c>
      <c r="G10" s="156">
        <v>0.116504</v>
      </c>
      <c r="H10" s="156">
        <v>0.136658</v>
      </c>
      <c r="I10" s="156">
        <v>0.117072</v>
      </c>
      <c r="J10" s="156">
        <v>0.168406</v>
      </c>
      <c r="K10" s="156">
        <v>0.16073699999999999</v>
      </c>
      <c r="L10" s="156">
        <v>0.107513</v>
      </c>
      <c r="M10" s="156">
        <v>0.116534</v>
      </c>
      <c r="N10" s="156">
        <v>9.1301999999999994E-2</v>
      </c>
      <c r="O10" s="156">
        <v>8.7550000000000003E-2</v>
      </c>
      <c r="P10" s="112"/>
      <c r="Q10" s="29"/>
      <c r="R10" s="60"/>
      <c r="S10" s="26"/>
      <c r="T10" s="52"/>
      <c r="V10" s="72"/>
    </row>
    <row r="11" spans="1:24" ht="12" customHeight="1">
      <c r="A11" s="10" t="s">
        <v>44</v>
      </c>
      <c r="B11" s="112" t="s">
        <v>45</v>
      </c>
      <c r="C11" s="155">
        <v>2.724437</v>
      </c>
      <c r="D11" s="156">
        <v>0.122472</v>
      </c>
      <c r="E11" s="156">
        <v>0.138206</v>
      </c>
      <c r="F11" s="156">
        <v>0.17816899999999999</v>
      </c>
      <c r="G11" s="156">
        <v>0.225605</v>
      </c>
      <c r="H11" s="156">
        <v>0.282717</v>
      </c>
      <c r="I11" s="156">
        <v>0.234653</v>
      </c>
      <c r="J11" s="156">
        <v>0.37531500000000001</v>
      </c>
      <c r="K11" s="156">
        <v>0.384044</v>
      </c>
      <c r="L11" s="156">
        <v>0.21800700000000001</v>
      </c>
      <c r="M11" s="156">
        <v>0.227217</v>
      </c>
      <c r="N11" s="156">
        <v>0.16996700000000001</v>
      </c>
      <c r="O11" s="156">
        <v>0.16806499999999999</v>
      </c>
      <c r="P11" s="112"/>
      <c r="Q11" s="29"/>
      <c r="R11" s="60"/>
      <c r="S11" s="26"/>
      <c r="V11" s="33"/>
    </row>
    <row r="12" spans="1:24" ht="12" customHeight="1">
      <c r="A12" s="10" t="s">
        <v>46</v>
      </c>
      <c r="B12" s="112" t="s">
        <v>47</v>
      </c>
      <c r="C12" s="155">
        <v>3.0371519999999999</v>
      </c>
      <c r="D12" s="156">
        <v>0.11480600000000001</v>
      </c>
      <c r="E12" s="156">
        <v>0.1409</v>
      </c>
      <c r="F12" s="156">
        <v>0.164272</v>
      </c>
      <c r="G12" s="156">
        <v>0.22339400000000001</v>
      </c>
      <c r="H12" s="156">
        <v>0.333704</v>
      </c>
      <c r="I12" s="156">
        <v>0.24189099999999999</v>
      </c>
      <c r="J12" s="156">
        <v>0.50088900000000003</v>
      </c>
      <c r="K12" s="156">
        <v>0.54818299999999998</v>
      </c>
      <c r="L12" s="156">
        <v>0.226692</v>
      </c>
      <c r="M12" s="156">
        <v>0.21708</v>
      </c>
      <c r="N12" s="156">
        <v>0.166855</v>
      </c>
      <c r="O12" s="156">
        <v>0.15848599999999999</v>
      </c>
      <c r="P12" s="112"/>
      <c r="Q12" s="29"/>
      <c r="R12" s="60"/>
      <c r="S12" s="26"/>
      <c r="V12" s="71"/>
      <c r="W12" s="30"/>
      <c r="X12" s="93"/>
    </row>
    <row r="13" spans="1:24" ht="12" customHeight="1">
      <c r="A13" s="10" t="s">
        <v>48</v>
      </c>
      <c r="B13" s="112" t="s">
        <v>49</v>
      </c>
      <c r="C13" s="155">
        <v>1.549331</v>
      </c>
      <c r="D13" s="156">
        <v>5.5522000000000002E-2</v>
      </c>
      <c r="E13" s="156">
        <v>7.3288000000000006E-2</v>
      </c>
      <c r="F13" s="156">
        <v>9.3341999999999994E-2</v>
      </c>
      <c r="G13" s="156">
        <v>0.12166100000000001</v>
      </c>
      <c r="H13" s="156">
        <v>0.160914</v>
      </c>
      <c r="I13" s="156">
        <v>0.12643599999999999</v>
      </c>
      <c r="J13" s="156">
        <v>0.24217</v>
      </c>
      <c r="K13" s="156">
        <v>0.23926900000000001</v>
      </c>
      <c r="L13" s="156">
        <v>0.133155</v>
      </c>
      <c r="M13" s="156">
        <v>0.12978999999999999</v>
      </c>
      <c r="N13" s="156">
        <v>9.1707999999999998E-2</v>
      </c>
      <c r="O13" s="156">
        <v>8.2075999999999996E-2</v>
      </c>
      <c r="P13" s="112"/>
      <c r="Q13" s="29"/>
      <c r="S13" s="26"/>
      <c r="V13" s="72"/>
      <c r="W13" s="30"/>
      <c r="X13" s="93"/>
    </row>
    <row r="14" spans="1:24" ht="12" customHeight="1">
      <c r="A14" s="10" t="s">
        <v>50</v>
      </c>
      <c r="B14" s="112" t="s">
        <v>27</v>
      </c>
      <c r="C14" s="155">
        <v>0.75076500000000002</v>
      </c>
      <c r="D14" s="156">
        <v>4.3004000000000001E-2</v>
      </c>
      <c r="E14" s="156">
        <v>5.2233000000000002E-2</v>
      </c>
      <c r="F14" s="156">
        <v>5.3746000000000002E-2</v>
      </c>
      <c r="G14" s="156">
        <v>6.0915999999999998E-2</v>
      </c>
      <c r="H14" s="156">
        <v>6.4379000000000006E-2</v>
      </c>
      <c r="I14" s="156">
        <v>7.2828000000000004E-2</v>
      </c>
      <c r="J14" s="156">
        <v>8.208E-2</v>
      </c>
      <c r="K14" s="156">
        <v>9.0288999999999994E-2</v>
      </c>
      <c r="L14" s="156">
        <v>6.3929E-2</v>
      </c>
      <c r="M14" s="156">
        <v>6.1252000000000001E-2</v>
      </c>
      <c r="N14" s="156">
        <v>5.4149999999999997E-2</v>
      </c>
      <c r="O14" s="156">
        <v>5.1958999999999998E-2</v>
      </c>
      <c r="P14" s="112"/>
      <c r="Q14" s="29"/>
      <c r="S14" s="26"/>
      <c r="U14" s="38"/>
      <c r="V14" s="38"/>
    </row>
    <row r="15" spans="1:24" ht="12" customHeight="1">
      <c r="A15" s="10" t="s">
        <v>51</v>
      </c>
      <c r="B15" s="112" t="s">
        <v>52</v>
      </c>
      <c r="C15" s="155">
        <v>0.81147999999999998</v>
      </c>
      <c r="D15" s="156">
        <v>3.7208999999999999E-2</v>
      </c>
      <c r="E15" s="156">
        <v>4.4708999999999999E-2</v>
      </c>
      <c r="F15" s="156">
        <v>5.9603999999999997E-2</v>
      </c>
      <c r="G15" s="156">
        <v>6.9792999999999994E-2</v>
      </c>
      <c r="H15" s="156">
        <v>7.6305999999999999E-2</v>
      </c>
      <c r="I15" s="156">
        <v>8.3127000000000006E-2</v>
      </c>
      <c r="J15" s="156">
        <v>8.8815000000000005E-2</v>
      </c>
      <c r="K15" s="156">
        <v>9.3557000000000001E-2</v>
      </c>
      <c r="L15" s="156">
        <v>7.9240000000000005E-2</v>
      </c>
      <c r="M15" s="156">
        <v>6.8094000000000002E-2</v>
      </c>
      <c r="N15" s="156">
        <v>6.0483000000000002E-2</v>
      </c>
      <c r="O15" s="156">
        <v>5.0542999999999998E-2</v>
      </c>
      <c r="P15" s="112"/>
      <c r="Q15" s="29"/>
      <c r="S15" s="26"/>
      <c r="U15" s="30"/>
      <c r="V15" s="49"/>
    </row>
    <row r="16" spans="1:24" ht="12" customHeight="1">
      <c r="A16" s="10" t="s">
        <v>53</v>
      </c>
      <c r="B16" s="112" t="s">
        <v>54</v>
      </c>
      <c r="C16" s="155">
        <v>6.6226469999999997</v>
      </c>
      <c r="D16" s="156">
        <v>6.9924E-2</v>
      </c>
      <c r="E16" s="156">
        <v>8.7164000000000005E-2</v>
      </c>
      <c r="F16" s="156">
        <v>9.2856999999999995E-2</v>
      </c>
      <c r="G16" s="156">
        <v>0.13244500000000001</v>
      </c>
      <c r="H16" s="156">
        <v>0.30622700000000003</v>
      </c>
      <c r="I16" s="156">
        <v>1.032233</v>
      </c>
      <c r="J16" s="156">
        <v>1.8243149999999999</v>
      </c>
      <c r="K16" s="156">
        <v>1.9460249999999999</v>
      </c>
      <c r="L16" s="156">
        <v>0.80190899999999998</v>
      </c>
      <c r="M16" s="156">
        <v>0.146593</v>
      </c>
      <c r="N16" s="156">
        <v>9.5157000000000005E-2</v>
      </c>
      <c r="O16" s="156">
        <v>8.7798000000000001E-2</v>
      </c>
      <c r="P16" s="112"/>
      <c r="Q16" s="29"/>
      <c r="S16" s="26"/>
      <c r="T16" s="131" t="s">
        <v>3229</v>
      </c>
      <c r="U16" s="37"/>
      <c r="V16" s="38"/>
      <c r="W16" s="131" t="s">
        <v>3195</v>
      </c>
    </row>
    <row r="17" spans="1:26" ht="12" customHeight="1">
      <c r="A17" s="10" t="s">
        <v>55</v>
      </c>
      <c r="B17" s="112" t="s">
        <v>24</v>
      </c>
      <c r="C17" s="155">
        <v>10.698714000000001</v>
      </c>
      <c r="D17" s="156">
        <v>8.7556999999999996E-2</v>
      </c>
      <c r="E17" s="156">
        <v>9.2032000000000003E-2</v>
      </c>
      <c r="F17" s="156">
        <v>0.100468</v>
      </c>
      <c r="G17" s="156">
        <v>0.112356</v>
      </c>
      <c r="H17" s="156">
        <v>0.39151200000000003</v>
      </c>
      <c r="I17" s="156">
        <v>1.702358</v>
      </c>
      <c r="J17" s="156">
        <v>3.1614800000000001</v>
      </c>
      <c r="K17" s="156">
        <v>3.2654079999999999</v>
      </c>
      <c r="L17" s="156">
        <v>1.43015</v>
      </c>
      <c r="M17" s="156">
        <v>0.138681</v>
      </c>
      <c r="N17" s="156">
        <v>0.118337</v>
      </c>
      <c r="O17" s="156">
        <v>9.8375000000000004E-2</v>
      </c>
      <c r="P17" s="112"/>
      <c r="Q17" s="29"/>
      <c r="S17" s="26"/>
      <c r="U17" s="39"/>
      <c r="V17" s="49"/>
    </row>
    <row r="18" spans="1:26" ht="12" customHeight="1">
      <c r="A18" s="10" t="s">
        <v>56</v>
      </c>
      <c r="B18" s="112" t="s">
        <v>57</v>
      </c>
      <c r="C18" s="155">
        <v>5.04087</v>
      </c>
      <c r="D18" s="156">
        <v>0.49072399999999999</v>
      </c>
      <c r="E18" s="156">
        <v>0.54435299999999998</v>
      </c>
      <c r="F18" s="156">
        <v>0.461619</v>
      </c>
      <c r="G18" s="156">
        <v>0.36128500000000002</v>
      </c>
      <c r="H18" s="156">
        <v>0.33629300000000001</v>
      </c>
      <c r="I18" s="156">
        <v>0.359682</v>
      </c>
      <c r="J18" s="156">
        <v>0.42327300000000001</v>
      </c>
      <c r="K18" s="156">
        <v>0.51173900000000005</v>
      </c>
      <c r="L18" s="156">
        <v>0.38623299999999999</v>
      </c>
      <c r="M18" s="156">
        <v>0.38921800000000001</v>
      </c>
      <c r="N18" s="156">
        <v>0.35347200000000001</v>
      </c>
      <c r="O18" s="156">
        <v>0.42297899999999999</v>
      </c>
      <c r="P18" s="112"/>
      <c r="Q18" s="29"/>
      <c r="S18" s="41" t="s">
        <v>544</v>
      </c>
      <c r="T18" s="43" t="s">
        <v>3118</v>
      </c>
      <c r="U18" s="45"/>
      <c r="V18" s="5" t="s">
        <v>3010</v>
      </c>
      <c r="W18" s="30" t="s">
        <v>3038</v>
      </c>
      <c r="X18" s="87"/>
      <c r="Y18" s="5" t="s">
        <v>3039</v>
      </c>
    </row>
    <row r="19" spans="1:26" ht="12" customHeight="1">
      <c r="A19" s="10" t="s">
        <v>58</v>
      </c>
      <c r="B19" s="112" t="s">
        <v>59</v>
      </c>
      <c r="C19" s="155">
        <v>3.7217250000000002</v>
      </c>
      <c r="D19" s="156">
        <v>0.30243999999999999</v>
      </c>
      <c r="E19" s="156">
        <v>0.36144199999999999</v>
      </c>
      <c r="F19" s="156">
        <v>0.306533</v>
      </c>
      <c r="G19" s="156">
        <v>0.27557799999999999</v>
      </c>
      <c r="H19" s="156">
        <v>0.25215100000000001</v>
      </c>
      <c r="I19" s="156">
        <v>0.285306</v>
      </c>
      <c r="J19" s="156">
        <v>0.37794800000000001</v>
      </c>
      <c r="K19" s="156">
        <v>0.42254900000000001</v>
      </c>
      <c r="L19" s="156">
        <v>0.30737799999999998</v>
      </c>
      <c r="M19" s="156">
        <v>0.27722999999999998</v>
      </c>
      <c r="N19" s="156">
        <v>0.26308100000000001</v>
      </c>
      <c r="O19" s="156">
        <v>0.29008899999999999</v>
      </c>
      <c r="P19" s="112"/>
      <c r="Q19" s="29"/>
      <c r="S19" s="26"/>
      <c r="T19" s="43" t="s">
        <v>3119</v>
      </c>
      <c r="U19" s="91"/>
      <c r="V19" s="5" t="s">
        <v>3005</v>
      </c>
      <c r="W19" s="36">
        <v>25</v>
      </c>
      <c r="X19" s="87">
        <f>PERCENTILE($D$3:$O$246, 1)</f>
        <v>26.433889000000001</v>
      </c>
      <c r="Y19" s="43" t="s">
        <v>2809</v>
      </c>
      <c r="Z19" s="35"/>
    </row>
    <row r="20" spans="1:26" ht="12" customHeight="1">
      <c r="A20" s="10" t="s">
        <v>60</v>
      </c>
      <c r="B20" s="112" t="s">
        <v>61</v>
      </c>
      <c r="C20" s="155">
        <v>18.279256</v>
      </c>
      <c r="D20" s="156">
        <v>1.0009870000000001</v>
      </c>
      <c r="E20" s="156">
        <v>1.0604560000000001</v>
      </c>
      <c r="F20" s="156">
        <v>1.4449989999999999</v>
      </c>
      <c r="G20" s="156">
        <v>1.460826</v>
      </c>
      <c r="H20" s="156">
        <v>1.644582</v>
      </c>
      <c r="I20" s="156">
        <v>1.5529759999999999</v>
      </c>
      <c r="J20" s="156">
        <v>1.8363</v>
      </c>
      <c r="K20" s="156">
        <v>1.85947</v>
      </c>
      <c r="L20" s="156">
        <v>1.5303720000000001</v>
      </c>
      <c r="M20" s="156">
        <v>1.694628</v>
      </c>
      <c r="N20" s="156">
        <v>1.403033</v>
      </c>
      <c r="O20" s="156">
        <v>1.790627</v>
      </c>
      <c r="P20" s="112"/>
      <c r="Q20" s="29"/>
      <c r="S20" s="26"/>
      <c r="T20" s="90" t="s">
        <v>545</v>
      </c>
      <c r="U20" s="152" t="s">
        <v>546</v>
      </c>
      <c r="V20" s="5" t="s">
        <v>3224</v>
      </c>
      <c r="W20" s="36">
        <v>10</v>
      </c>
      <c r="X20" s="87">
        <f>PERCENTILE($D$3:$O$246, 0.75)</f>
        <v>1.0455792500000001</v>
      </c>
      <c r="Y20" s="92" t="s">
        <v>2811</v>
      </c>
      <c r="Z20" s="35"/>
    </row>
    <row r="21" spans="1:26" ht="12" customHeight="1">
      <c r="A21" s="10" t="s">
        <v>62</v>
      </c>
      <c r="B21" s="112" t="s">
        <v>513</v>
      </c>
      <c r="C21" s="155">
        <v>3.1012089999999999</v>
      </c>
      <c r="D21" s="156">
        <v>0.112549</v>
      </c>
      <c r="E21" s="156">
        <v>0.13895099999999999</v>
      </c>
      <c r="F21" s="156">
        <v>0.18234300000000001</v>
      </c>
      <c r="G21" s="156">
        <v>0.197269</v>
      </c>
      <c r="H21" s="156">
        <v>0.28496700000000003</v>
      </c>
      <c r="I21" s="156">
        <v>0.29189999999999999</v>
      </c>
      <c r="J21" s="156">
        <v>0.54929600000000001</v>
      </c>
      <c r="K21" s="156">
        <v>0.53955699999999995</v>
      </c>
      <c r="L21" s="156">
        <v>0.27655800000000003</v>
      </c>
      <c r="M21" s="156">
        <v>0.21501799999999999</v>
      </c>
      <c r="N21" s="156">
        <v>0.17369599999999999</v>
      </c>
      <c r="O21" s="156">
        <v>0.13910500000000001</v>
      </c>
      <c r="P21" s="112"/>
      <c r="Q21" s="29"/>
      <c r="S21" s="26"/>
      <c r="W21" s="36">
        <v>1</v>
      </c>
      <c r="X21" s="87">
        <f>PERCENTILE($D$3:$O$246, 0.25)</f>
        <v>0.23301899999999998</v>
      </c>
      <c r="Y21" s="92" t="s">
        <v>2813</v>
      </c>
      <c r="Z21" s="35"/>
    </row>
    <row r="22" spans="1:26" ht="12" customHeight="1">
      <c r="A22" s="10" t="s">
        <v>63</v>
      </c>
      <c r="B22" s="112" t="s">
        <v>64</v>
      </c>
      <c r="C22" s="155">
        <v>6.760643</v>
      </c>
      <c r="D22" s="156">
        <v>0.25801499999999999</v>
      </c>
      <c r="E22" s="156">
        <v>0.35011199999999998</v>
      </c>
      <c r="F22" s="156">
        <v>0.346113</v>
      </c>
      <c r="G22" s="156">
        <v>0.34096799999999999</v>
      </c>
      <c r="H22" s="156">
        <v>0.58445199999999997</v>
      </c>
      <c r="I22" s="156">
        <v>0.67649199999999998</v>
      </c>
      <c r="J22" s="156">
        <v>1.3558790000000001</v>
      </c>
      <c r="K22" s="156">
        <v>1.309852</v>
      </c>
      <c r="L22" s="156">
        <v>0.55797600000000003</v>
      </c>
      <c r="M22" s="156">
        <v>0.434249</v>
      </c>
      <c r="N22" s="156">
        <v>0.27909499999999998</v>
      </c>
      <c r="O22" s="156">
        <v>0.26744000000000001</v>
      </c>
      <c r="P22" s="112"/>
      <c r="Q22" s="29"/>
      <c r="S22" s="26"/>
      <c r="X22" s="87">
        <f>PERCENTILE($D$3:$O$246, 0)</f>
        <v>0</v>
      </c>
      <c r="Y22" s="43" t="s">
        <v>2815</v>
      </c>
      <c r="Z22" s="35"/>
    </row>
    <row r="23" spans="1:26" ht="12" customHeight="1">
      <c r="A23" s="10" t="s">
        <v>65</v>
      </c>
      <c r="B23" s="112" t="s">
        <v>66</v>
      </c>
      <c r="C23" s="155">
        <v>6.8099930000000004</v>
      </c>
      <c r="D23" s="156">
        <v>0.35008600000000001</v>
      </c>
      <c r="E23" s="156">
        <v>0.45082899999999998</v>
      </c>
      <c r="F23" s="156">
        <v>0.487234</v>
      </c>
      <c r="G23" s="156">
        <v>0.458486</v>
      </c>
      <c r="H23" s="156">
        <v>0.64275400000000005</v>
      </c>
      <c r="I23" s="156">
        <v>0.60122100000000001</v>
      </c>
      <c r="J23" s="156">
        <v>0.80519300000000005</v>
      </c>
      <c r="K23" s="156">
        <v>0.830843</v>
      </c>
      <c r="L23" s="156">
        <v>0.61409199999999997</v>
      </c>
      <c r="M23" s="156">
        <v>0.63456900000000005</v>
      </c>
      <c r="N23" s="156">
        <v>0.48696899999999999</v>
      </c>
      <c r="O23" s="156">
        <v>0.44771699999999998</v>
      </c>
      <c r="P23" s="112"/>
      <c r="Q23" s="29"/>
      <c r="S23" s="5"/>
      <c r="W23" s="87"/>
      <c r="X23" s="47"/>
      <c r="Y23" s="48"/>
      <c r="Z23" s="35"/>
    </row>
    <row r="24" spans="1:26" ht="12" customHeight="1">
      <c r="A24" s="10" t="s">
        <v>67</v>
      </c>
      <c r="B24" s="112" t="s">
        <v>68</v>
      </c>
      <c r="C24" s="155">
        <v>9.2860569999999996</v>
      </c>
      <c r="D24" s="156">
        <v>0.701407</v>
      </c>
      <c r="E24" s="156">
        <v>0.89694399999999996</v>
      </c>
      <c r="F24" s="156">
        <v>0.57763600000000004</v>
      </c>
      <c r="G24" s="156">
        <v>0.39730799999999999</v>
      </c>
      <c r="H24" s="156">
        <v>0.75925799999999999</v>
      </c>
      <c r="I24" s="156">
        <v>0.86138999999999999</v>
      </c>
      <c r="J24" s="156">
        <v>1.5088900000000001</v>
      </c>
      <c r="K24" s="156">
        <v>1.506524</v>
      </c>
      <c r="L24" s="156">
        <v>0.67387900000000001</v>
      </c>
      <c r="M24" s="156">
        <v>0.58080799999999999</v>
      </c>
      <c r="N24" s="156">
        <v>0.35712899999999997</v>
      </c>
      <c r="O24" s="156">
        <v>0.46488400000000002</v>
      </c>
      <c r="P24" s="112"/>
      <c r="Q24" s="29"/>
      <c r="S24" s="5"/>
      <c r="W24" s="87"/>
      <c r="X24" s="30"/>
      <c r="Y24" s="48"/>
      <c r="Z24" s="35"/>
    </row>
    <row r="25" spans="1:26" ht="12" customHeight="1">
      <c r="A25" s="10" t="s">
        <v>69</v>
      </c>
      <c r="B25" s="112" t="s">
        <v>70</v>
      </c>
      <c r="C25" s="155">
        <v>5.8194860000000004</v>
      </c>
      <c r="D25" s="156">
        <v>0.20228299999999999</v>
      </c>
      <c r="E25" s="156">
        <v>0.26148100000000002</v>
      </c>
      <c r="F25" s="156">
        <v>0.32098100000000002</v>
      </c>
      <c r="G25" s="156">
        <v>0.35336499999999998</v>
      </c>
      <c r="H25" s="156">
        <v>0.52032900000000004</v>
      </c>
      <c r="I25" s="156">
        <v>0.59428599999999998</v>
      </c>
      <c r="J25" s="156">
        <v>1.0354829999999999</v>
      </c>
      <c r="K25" s="156">
        <v>1.0138510000000001</v>
      </c>
      <c r="L25" s="156">
        <v>0.51416899999999999</v>
      </c>
      <c r="M25" s="156">
        <v>0.42741899999999999</v>
      </c>
      <c r="N25" s="156">
        <v>0.33689799999999998</v>
      </c>
      <c r="O25" s="156">
        <v>0.23894099999999999</v>
      </c>
      <c r="P25" s="112"/>
      <c r="Q25" s="29"/>
      <c r="S25" s="5"/>
      <c r="W25" s="38"/>
      <c r="Y25" s="48"/>
      <c r="Z25" s="35"/>
    </row>
    <row r="26" spans="1:26" ht="12" customHeight="1">
      <c r="A26" s="10" t="s">
        <v>71</v>
      </c>
      <c r="B26" s="112" t="s">
        <v>514</v>
      </c>
      <c r="C26" s="155">
        <v>4.4300660000000001</v>
      </c>
      <c r="D26" s="156">
        <v>0.20923800000000001</v>
      </c>
      <c r="E26" s="156">
        <v>0.30138599999999999</v>
      </c>
      <c r="F26" s="156">
        <v>0.28814800000000002</v>
      </c>
      <c r="G26" s="156">
        <v>0.29423899999999997</v>
      </c>
      <c r="H26" s="156">
        <v>0.40938000000000002</v>
      </c>
      <c r="I26" s="156">
        <v>0.43615100000000001</v>
      </c>
      <c r="J26" s="156">
        <v>0.64793999999999996</v>
      </c>
      <c r="K26" s="156">
        <v>0.66219600000000001</v>
      </c>
      <c r="L26" s="156">
        <v>0.36568200000000001</v>
      </c>
      <c r="M26" s="156">
        <v>0.34786800000000001</v>
      </c>
      <c r="N26" s="156">
        <v>0.27650000000000002</v>
      </c>
      <c r="O26" s="156">
        <v>0.19133800000000001</v>
      </c>
      <c r="P26" s="112"/>
      <c r="Q26" s="29"/>
      <c r="W26" s="38"/>
      <c r="Y26" s="48"/>
      <c r="Z26" s="35"/>
    </row>
    <row r="27" spans="1:26" ht="12" customHeight="1">
      <c r="A27" s="10" t="s">
        <v>72</v>
      </c>
      <c r="B27" s="112" t="s">
        <v>73</v>
      </c>
      <c r="C27" s="155">
        <v>2.749374</v>
      </c>
      <c r="D27" s="156">
        <v>0.167378</v>
      </c>
      <c r="E27" s="156">
        <v>0.19537099999999999</v>
      </c>
      <c r="F27" s="156">
        <v>0.18126300000000001</v>
      </c>
      <c r="G27" s="156">
        <v>0.18071999999999999</v>
      </c>
      <c r="H27" s="156">
        <v>0.248144</v>
      </c>
      <c r="I27" s="156">
        <v>0.25876199999999999</v>
      </c>
      <c r="J27" s="156">
        <v>0.40696399999999999</v>
      </c>
      <c r="K27" s="156">
        <v>0.38012600000000002</v>
      </c>
      <c r="L27" s="156">
        <v>0.21936600000000001</v>
      </c>
      <c r="M27" s="156">
        <v>0.20749600000000001</v>
      </c>
      <c r="N27" s="156">
        <v>0.16692299999999999</v>
      </c>
      <c r="O27" s="156">
        <v>0.13686100000000001</v>
      </c>
      <c r="P27" s="112"/>
      <c r="Q27" s="29"/>
      <c r="W27" s="38"/>
      <c r="Y27" s="35"/>
      <c r="Z27" s="35"/>
    </row>
    <row r="28" spans="1:26" ht="12" customHeight="1">
      <c r="A28" s="10" t="s">
        <v>74</v>
      </c>
      <c r="B28" s="112" t="s">
        <v>75</v>
      </c>
      <c r="C28" s="155">
        <v>15.21917</v>
      </c>
      <c r="D28" s="156">
        <v>0.71144300000000005</v>
      </c>
      <c r="E28" s="156">
        <v>0.75146000000000002</v>
      </c>
      <c r="F28" s="156">
        <v>1.01851</v>
      </c>
      <c r="G28" s="156">
        <v>1.1379109999999999</v>
      </c>
      <c r="H28" s="156">
        <v>1.4539249999999999</v>
      </c>
      <c r="I28" s="156">
        <v>1.5410950000000001</v>
      </c>
      <c r="J28" s="156">
        <v>1.954075</v>
      </c>
      <c r="K28" s="156">
        <v>1.9215040000000001</v>
      </c>
      <c r="L28" s="156">
        <v>1.399572</v>
      </c>
      <c r="M28" s="156">
        <v>1.2368239999999999</v>
      </c>
      <c r="N28" s="156">
        <v>1.044678</v>
      </c>
      <c r="O28" s="156">
        <v>1.048173</v>
      </c>
      <c r="P28" s="112"/>
      <c r="Q28" s="29"/>
      <c r="W28" s="52"/>
      <c r="Y28" s="35"/>
      <c r="Z28" s="35"/>
    </row>
    <row r="29" spans="1:26" ht="12" customHeight="1">
      <c r="A29" s="10" t="s">
        <v>76</v>
      </c>
      <c r="B29" s="112" t="s">
        <v>77</v>
      </c>
      <c r="C29" s="155">
        <v>3.2590430000000001</v>
      </c>
      <c r="D29" s="156">
        <v>0.10492</v>
      </c>
      <c r="E29" s="156">
        <v>0.13525100000000001</v>
      </c>
      <c r="F29" s="156">
        <v>0.170012</v>
      </c>
      <c r="G29" s="156">
        <v>0.228912</v>
      </c>
      <c r="H29" s="156">
        <v>0.32702599999999998</v>
      </c>
      <c r="I29" s="156">
        <v>0.36145100000000002</v>
      </c>
      <c r="J29" s="156">
        <v>0.69098199999999999</v>
      </c>
      <c r="K29" s="156">
        <v>0.53058300000000003</v>
      </c>
      <c r="L29" s="156">
        <v>0.265264</v>
      </c>
      <c r="M29" s="156">
        <v>0.212422</v>
      </c>
      <c r="N29" s="156">
        <v>0.13159699999999999</v>
      </c>
      <c r="O29" s="156">
        <v>0.100623</v>
      </c>
      <c r="P29" s="112"/>
      <c r="Q29" s="29"/>
      <c r="W29" s="52"/>
      <c r="Y29" s="35"/>
      <c r="Z29" s="35"/>
    </row>
    <row r="30" spans="1:26" ht="12" customHeight="1">
      <c r="A30" s="10" t="s">
        <v>78</v>
      </c>
      <c r="B30" s="112" t="s">
        <v>79</v>
      </c>
      <c r="C30" s="155">
        <v>10.564571000000001</v>
      </c>
      <c r="D30" s="156">
        <v>0.29989199999999999</v>
      </c>
      <c r="E30" s="156">
        <v>0.36522199999999999</v>
      </c>
      <c r="F30" s="156">
        <v>0.55165399999999998</v>
      </c>
      <c r="G30" s="156">
        <v>0.72315300000000005</v>
      </c>
      <c r="H30" s="156">
        <v>1.1108039999999999</v>
      </c>
      <c r="I30" s="156">
        <v>1.1280779999999999</v>
      </c>
      <c r="J30" s="156">
        <v>2.1448689999999999</v>
      </c>
      <c r="K30" s="156">
        <v>1.76854</v>
      </c>
      <c r="L30" s="156">
        <v>0.89948799999999995</v>
      </c>
      <c r="M30" s="156">
        <v>0.78091100000000002</v>
      </c>
      <c r="N30" s="156">
        <v>0.445768</v>
      </c>
      <c r="O30" s="156">
        <v>0.346192</v>
      </c>
      <c r="P30" s="112"/>
      <c r="Q30" s="29"/>
      <c r="W30" s="73"/>
      <c r="Y30" s="35"/>
      <c r="Z30" s="35"/>
    </row>
    <row r="31" spans="1:26" ht="12" customHeight="1">
      <c r="A31" s="10" t="s">
        <v>80</v>
      </c>
      <c r="B31" s="112" t="s">
        <v>81</v>
      </c>
      <c r="C31" s="155">
        <v>5.7522989999999998</v>
      </c>
      <c r="D31" s="156">
        <v>0.185164</v>
      </c>
      <c r="E31" s="156">
        <v>0.23568800000000001</v>
      </c>
      <c r="F31" s="156">
        <v>0.31648100000000001</v>
      </c>
      <c r="G31" s="156">
        <v>0.39285399999999998</v>
      </c>
      <c r="H31" s="156">
        <v>0.59191800000000006</v>
      </c>
      <c r="I31" s="156">
        <v>0.61916400000000005</v>
      </c>
      <c r="J31" s="156">
        <v>1.1812279999999999</v>
      </c>
      <c r="K31" s="156">
        <v>0.90141400000000005</v>
      </c>
      <c r="L31" s="156">
        <v>0.47996100000000003</v>
      </c>
      <c r="M31" s="156">
        <v>0.37778099999999998</v>
      </c>
      <c r="N31" s="156">
        <v>0.27702500000000002</v>
      </c>
      <c r="O31" s="156">
        <v>0.19362099999999999</v>
      </c>
      <c r="P31" s="112"/>
      <c r="Q31" s="29"/>
      <c r="W31" s="44"/>
      <c r="X31" s="44"/>
      <c r="Y31" s="35"/>
      <c r="Z31" s="35"/>
    </row>
    <row r="32" spans="1:26" ht="12" customHeight="1">
      <c r="A32" s="10" t="s">
        <v>82</v>
      </c>
      <c r="B32" s="112" t="s">
        <v>83</v>
      </c>
      <c r="C32" s="155">
        <v>5.0217689999999999</v>
      </c>
      <c r="D32" s="156">
        <v>0.12684300000000001</v>
      </c>
      <c r="E32" s="156">
        <v>0.18042800000000001</v>
      </c>
      <c r="F32" s="156">
        <v>0.26584000000000002</v>
      </c>
      <c r="G32" s="156">
        <v>0.31099599999999999</v>
      </c>
      <c r="H32" s="156">
        <v>0.49438399999999999</v>
      </c>
      <c r="I32" s="156">
        <v>0.56139799999999995</v>
      </c>
      <c r="J32" s="156">
        <v>1.1576169999999999</v>
      </c>
      <c r="K32" s="156">
        <v>0.795381</v>
      </c>
      <c r="L32" s="156">
        <v>0.44317099999999998</v>
      </c>
      <c r="M32" s="156">
        <v>0.32331100000000002</v>
      </c>
      <c r="N32" s="156">
        <v>0.201987</v>
      </c>
      <c r="O32" s="156">
        <v>0.160413</v>
      </c>
      <c r="P32" s="112"/>
      <c r="Q32" s="29"/>
      <c r="W32" s="73"/>
    </row>
    <row r="33" spans="1:20" ht="12" customHeight="1">
      <c r="A33" s="10" t="s">
        <v>84</v>
      </c>
      <c r="B33" s="112" t="s">
        <v>85</v>
      </c>
      <c r="C33" s="155">
        <v>13.26548</v>
      </c>
      <c r="D33" s="156">
        <v>0.79930000000000001</v>
      </c>
      <c r="E33" s="156">
        <v>0.96183799999999997</v>
      </c>
      <c r="F33" s="156">
        <v>1.0491919999999999</v>
      </c>
      <c r="G33" s="156">
        <v>1.0748949999999999</v>
      </c>
      <c r="H33" s="156">
        <v>1.1245879999999999</v>
      </c>
      <c r="I33" s="156">
        <v>1.2614669999999999</v>
      </c>
      <c r="J33" s="156">
        <v>1.3632690000000001</v>
      </c>
      <c r="K33" s="156">
        <v>1.202245</v>
      </c>
      <c r="L33" s="156">
        <v>1.2279370000000001</v>
      </c>
      <c r="M33" s="156">
        <v>1.236523</v>
      </c>
      <c r="N33" s="156">
        <v>1.0439050000000001</v>
      </c>
      <c r="O33" s="156">
        <v>0.92032099999999994</v>
      </c>
      <c r="P33" s="112"/>
      <c r="Q33" s="29"/>
    </row>
    <row r="34" spans="1:20" ht="12" customHeight="1">
      <c r="A34" s="10" t="s">
        <v>86</v>
      </c>
      <c r="B34" s="112" t="s">
        <v>87</v>
      </c>
      <c r="C34" s="155">
        <v>10.853130999999999</v>
      </c>
      <c r="D34" s="156">
        <v>0.577179</v>
      </c>
      <c r="E34" s="156">
        <v>0.63638700000000004</v>
      </c>
      <c r="F34" s="156">
        <v>0.81518800000000002</v>
      </c>
      <c r="G34" s="156">
        <v>0.86003799999999997</v>
      </c>
      <c r="H34" s="156">
        <v>1.0144839999999999</v>
      </c>
      <c r="I34" s="156">
        <v>1.012078</v>
      </c>
      <c r="J34" s="156">
        <v>1.1425620000000001</v>
      </c>
      <c r="K34" s="156">
        <v>1.168695</v>
      </c>
      <c r="L34" s="156">
        <v>1.0468770000000001</v>
      </c>
      <c r="M34" s="156">
        <v>1.027569</v>
      </c>
      <c r="N34" s="156">
        <v>0.80478700000000003</v>
      </c>
      <c r="O34" s="156">
        <v>0.74728700000000003</v>
      </c>
      <c r="P34" s="112"/>
      <c r="Q34" s="29"/>
      <c r="S34" s="31" t="s">
        <v>547</v>
      </c>
      <c r="T34" s="50"/>
    </row>
    <row r="35" spans="1:20" ht="12" customHeight="1">
      <c r="A35" s="10" t="s">
        <v>88</v>
      </c>
      <c r="B35" s="112" t="s">
        <v>89</v>
      </c>
      <c r="C35" s="155">
        <v>17.128819</v>
      </c>
      <c r="D35" s="156">
        <v>0.71141600000000005</v>
      </c>
      <c r="E35" s="156">
        <v>0.75852699999999995</v>
      </c>
      <c r="F35" s="156">
        <v>1.100274</v>
      </c>
      <c r="G35" s="156">
        <v>1.3220639999999999</v>
      </c>
      <c r="H35" s="156">
        <v>1.8085089999999999</v>
      </c>
      <c r="I35" s="156">
        <v>1.609888</v>
      </c>
      <c r="J35" s="156">
        <v>2.1064150000000001</v>
      </c>
      <c r="K35" s="156">
        <v>2.3666689999999999</v>
      </c>
      <c r="L35" s="156">
        <v>1.686801</v>
      </c>
      <c r="M35" s="156">
        <v>1.6451800000000001</v>
      </c>
      <c r="N35" s="156">
        <v>0.93359499999999995</v>
      </c>
      <c r="O35" s="156">
        <v>1.0794809999999999</v>
      </c>
      <c r="P35" s="112"/>
      <c r="Q35" s="29"/>
      <c r="S35" s="51"/>
      <c r="T35" s="5" t="s">
        <v>3225</v>
      </c>
    </row>
    <row r="36" spans="1:20" ht="12" customHeight="1">
      <c r="A36" s="10" t="s">
        <v>90</v>
      </c>
      <c r="B36" s="112" t="s">
        <v>91</v>
      </c>
      <c r="C36" s="155">
        <v>9.4992719999999995</v>
      </c>
      <c r="D36" s="156">
        <v>0.43080099999999999</v>
      </c>
      <c r="E36" s="156">
        <v>0.471943</v>
      </c>
      <c r="F36" s="156">
        <v>0.62563000000000002</v>
      </c>
      <c r="G36" s="156">
        <v>0.73880299999999999</v>
      </c>
      <c r="H36" s="156">
        <v>1.0190999999999999</v>
      </c>
      <c r="I36" s="156">
        <v>0.93716200000000005</v>
      </c>
      <c r="J36" s="156">
        <v>1.1748829999999999</v>
      </c>
      <c r="K36" s="156">
        <v>1.289579</v>
      </c>
      <c r="L36" s="156">
        <v>0.94082699999999997</v>
      </c>
      <c r="M36" s="156">
        <v>0.84990399999999999</v>
      </c>
      <c r="N36" s="156">
        <v>0.53567699999999996</v>
      </c>
      <c r="O36" s="156">
        <v>0.48496299999999998</v>
      </c>
      <c r="P36" s="112"/>
      <c r="Q36" s="29"/>
      <c r="S36" s="51"/>
      <c r="T36" s="52"/>
    </row>
    <row r="37" spans="1:20" ht="12" customHeight="1">
      <c r="A37" s="10" t="s">
        <v>92</v>
      </c>
      <c r="B37" s="112" t="s">
        <v>93</v>
      </c>
      <c r="C37" s="155">
        <v>43.510489</v>
      </c>
      <c r="D37" s="156">
        <v>2.3354949999999999</v>
      </c>
      <c r="E37" s="156">
        <v>2.6370520000000002</v>
      </c>
      <c r="F37" s="156">
        <v>2.865634</v>
      </c>
      <c r="G37" s="156">
        <v>2.946583</v>
      </c>
      <c r="H37" s="156">
        <v>3.9161130000000002</v>
      </c>
      <c r="I37" s="156">
        <v>4.1392329999999999</v>
      </c>
      <c r="J37" s="156">
        <v>5.1814239999999998</v>
      </c>
      <c r="K37" s="156">
        <v>5.448143</v>
      </c>
      <c r="L37" s="156">
        <v>4.227671</v>
      </c>
      <c r="M37" s="156">
        <v>3.9658769999999999</v>
      </c>
      <c r="N37" s="156">
        <v>2.7676470000000002</v>
      </c>
      <c r="O37" s="156">
        <v>3.0796169999999998</v>
      </c>
      <c r="P37" s="112"/>
      <c r="Q37" s="29"/>
      <c r="S37" s="26"/>
      <c r="T37" s="52"/>
    </row>
    <row r="38" spans="1:20" ht="12" customHeight="1">
      <c r="A38" s="10" t="s">
        <v>94</v>
      </c>
      <c r="B38" s="112" t="s">
        <v>95</v>
      </c>
      <c r="C38" s="155">
        <v>9.3814100000000007</v>
      </c>
      <c r="D38" s="156">
        <v>0.487757</v>
      </c>
      <c r="E38" s="156">
        <v>0.59904000000000002</v>
      </c>
      <c r="F38" s="156">
        <v>0.68410899999999997</v>
      </c>
      <c r="G38" s="156">
        <v>0.66128200000000004</v>
      </c>
      <c r="H38" s="156">
        <v>0.95136500000000002</v>
      </c>
      <c r="I38" s="156">
        <v>0.82473200000000002</v>
      </c>
      <c r="J38" s="156">
        <v>0.99210200000000004</v>
      </c>
      <c r="K38" s="156">
        <v>1.149494</v>
      </c>
      <c r="L38" s="156">
        <v>0.94605899999999998</v>
      </c>
      <c r="M38" s="156">
        <v>0.92874100000000004</v>
      </c>
      <c r="N38" s="156">
        <v>0.60551200000000005</v>
      </c>
      <c r="O38" s="156">
        <v>0.55121699999999996</v>
      </c>
      <c r="P38" s="112"/>
      <c r="Q38" s="29"/>
      <c r="S38" s="41" t="s">
        <v>548</v>
      </c>
    </row>
    <row r="39" spans="1:20" ht="12" customHeight="1">
      <c r="A39" s="10" t="s">
        <v>96</v>
      </c>
      <c r="B39" s="112" t="s">
        <v>97</v>
      </c>
      <c r="C39" s="155">
        <v>5.0076809999999998</v>
      </c>
      <c r="D39" s="156">
        <v>0.25204700000000002</v>
      </c>
      <c r="E39" s="156">
        <v>0.29647699999999999</v>
      </c>
      <c r="F39" s="156">
        <v>0.35356399999999999</v>
      </c>
      <c r="G39" s="156">
        <v>0.35316500000000001</v>
      </c>
      <c r="H39" s="156">
        <v>0.51346899999999995</v>
      </c>
      <c r="I39" s="156">
        <v>0.46049600000000002</v>
      </c>
      <c r="J39" s="156">
        <v>0.58492900000000003</v>
      </c>
      <c r="K39" s="156">
        <v>0.63119800000000004</v>
      </c>
      <c r="L39" s="156">
        <v>0.475018</v>
      </c>
      <c r="M39" s="156">
        <v>0.46821299999999999</v>
      </c>
      <c r="N39" s="156">
        <v>0.30914599999999998</v>
      </c>
      <c r="O39" s="156">
        <v>0.30995899999999998</v>
      </c>
      <c r="P39" s="112"/>
      <c r="Q39" s="29"/>
      <c r="S39" s="26"/>
      <c r="T39" s="79" t="s">
        <v>3141</v>
      </c>
    </row>
    <row r="40" spans="1:20" ht="12" customHeight="1">
      <c r="A40" s="10" t="s">
        <v>98</v>
      </c>
      <c r="B40" s="112" t="s">
        <v>99</v>
      </c>
      <c r="C40" s="155">
        <v>4.5568790000000003</v>
      </c>
      <c r="D40" s="156">
        <v>0.197546</v>
      </c>
      <c r="E40" s="156">
        <v>0.23150899999999999</v>
      </c>
      <c r="F40" s="156">
        <v>0.32034299999999999</v>
      </c>
      <c r="G40" s="156">
        <v>0.35200900000000002</v>
      </c>
      <c r="H40" s="156">
        <v>0.49473600000000001</v>
      </c>
      <c r="I40" s="156">
        <v>0.45841399999999999</v>
      </c>
      <c r="J40" s="156">
        <v>0.532864</v>
      </c>
      <c r="K40" s="156">
        <v>0.54517099999999996</v>
      </c>
      <c r="L40" s="156">
        <v>0.46548299999999998</v>
      </c>
      <c r="M40" s="156">
        <v>0.43404500000000001</v>
      </c>
      <c r="N40" s="156">
        <v>0.27954800000000002</v>
      </c>
      <c r="O40" s="156">
        <v>0.24521100000000001</v>
      </c>
      <c r="P40" s="112"/>
      <c r="Q40" s="29"/>
      <c r="S40" s="26"/>
    </row>
    <row r="41" spans="1:20" ht="12" customHeight="1">
      <c r="A41" s="10" t="s">
        <v>100</v>
      </c>
      <c r="B41" s="112" t="s">
        <v>101</v>
      </c>
      <c r="C41" s="155">
        <v>9.0540219999999998</v>
      </c>
      <c r="D41" s="156">
        <v>0.43420900000000001</v>
      </c>
      <c r="E41" s="156">
        <v>0.520764</v>
      </c>
      <c r="F41" s="156">
        <v>0.63076299999999996</v>
      </c>
      <c r="G41" s="156">
        <v>0.65263499999999997</v>
      </c>
      <c r="H41" s="156">
        <v>0.893895</v>
      </c>
      <c r="I41" s="156">
        <v>0.90319700000000003</v>
      </c>
      <c r="J41" s="156">
        <v>1.076255</v>
      </c>
      <c r="K41" s="156">
        <v>1.0374639999999999</v>
      </c>
      <c r="L41" s="156">
        <v>0.83049499999999998</v>
      </c>
      <c r="M41" s="156">
        <v>0.78926200000000002</v>
      </c>
      <c r="N41" s="156">
        <v>0.60467599999999999</v>
      </c>
      <c r="O41" s="156">
        <v>0.68040699999999998</v>
      </c>
      <c r="P41" s="112"/>
      <c r="Q41" s="29"/>
      <c r="S41" s="54" t="s">
        <v>3000</v>
      </c>
      <c r="T41" s="13"/>
    </row>
    <row r="42" spans="1:20" ht="12" customHeight="1">
      <c r="A42" s="10" t="s">
        <v>102</v>
      </c>
      <c r="B42" s="112" t="s">
        <v>103</v>
      </c>
      <c r="C42" s="155">
        <v>5.6817650000000004</v>
      </c>
      <c r="D42" s="156">
        <v>0.24795200000000001</v>
      </c>
      <c r="E42" s="156">
        <v>0.29154000000000002</v>
      </c>
      <c r="F42" s="156">
        <v>0.38905400000000001</v>
      </c>
      <c r="G42" s="156">
        <v>0.42222999999999999</v>
      </c>
      <c r="H42" s="156">
        <v>0.60818000000000005</v>
      </c>
      <c r="I42" s="156">
        <v>0.58432600000000001</v>
      </c>
      <c r="J42" s="156">
        <v>0.65697300000000003</v>
      </c>
      <c r="K42" s="156">
        <v>0.6542</v>
      </c>
      <c r="L42" s="156">
        <v>0.58798099999999998</v>
      </c>
      <c r="M42" s="156">
        <v>0.54435199999999995</v>
      </c>
      <c r="N42" s="156">
        <v>0.37071100000000001</v>
      </c>
      <c r="O42" s="156">
        <v>0.324266</v>
      </c>
      <c r="P42" s="112"/>
      <c r="Q42" s="29"/>
      <c r="S42" s="13" t="s">
        <v>2817</v>
      </c>
      <c r="T42" s="118" t="s">
        <v>3147</v>
      </c>
    </row>
    <row r="43" spans="1:20" ht="12" customHeight="1">
      <c r="A43" s="10" t="s">
        <v>104</v>
      </c>
      <c r="B43" s="112" t="s">
        <v>105</v>
      </c>
      <c r="C43" s="155">
        <v>15.408379</v>
      </c>
      <c r="D43" s="156">
        <v>0.83842399999999995</v>
      </c>
      <c r="E43" s="156">
        <v>0.98291899999999999</v>
      </c>
      <c r="F43" s="156">
        <v>0.96564799999999995</v>
      </c>
      <c r="G43" s="156">
        <v>0.97398700000000005</v>
      </c>
      <c r="H43" s="156">
        <v>1.5269630000000001</v>
      </c>
      <c r="I43" s="156">
        <v>1.4348780000000001</v>
      </c>
      <c r="J43" s="156">
        <v>1.99661</v>
      </c>
      <c r="K43" s="156">
        <v>2.1837589999999998</v>
      </c>
      <c r="L43" s="156">
        <v>1.551628</v>
      </c>
      <c r="M43" s="156">
        <v>1.4659580000000001</v>
      </c>
      <c r="N43" s="156">
        <v>0.656084</v>
      </c>
      <c r="O43" s="156">
        <v>0.83152099999999995</v>
      </c>
      <c r="P43" s="112"/>
      <c r="Q43" s="29"/>
      <c r="S43" s="13" t="s">
        <v>3146</v>
      </c>
      <c r="T43" s="118" t="s">
        <v>3145</v>
      </c>
    </row>
    <row r="44" spans="1:20" ht="12" customHeight="1">
      <c r="A44" s="10" t="s">
        <v>107</v>
      </c>
      <c r="B44" s="112" t="s">
        <v>106</v>
      </c>
      <c r="C44" s="155">
        <v>30.394843999999999</v>
      </c>
      <c r="D44" s="156">
        <v>1.700607</v>
      </c>
      <c r="E44" s="156">
        <v>2.0497510000000001</v>
      </c>
      <c r="F44" s="156">
        <v>2.4600569999999999</v>
      </c>
      <c r="G44" s="156">
        <v>2.5348929999999998</v>
      </c>
      <c r="H44" s="156">
        <v>2.8197390000000002</v>
      </c>
      <c r="I44" s="156">
        <v>2.6881059999999999</v>
      </c>
      <c r="J44" s="156">
        <v>2.950796</v>
      </c>
      <c r="K44" s="156">
        <v>2.886857</v>
      </c>
      <c r="L44" s="156">
        <v>2.7309549999999998</v>
      </c>
      <c r="M44" s="156">
        <v>2.8375720000000002</v>
      </c>
      <c r="N44" s="156">
        <v>2.370269</v>
      </c>
      <c r="O44" s="156">
        <v>2.3652419999999998</v>
      </c>
      <c r="P44" s="112"/>
      <c r="Q44" s="29"/>
      <c r="T44" s="26"/>
    </row>
    <row r="45" spans="1:20" ht="12" customHeight="1">
      <c r="A45" s="10" t="s">
        <v>109</v>
      </c>
      <c r="B45" s="112" t="s">
        <v>108</v>
      </c>
      <c r="C45" s="155">
        <v>12.657553</v>
      </c>
      <c r="D45" s="156">
        <v>0.47883599999999998</v>
      </c>
      <c r="E45" s="156">
        <v>0.58839200000000003</v>
      </c>
      <c r="F45" s="156">
        <v>0.80449400000000004</v>
      </c>
      <c r="G45" s="156">
        <v>0.89203500000000002</v>
      </c>
      <c r="H45" s="156">
        <v>1.4308449999999999</v>
      </c>
      <c r="I45" s="156">
        <v>1.3758760000000001</v>
      </c>
      <c r="J45" s="156">
        <v>1.7337400000000001</v>
      </c>
      <c r="K45" s="156">
        <v>1.6631769999999999</v>
      </c>
      <c r="L45" s="156">
        <v>1.2682739999999999</v>
      </c>
      <c r="M45" s="156">
        <v>1.128017</v>
      </c>
      <c r="N45" s="156">
        <v>0.69659800000000005</v>
      </c>
      <c r="O45" s="156">
        <v>0.59726900000000005</v>
      </c>
      <c r="P45" s="112"/>
      <c r="Q45" s="29"/>
      <c r="T45" s="26"/>
    </row>
    <row r="46" spans="1:20" ht="12" customHeight="1">
      <c r="A46" s="10" t="s">
        <v>111</v>
      </c>
      <c r="B46" s="112" t="s">
        <v>110</v>
      </c>
      <c r="C46" s="155">
        <v>2.815391</v>
      </c>
      <c r="D46" s="156">
        <v>0.14712700000000001</v>
      </c>
      <c r="E46" s="156">
        <v>0.18199399999999999</v>
      </c>
      <c r="F46" s="156">
        <v>0.22234000000000001</v>
      </c>
      <c r="G46" s="156">
        <v>0.22225500000000001</v>
      </c>
      <c r="H46" s="156">
        <v>0.26058799999999999</v>
      </c>
      <c r="I46" s="156">
        <v>0.25354199999999999</v>
      </c>
      <c r="J46" s="156">
        <v>0.26304499999999997</v>
      </c>
      <c r="K46" s="156">
        <v>0.283306</v>
      </c>
      <c r="L46" s="156">
        <v>0.25591900000000001</v>
      </c>
      <c r="M46" s="156">
        <v>0.25789600000000001</v>
      </c>
      <c r="N46" s="156">
        <v>0.239588</v>
      </c>
      <c r="O46" s="156">
        <v>0.22779099999999999</v>
      </c>
      <c r="P46" s="112"/>
      <c r="Q46" s="29"/>
      <c r="R46" s="60"/>
      <c r="T46" s="26"/>
    </row>
    <row r="47" spans="1:20" ht="12" customHeight="1">
      <c r="A47" s="10" t="s">
        <v>113</v>
      </c>
      <c r="B47" s="125" t="s">
        <v>112</v>
      </c>
      <c r="C47" s="155">
        <v>16.068104999999999</v>
      </c>
      <c r="D47" s="158">
        <v>0.90827800000000003</v>
      </c>
      <c r="E47" s="158">
        <v>1.0659730000000001</v>
      </c>
      <c r="F47" s="158">
        <v>1.33727</v>
      </c>
      <c r="G47" s="158">
        <v>1.32375</v>
      </c>
      <c r="H47" s="158">
        <v>1.5095799999999999</v>
      </c>
      <c r="I47" s="158">
        <v>1.39236</v>
      </c>
      <c r="J47" s="158">
        <v>1.58579</v>
      </c>
      <c r="K47" s="158">
        <v>1.592457</v>
      </c>
      <c r="L47" s="158">
        <v>1.364536</v>
      </c>
      <c r="M47" s="158">
        <v>1.449063</v>
      </c>
      <c r="N47" s="158">
        <v>1.2551639999999999</v>
      </c>
      <c r="O47" s="158">
        <v>1.283884</v>
      </c>
      <c r="P47" s="125"/>
      <c r="Q47" s="29"/>
      <c r="R47" s="60"/>
      <c r="T47" s="26"/>
    </row>
    <row r="48" spans="1:20" ht="12" customHeight="1">
      <c r="A48" s="10" t="s">
        <v>114</v>
      </c>
      <c r="B48" s="125" t="s">
        <v>115</v>
      </c>
      <c r="C48" s="155">
        <v>20.918832999999999</v>
      </c>
      <c r="D48" s="158">
        <v>1.526513</v>
      </c>
      <c r="E48" s="158">
        <v>1.353307</v>
      </c>
      <c r="F48" s="158">
        <v>1.6271869999999999</v>
      </c>
      <c r="G48" s="158">
        <v>1.619537</v>
      </c>
      <c r="H48" s="158">
        <v>1.745498</v>
      </c>
      <c r="I48" s="158">
        <v>2.083345</v>
      </c>
      <c r="J48" s="158">
        <v>2.0062380000000002</v>
      </c>
      <c r="K48" s="158">
        <v>1.8037369999999999</v>
      </c>
      <c r="L48" s="158">
        <v>2.0307210000000002</v>
      </c>
      <c r="M48" s="158">
        <v>1.8683529999999999</v>
      </c>
      <c r="N48" s="158">
        <v>1.7376579999999999</v>
      </c>
      <c r="O48" s="158">
        <v>1.5167390000000001</v>
      </c>
      <c r="P48" s="125"/>
      <c r="Q48" s="29"/>
      <c r="R48" s="60"/>
      <c r="T48" s="26"/>
    </row>
    <row r="49" spans="1:20" ht="12" customHeight="1">
      <c r="A49" s="10" t="s">
        <v>116</v>
      </c>
      <c r="B49" s="125" t="s">
        <v>117</v>
      </c>
      <c r="C49" s="155">
        <v>2.2582770000000001</v>
      </c>
      <c r="D49" s="158">
        <v>0.100315</v>
      </c>
      <c r="E49" s="158">
        <v>0.11856800000000001</v>
      </c>
      <c r="F49" s="158">
        <v>0.15659699999999999</v>
      </c>
      <c r="G49" s="158">
        <v>0.167599</v>
      </c>
      <c r="H49" s="158">
        <v>0.24271200000000001</v>
      </c>
      <c r="I49" s="158">
        <v>0.23949899999999999</v>
      </c>
      <c r="J49" s="158">
        <v>0.26300899999999999</v>
      </c>
      <c r="K49" s="158">
        <v>0.27110099999999998</v>
      </c>
      <c r="L49" s="158">
        <v>0.22287799999999999</v>
      </c>
      <c r="M49" s="158">
        <v>0.19734499999999999</v>
      </c>
      <c r="N49" s="158">
        <v>0.15507399999999999</v>
      </c>
      <c r="O49" s="158">
        <v>0.12358</v>
      </c>
      <c r="P49" s="125"/>
      <c r="Q49" s="29"/>
      <c r="R49" s="60"/>
      <c r="T49" s="26"/>
    </row>
    <row r="50" spans="1:20" ht="12" customHeight="1">
      <c r="A50" s="10" t="s">
        <v>118</v>
      </c>
      <c r="B50" s="125" t="s">
        <v>119</v>
      </c>
      <c r="C50" s="155">
        <v>6.5501990000000001</v>
      </c>
      <c r="D50" s="158">
        <v>0.345161</v>
      </c>
      <c r="E50" s="158">
        <v>0.39361600000000002</v>
      </c>
      <c r="F50" s="158">
        <v>0.46656500000000001</v>
      </c>
      <c r="G50" s="158">
        <v>0.49116199999999999</v>
      </c>
      <c r="H50" s="158">
        <v>0.697438</v>
      </c>
      <c r="I50" s="158">
        <v>0.65643600000000002</v>
      </c>
      <c r="J50" s="158">
        <v>0.72166600000000003</v>
      </c>
      <c r="K50" s="158">
        <v>0.74706499999999998</v>
      </c>
      <c r="L50" s="158">
        <v>0.632409</v>
      </c>
      <c r="M50" s="158">
        <v>0.59262700000000001</v>
      </c>
      <c r="N50" s="158">
        <v>0.43173600000000001</v>
      </c>
      <c r="O50" s="158">
        <v>0.37431799999999998</v>
      </c>
      <c r="P50" s="125"/>
      <c r="Q50" s="29"/>
      <c r="R50" s="60"/>
      <c r="S50" s="31"/>
      <c r="T50" s="70"/>
    </row>
    <row r="51" spans="1:20" ht="12" customHeight="1">
      <c r="A51" s="10" t="s">
        <v>121</v>
      </c>
      <c r="B51" s="125" t="s">
        <v>120</v>
      </c>
      <c r="C51" s="155">
        <v>29.614566</v>
      </c>
      <c r="D51" s="158">
        <v>0.71729600000000004</v>
      </c>
      <c r="E51" s="158">
        <v>0.97251799999999999</v>
      </c>
      <c r="F51" s="158">
        <v>1.6632530000000001</v>
      </c>
      <c r="G51" s="158">
        <v>1.5874440000000001</v>
      </c>
      <c r="H51" s="158">
        <v>3.0244019999999998</v>
      </c>
      <c r="I51" s="158">
        <v>3.5020250000000002</v>
      </c>
      <c r="J51" s="158">
        <v>5.1261770000000002</v>
      </c>
      <c r="K51" s="158">
        <v>5.0636749999999999</v>
      </c>
      <c r="L51" s="158">
        <v>3.2470270000000001</v>
      </c>
      <c r="M51" s="158">
        <v>2.5400360000000002</v>
      </c>
      <c r="N51" s="158">
        <v>1.035663</v>
      </c>
      <c r="O51" s="158">
        <v>1.1350499999999999</v>
      </c>
      <c r="P51" s="125"/>
      <c r="Q51" s="29"/>
      <c r="R51" s="60"/>
      <c r="S51" s="31"/>
    </row>
    <row r="52" spans="1:20" ht="12" customHeight="1">
      <c r="A52" s="10" t="s">
        <v>122</v>
      </c>
      <c r="B52" s="125" t="s">
        <v>123</v>
      </c>
      <c r="C52" s="155">
        <v>6.4850450000000004</v>
      </c>
      <c r="D52" s="158">
        <v>0.35917399999999999</v>
      </c>
      <c r="E52" s="158">
        <v>0.42851</v>
      </c>
      <c r="F52" s="158">
        <v>0.496952</v>
      </c>
      <c r="G52" s="158">
        <v>0.50453599999999998</v>
      </c>
      <c r="H52" s="158">
        <v>0.63336199999999998</v>
      </c>
      <c r="I52" s="158">
        <v>0.58786499999999997</v>
      </c>
      <c r="J52" s="158">
        <v>0.65870099999999998</v>
      </c>
      <c r="K52" s="158">
        <v>0.676512</v>
      </c>
      <c r="L52" s="158">
        <v>0.605402</v>
      </c>
      <c r="M52" s="158">
        <v>0.63000299999999998</v>
      </c>
      <c r="N52" s="158">
        <v>0.45793600000000001</v>
      </c>
      <c r="O52" s="158">
        <v>0.44609199999999999</v>
      </c>
      <c r="P52" s="125"/>
      <c r="Q52" s="29"/>
      <c r="R52" s="60"/>
      <c r="S52" s="31" t="s">
        <v>3076</v>
      </c>
      <c r="T52" s="35"/>
    </row>
    <row r="53" spans="1:20" ht="12" customHeight="1">
      <c r="A53" s="10" t="s">
        <v>124</v>
      </c>
      <c r="B53" s="125" t="s">
        <v>125</v>
      </c>
      <c r="C53" s="155">
        <v>6.4425039999999996</v>
      </c>
      <c r="D53" s="158">
        <v>0.33626699999999998</v>
      </c>
      <c r="E53" s="158">
        <v>0.35610399999999998</v>
      </c>
      <c r="F53" s="158">
        <v>0.44984299999999999</v>
      </c>
      <c r="G53" s="158">
        <v>0.53742100000000004</v>
      </c>
      <c r="H53" s="158">
        <v>0.64143700000000003</v>
      </c>
      <c r="I53" s="158">
        <v>0.65003900000000003</v>
      </c>
      <c r="J53" s="158">
        <v>0.66640100000000002</v>
      </c>
      <c r="K53" s="158">
        <v>0.72707500000000003</v>
      </c>
      <c r="L53" s="158">
        <v>0.64960899999999999</v>
      </c>
      <c r="M53" s="158">
        <v>0.571079</v>
      </c>
      <c r="N53" s="158">
        <v>0.50041199999999997</v>
      </c>
      <c r="O53" s="158">
        <v>0.356817</v>
      </c>
      <c r="P53" s="125"/>
      <c r="Q53" s="29"/>
      <c r="R53" s="60"/>
      <c r="S53" s="31" t="s">
        <v>3124</v>
      </c>
      <c r="T53" s="5" t="s">
        <v>3194</v>
      </c>
    </row>
    <row r="54" spans="1:20" ht="12" customHeight="1">
      <c r="A54" s="10" t="s">
        <v>126</v>
      </c>
      <c r="B54" s="125" t="s">
        <v>127</v>
      </c>
      <c r="C54" s="155">
        <v>9.7071170000000002</v>
      </c>
      <c r="D54" s="158">
        <v>0.32858300000000001</v>
      </c>
      <c r="E54" s="158">
        <v>0.38469100000000001</v>
      </c>
      <c r="F54" s="158">
        <v>0.64143499999999998</v>
      </c>
      <c r="G54" s="158">
        <v>0.69740599999999997</v>
      </c>
      <c r="H54" s="158">
        <v>1.101532</v>
      </c>
      <c r="I54" s="158">
        <v>0.98680199999999996</v>
      </c>
      <c r="J54" s="158">
        <v>1.2993650000000001</v>
      </c>
      <c r="K54" s="158">
        <v>1.42815</v>
      </c>
      <c r="L54" s="158">
        <v>1.0089889999999999</v>
      </c>
      <c r="M54" s="158">
        <v>0.94636699999999996</v>
      </c>
      <c r="N54" s="158">
        <v>0.470717</v>
      </c>
      <c r="O54" s="158">
        <v>0.41308</v>
      </c>
      <c r="P54" s="125"/>
      <c r="Q54" s="29"/>
      <c r="R54" s="60"/>
    </row>
    <row r="55" spans="1:20" ht="12" customHeight="1">
      <c r="A55" s="10" t="s">
        <v>128</v>
      </c>
      <c r="B55" s="125" t="s">
        <v>129</v>
      </c>
      <c r="C55" s="155">
        <v>17.566749000000002</v>
      </c>
      <c r="D55" s="158">
        <v>0.490699</v>
      </c>
      <c r="E55" s="158">
        <v>0.61713200000000001</v>
      </c>
      <c r="F55" s="158">
        <v>1.161599</v>
      </c>
      <c r="G55" s="158">
        <v>1.325723</v>
      </c>
      <c r="H55" s="158">
        <v>2.0537179999999999</v>
      </c>
      <c r="I55" s="158">
        <v>1.891524</v>
      </c>
      <c r="J55" s="158">
        <v>2.476423</v>
      </c>
      <c r="K55" s="158">
        <v>2.6144289999999999</v>
      </c>
      <c r="L55" s="158">
        <v>1.8986499999999999</v>
      </c>
      <c r="M55" s="158">
        <v>1.6346959999999999</v>
      </c>
      <c r="N55" s="158">
        <v>0.73577999999999999</v>
      </c>
      <c r="O55" s="158">
        <v>0.66637599999999997</v>
      </c>
      <c r="P55" s="125"/>
      <c r="Q55" s="29"/>
      <c r="R55" s="60"/>
    </row>
    <row r="56" spans="1:20" ht="12" customHeight="1">
      <c r="A56" s="10" t="s">
        <v>130</v>
      </c>
      <c r="B56" s="125" t="s">
        <v>131</v>
      </c>
      <c r="C56" s="155">
        <v>12.806986</v>
      </c>
      <c r="D56" s="158">
        <v>0.85961799999999999</v>
      </c>
      <c r="E56" s="158">
        <v>0.78333399999999997</v>
      </c>
      <c r="F56" s="158">
        <v>1.0080640000000001</v>
      </c>
      <c r="G56" s="158">
        <v>1.045655</v>
      </c>
      <c r="H56" s="158">
        <v>1.1365080000000001</v>
      </c>
      <c r="I56" s="158">
        <v>1.340994</v>
      </c>
      <c r="J56" s="158">
        <v>1.1526000000000001</v>
      </c>
      <c r="K56" s="158">
        <v>1.104163</v>
      </c>
      <c r="L56" s="158">
        <v>1.1314470000000001</v>
      </c>
      <c r="M56" s="158">
        <v>1.1159840000000001</v>
      </c>
      <c r="N56" s="158">
        <v>1.130414</v>
      </c>
      <c r="O56" s="158">
        <v>0.99820500000000001</v>
      </c>
      <c r="P56" s="125"/>
      <c r="Q56" s="29"/>
      <c r="R56" s="60"/>
    </row>
    <row r="57" spans="1:20" ht="12" customHeight="1">
      <c r="A57" s="10" t="s">
        <v>132</v>
      </c>
      <c r="B57" s="125" t="s">
        <v>133</v>
      </c>
      <c r="C57" s="155">
        <v>14.452932000000001</v>
      </c>
      <c r="D57" s="158">
        <v>0.84931000000000001</v>
      </c>
      <c r="E57" s="158">
        <v>0.88815900000000003</v>
      </c>
      <c r="F57" s="158">
        <v>1.115815</v>
      </c>
      <c r="G57" s="158">
        <v>1.191594</v>
      </c>
      <c r="H57" s="158">
        <v>1.3059829999999999</v>
      </c>
      <c r="I57" s="158">
        <v>1.4181809999999999</v>
      </c>
      <c r="J57" s="158">
        <v>1.3060449999999999</v>
      </c>
      <c r="K57" s="158">
        <v>1.449384</v>
      </c>
      <c r="L57" s="158">
        <v>1.278392</v>
      </c>
      <c r="M57" s="158">
        <v>1.2904610000000001</v>
      </c>
      <c r="N57" s="158">
        <v>1.20001</v>
      </c>
      <c r="O57" s="158">
        <v>1.1595979999999999</v>
      </c>
      <c r="P57" s="125"/>
      <c r="Q57" s="29"/>
      <c r="R57" s="60"/>
    </row>
    <row r="58" spans="1:20" ht="12" customHeight="1">
      <c r="A58" s="10" t="s">
        <v>134</v>
      </c>
      <c r="B58" s="125" t="s">
        <v>135</v>
      </c>
      <c r="C58" s="155">
        <v>4.7167880000000002</v>
      </c>
      <c r="D58" s="158">
        <v>0.25094499999999997</v>
      </c>
      <c r="E58" s="158">
        <v>0.27190399999999998</v>
      </c>
      <c r="F58" s="158">
        <v>0.34877399999999997</v>
      </c>
      <c r="G58" s="158">
        <v>0.37385000000000002</v>
      </c>
      <c r="H58" s="158">
        <v>0.49371999999999999</v>
      </c>
      <c r="I58" s="158">
        <v>0.46373399999999998</v>
      </c>
      <c r="J58" s="158">
        <v>0.46112399999999998</v>
      </c>
      <c r="K58" s="158">
        <v>0.48557699999999998</v>
      </c>
      <c r="L58" s="158">
        <v>0.45745999999999998</v>
      </c>
      <c r="M58" s="158">
        <v>0.43837100000000001</v>
      </c>
      <c r="N58" s="158">
        <v>0.365871</v>
      </c>
      <c r="O58" s="158">
        <v>0.30545800000000001</v>
      </c>
      <c r="P58" s="125"/>
      <c r="Q58" s="29"/>
      <c r="R58" s="60"/>
      <c r="T58" s="56"/>
    </row>
    <row r="59" spans="1:20" ht="12" customHeight="1">
      <c r="A59" s="10" t="s">
        <v>136</v>
      </c>
      <c r="B59" s="125" t="s">
        <v>137</v>
      </c>
      <c r="C59" s="155">
        <v>3.9954779999999999</v>
      </c>
      <c r="D59" s="158">
        <v>0.200629</v>
      </c>
      <c r="E59" s="158">
        <v>0.221973</v>
      </c>
      <c r="F59" s="158">
        <v>0.29158099999999998</v>
      </c>
      <c r="G59" s="158">
        <v>0.30910199999999999</v>
      </c>
      <c r="H59" s="158">
        <v>0.40854299999999999</v>
      </c>
      <c r="I59" s="158">
        <v>0.40180700000000003</v>
      </c>
      <c r="J59" s="158">
        <v>0.418014</v>
      </c>
      <c r="K59" s="158">
        <v>0.441251</v>
      </c>
      <c r="L59" s="158">
        <v>0.39941399999999999</v>
      </c>
      <c r="M59" s="158">
        <v>0.363118</v>
      </c>
      <c r="N59" s="158">
        <v>0.29070000000000001</v>
      </c>
      <c r="O59" s="158">
        <v>0.24934600000000001</v>
      </c>
      <c r="P59" s="125"/>
      <c r="Q59" s="29"/>
      <c r="R59" s="60"/>
      <c r="S59" s="26"/>
      <c r="T59" s="56"/>
    </row>
    <row r="60" spans="1:20" ht="12" customHeight="1">
      <c r="A60" s="10" t="s">
        <v>138</v>
      </c>
      <c r="B60" s="125" t="s">
        <v>139</v>
      </c>
      <c r="C60" s="155">
        <v>9.0118399999999994</v>
      </c>
      <c r="D60" s="158">
        <v>0.58332700000000004</v>
      </c>
      <c r="E60" s="158">
        <v>0.65673000000000004</v>
      </c>
      <c r="F60" s="158">
        <v>0.66778400000000004</v>
      </c>
      <c r="G60" s="158">
        <v>0.69961300000000004</v>
      </c>
      <c r="H60" s="158">
        <v>0.84435300000000002</v>
      </c>
      <c r="I60" s="158">
        <v>0.82430199999999998</v>
      </c>
      <c r="J60" s="158">
        <v>0.85214100000000004</v>
      </c>
      <c r="K60" s="158">
        <v>0.91661899999999996</v>
      </c>
      <c r="L60" s="158">
        <v>0.81203099999999995</v>
      </c>
      <c r="M60" s="158">
        <v>0.85612200000000005</v>
      </c>
      <c r="N60" s="158">
        <v>0.67252800000000001</v>
      </c>
      <c r="O60" s="158">
        <v>0.62629000000000001</v>
      </c>
      <c r="P60" s="125"/>
      <c r="Q60" s="29"/>
      <c r="R60" s="60"/>
      <c r="S60" s="2" t="s">
        <v>2844</v>
      </c>
    </row>
    <row r="61" spans="1:20" ht="12" customHeight="1">
      <c r="A61" s="10" t="s">
        <v>140</v>
      </c>
      <c r="B61" s="125" t="s">
        <v>141</v>
      </c>
      <c r="C61" s="155">
        <v>7.6922800000000002</v>
      </c>
      <c r="D61" s="158">
        <v>0.24418699999999999</v>
      </c>
      <c r="E61" s="158">
        <v>0.27859600000000001</v>
      </c>
      <c r="F61" s="158">
        <v>0.446932</v>
      </c>
      <c r="G61" s="158">
        <v>0.55990499999999999</v>
      </c>
      <c r="H61" s="158">
        <v>0.89733600000000002</v>
      </c>
      <c r="I61" s="158">
        <v>0.82460299999999997</v>
      </c>
      <c r="J61" s="158">
        <v>0.94237199999999999</v>
      </c>
      <c r="K61" s="158">
        <v>1.093496</v>
      </c>
      <c r="L61" s="158">
        <v>0.90468099999999996</v>
      </c>
      <c r="M61" s="158">
        <v>0.75525799999999998</v>
      </c>
      <c r="N61" s="158">
        <v>0.39723999999999998</v>
      </c>
      <c r="O61" s="158">
        <v>0.34767399999999998</v>
      </c>
      <c r="P61" s="125"/>
      <c r="Q61" s="29"/>
      <c r="R61" s="60"/>
      <c r="S61" s="18" t="s">
        <v>3150</v>
      </c>
    </row>
    <row r="62" spans="1:20" ht="12" customHeight="1">
      <c r="A62" s="10" t="s">
        <v>142</v>
      </c>
      <c r="B62" s="125" t="s">
        <v>143</v>
      </c>
      <c r="C62" s="155">
        <v>6.0252809999999997</v>
      </c>
      <c r="D62" s="158">
        <v>0.186863</v>
      </c>
      <c r="E62" s="158">
        <v>0.225442</v>
      </c>
      <c r="F62" s="158">
        <v>0.35733900000000002</v>
      </c>
      <c r="G62" s="158">
        <v>0.44964500000000002</v>
      </c>
      <c r="H62" s="158">
        <v>0.69064199999999998</v>
      </c>
      <c r="I62" s="158">
        <v>0.58260500000000004</v>
      </c>
      <c r="J62" s="158">
        <v>0.79225199999999996</v>
      </c>
      <c r="K62" s="158">
        <v>0.89672200000000002</v>
      </c>
      <c r="L62" s="158">
        <v>0.65240600000000004</v>
      </c>
      <c r="M62" s="158">
        <v>0.60664799999999997</v>
      </c>
      <c r="N62" s="158">
        <v>0.28883199999999998</v>
      </c>
      <c r="O62" s="158">
        <v>0.29588500000000001</v>
      </c>
      <c r="P62" s="125"/>
      <c r="Q62" s="29"/>
      <c r="R62" s="60"/>
      <c r="S62" s="7" t="s">
        <v>3142</v>
      </c>
    </row>
    <row r="63" spans="1:20" ht="12" customHeight="1">
      <c r="A63" s="10" t="s">
        <v>144</v>
      </c>
      <c r="B63" s="125" t="s">
        <v>145</v>
      </c>
      <c r="C63" s="155">
        <v>6.1373879999999996</v>
      </c>
      <c r="D63" s="158">
        <v>0.294099</v>
      </c>
      <c r="E63" s="158">
        <v>0.33515499999999998</v>
      </c>
      <c r="F63" s="158">
        <v>0.482294</v>
      </c>
      <c r="G63" s="158">
        <v>0.50828899999999999</v>
      </c>
      <c r="H63" s="158">
        <v>0.61911799999999995</v>
      </c>
      <c r="I63" s="158">
        <v>0.608151</v>
      </c>
      <c r="J63" s="158">
        <v>0.61932900000000002</v>
      </c>
      <c r="K63" s="158">
        <v>0.64454800000000001</v>
      </c>
      <c r="L63" s="158">
        <v>0.64557200000000003</v>
      </c>
      <c r="M63" s="158">
        <v>0.600074</v>
      </c>
      <c r="N63" s="158">
        <v>0.43065300000000001</v>
      </c>
      <c r="O63" s="158">
        <v>0.35010599999999997</v>
      </c>
      <c r="P63" s="125"/>
      <c r="Q63" s="29"/>
      <c r="R63" s="60"/>
      <c r="S63" s="26" t="s">
        <v>3152</v>
      </c>
    </row>
    <row r="64" spans="1:20" ht="12" customHeight="1">
      <c r="A64" s="10" t="s">
        <v>147</v>
      </c>
      <c r="B64" s="125" t="s">
        <v>146</v>
      </c>
      <c r="C64" s="155">
        <v>2.3902909999999999</v>
      </c>
      <c r="D64" s="158">
        <v>0.123304</v>
      </c>
      <c r="E64" s="158">
        <v>0.141374</v>
      </c>
      <c r="F64" s="158">
        <v>0.17458599999999999</v>
      </c>
      <c r="G64" s="158">
        <v>0.19261200000000001</v>
      </c>
      <c r="H64" s="158">
        <v>0.23604700000000001</v>
      </c>
      <c r="I64" s="158">
        <v>0.23216999999999999</v>
      </c>
      <c r="J64" s="158">
        <v>0.26276100000000002</v>
      </c>
      <c r="K64" s="158">
        <v>0.28446399999999999</v>
      </c>
      <c r="L64" s="158">
        <v>0.22103500000000001</v>
      </c>
      <c r="M64" s="158">
        <v>0.219912</v>
      </c>
      <c r="N64" s="158">
        <v>0.156995</v>
      </c>
      <c r="O64" s="158">
        <v>0.14503099999999999</v>
      </c>
      <c r="P64" s="125"/>
      <c r="Q64" s="29"/>
      <c r="R64" s="60"/>
      <c r="S64" s="44" t="s">
        <v>3151</v>
      </c>
    </row>
    <row r="65" spans="1:19" ht="12" customHeight="1">
      <c r="A65" s="10" t="s">
        <v>148</v>
      </c>
      <c r="B65" s="125" t="s">
        <v>149</v>
      </c>
      <c r="C65" s="155">
        <v>8.9430809999999994</v>
      </c>
      <c r="D65" s="158">
        <v>0.33671699999999999</v>
      </c>
      <c r="E65" s="158">
        <v>0.41217100000000001</v>
      </c>
      <c r="F65" s="158">
        <v>0.62873800000000002</v>
      </c>
      <c r="G65" s="158">
        <v>0.65723500000000001</v>
      </c>
      <c r="H65" s="158">
        <v>1.0037130000000001</v>
      </c>
      <c r="I65" s="158">
        <v>0.88964900000000002</v>
      </c>
      <c r="J65" s="158">
        <v>0.96324900000000002</v>
      </c>
      <c r="K65" s="158">
        <v>1.0455540000000001</v>
      </c>
      <c r="L65" s="158">
        <v>0.86312100000000003</v>
      </c>
      <c r="M65" s="158">
        <v>0.87227299999999997</v>
      </c>
      <c r="N65" s="158">
        <v>0.55097300000000005</v>
      </c>
      <c r="O65" s="158">
        <v>0.71968799999999999</v>
      </c>
      <c r="P65" s="125"/>
      <c r="Q65" s="29"/>
      <c r="R65" s="60"/>
      <c r="S65" s="7" t="s">
        <v>3153</v>
      </c>
    </row>
    <row r="66" spans="1:19" ht="12" customHeight="1">
      <c r="A66" s="10" t="s">
        <v>150</v>
      </c>
      <c r="B66" s="125" t="s">
        <v>151</v>
      </c>
      <c r="C66" s="155">
        <v>3.772027</v>
      </c>
      <c r="D66" s="158">
        <v>0.22521099999999999</v>
      </c>
      <c r="E66" s="158">
        <v>0.28667399999999998</v>
      </c>
      <c r="F66" s="158">
        <v>0.267677</v>
      </c>
      <c r="G66" s="158">
        <v>0.26148399999999999</v>
      </c>
      <c r="H66" s="158">
        <v>0.36565599999999998</v>
      </c>
      <c r="I66" s="158">
        <v>0.33228799999999997</v>
      </c>
      <c r="J66" s="158">
        <v>0.38297999999999999</v>
      </c>
      <c r="K66" s="158">
        <v>0.380527</v>
      </c>
      <c r="L66" s="158">
        <v>0.35022599999999998</v>
      </c>
      <c r="M66" s="158">
        <v>0.34162999999999999</v>
      </c>
      <c r="N66" s="158">
        <v>0.25723600000000002</v>
      </c>
      <c r="O66" s="158">
        <v>0.320438</v>
      </c>
      <c r="P66" s="125"/>
      <c r="Q66" s="29"/>
      <c r="R66" s="60"/>
      <c r="S66" s="44" t="s">
        <v>3143</v>
      </c>
    </row>
    <row r="67" spans="1:19" ht="12" customHeight="1">
      <c r="A67" s="10" t="s">
        <v>152</v>
      </c>
      <c r="B67" s="125" t="s">
        <v>153</v>
      </c>
      <c r="C67" s="155">
        <v>4.9047640000000001</v>
      </c>
      <c r="D67" s="158">
        <v>0.25275599999999998</v>
      </c>
      <c r="E67" s="158">
        <v>0.30091699999999999</v>
      </c>
      <c r="F67" s="158">
        <v>0.399646</v>
      </c>
      <c r="G67" s="158">
        <v>0.402389</v>
      </c>
      <c r="H67" s="158">
        <v>0.50419700000000001</v>
      </c>
      <c r="I67" s="158">
        <v>0.47581000000000001</v>
      </c>
      <c r="J67" s="158">
        <v>0.46845300000000001</v>
      </c>
      <c r="K67" s="158">
        <v>0.49282799999999999</v>
      </c>
      <c r="L67" s="158">
        <v>0.447021</v>
      </c>
      <c r="M67" s="158">
        <v>0.44507099999999999</v>
      </c>
      <c r="N67" s="158">
        <v>0.36973600000000001</v>
      </c>
      <c r="O67" s="158">
        <v>0.34594000000000003</v>
      </c>
      <c r="P67" s="125"/>
      <c r="Q67" s="29"/>
      <c r="R67" s="60"/>
      <c r="S67" s="115" t="s">
        <v>3144</v>
      </c>
    </row>
    <row r="68" spans="1:19" ht="12" customHeight="1">
      <c r="A68" s="10" t="s">
        <v>155</v>
      </c>
      <c r="B68" s="125" t="s">
        <v>154</v>
      </c>
      <c r="C68" s="155">
        <v>7.2623790000000001</v>
      </c>
      <c r="D68" s="158">
        <v>0.30567899999999998</v>
      </c>
      <c r="E68" s="158">
        <v>0.37723099999999998</v>
      </c>
      <c r="F68" s="158">
        <v>0.50763599999999998</v>
      </c>
      <c r="G68" s="158">
        <v>0.56061799999999995</v>
      </c>
      <c r="H68" s="158">
        <v>0.78821300000000005</v>
      </c>
      <c r="I68" s="158">
        <v>0.743224</v>
      </c>
      <c r="J68" s="158">
        <v>0.81574800000000003</v>
      </c>
      <c r="K68" s="158">
        <v>0.825183</v>
      </c>
      <c r="L68" s="158">
        <v>0.73637300000000006</v>
      </c>
      <c r="M68" s="158">
        <v>0.71297900000000003</v>
      </c>
      <c r="N68" s="158">
        <v>0.448766</v>
      </c>
      <c r="O68" s="158">
        <v>0.44072899999999998</v>
      </c>
      <c r="P68" s="125"/>
      <c r="Q68" s="29"/>
      <c r="R68" s="60"/>
    </row>
    <row r="69" spans="1:19" ht="12" customHeight="1">
      <c r="A69" s="10" t="s">
        <v>157</v>
      </c>
      <c r="B69" s="125" t="s">
        <v>156</v>
      </c>
      <c r="C69" s="155">
        <v>34.556615999999998</v>
      </c>
      <c r="D69" s="158">
        <v>0.915744</v>
      </c>
      <c r="E69" s="158">
        <v>1.132385</v>
      </c>
      <c r="F69" s="158">
        <v>2.0812499999999998</v>
      </c>
      <c r="G69" s="158">
        <v>2.1070669999999998</v>
      </c>
      <c r="H69" s="158">
        <v>3.7821120000000001</v>
      </c>
      <c r="I69" s="158">
        <v>3.9284669999999999</v>
      </c>
      <c r="J69" s="158">
        <v>5.548495</v>
      </c>
      <c r="K69" s="158">
        <v>5.7086449999999997</v>
      </c>
      <c r="L69" s="158">
        <v>3.6903260000000002</v>
      </c>
      <c r="M69" s="158">
        <v>2.9966750000000002</v>
      </c>
      <c r="N69" s="158">
        <v>1.2892520000000001</v>
      </c>
      <c r="O69" s="158">
        <v>1.376198</v>
      </c>
      <c r="P69" s="125"/>
      <c r="Q69" s="29"/>
      <c r="R69" s="60"/>
    </row>
    <row r="70" spans="1:19" ht="12" customHeight="1">
      <c r="A70" s="10" t="s">
        <v>159</v>
      </c>
      <c r="B70" s="125" t="s">
        <v>158</v>
      </c>
      <c r="C70" s="155">
        <v>8.1250269999999993</v>
      </c>
      <c r="D70" s="158">
        <v>0.38184299999999999</v>
      </c>
      <c r="E70" s="158">
        <v>0.44499499999999997</v>
      </c>
      <c r="F70" s="158">
        <v>0.57875399999999999</v>
      </c>
      <c r="G70" s="158">
        <v>0.59618700000000002</v>
      </c>
      <c r="H70" s="158">
        <v>0.87675199999999998</v>
      </c>
      <c r="I70" s="158">
        <v>0.78699399999999997</v>
      </c>
      <c r="J70" s="158">
        <v>0.87080299999999999</v>
      </c>
      <c r="K70" s="158">
        <v>0.998417</v>
      </c>
      <c r="L70" s="158">
        <v>0.76912000000000003</v>
      </c>
      <c r="M70" s="158">
        <v>0.76538799999999996</v>
      </c>
      <c r="N70" s="158">
        <v>0.53336300000000003</v>
      </c>
      <c r="O70" s="158">
        <v>0.52241099999999996</v>
      </c>
      <c r="P70" s="125"/>
      <c r="Q70" s="29"/>
      <c r="R70" s="60"/>
      <c r="S70" s="26"/>
    </row>
    <row r="71" spans="1:19" ht="12" customHeight="1">
      <c r="A71" s="10" t="s">
        <v>160</v>
      </c>
      <c r="B71" s="125" t="s">
        <v>17</v>
      </c>
      <c r="C71" s="155">
        <v>6.6459080000000004</v>
      </c>
      <c r="D71" s="158">
        <v>0.35416700000000001</v>
      </c>
      <c r="E71" s="158">
        <v>0.40920600000000001</v>
      </c>
      <c r="F71" s="158">
        <v>0.435921</v>
      </c>
      <c r="G71" s="158">
        <v>0.43247600000000003</v>
      </c>
      <c r="H71" s="158">
        <v>0.54287399999999997</v>
      </c>
      <c r="I71" s="158">
        <v>0.69308099999999995</v>
      </c>
      <c r="J71" s="158">
        <v>0.96008300000000002</v>
      </c>
      <c r="K71" s="158">
        <v>0.82144300000000003</v>
      </c>
      <c r="L71" s="158">
        <v>0.51335900000000001</v>
      </c>
      <c r="M71" s="158">
        <v>0.51918399999999998</v>
      </c>
      <c r="N71" s="158">
        <v>0.44854100000000002</v>
      </c>
      <c r="O71" s="158">
        <v>0.51557299999999995</v>
      </c>
      <c r="P71" s="125"/>
      <c r="Q71" s="29"/>
      <c r="R71" s="60"/>
    </row>
    <row r="72" spans="1:19" ht="12" customHeight="1">
      <c r="A72" s="10" t="s">
        <v>161</v>
      </c>
      <c r="B72" s="125" t="s">
        <v>162</v>
      </c>
      <c r="C72" s="155">
        <v>12.255281</v>
      </c>
      <c r="D72" s="158">
        <v>0.26349299999999998</v>
      </c>
      <c r="E72" s="158">
        <v>0.66726099999999999</v>
      </c>
      <c r="F72" s="158">
        <v>0.87454200000000004</v>
      </c>
      <c r="G72" s="158">
        <v>0.68291599999999997</v>
      </c>
      <c r="H72" s="158">
        <v>1.302643</v>
      </c>
      <c r="I72" s="158">
        <v>1.5458400000000001</v>
      </c>
      <c r="J72" s="158">
        <v>1.392679</v>
      </c>
      <c r="K72" s="158">
        <v>2.326416</v>
      </c>
      <c r="L72" s="158">
        <v>1.287841</v>
      </c>
      <c r="M72" s="158">
        <v>0.85584700000000002</v>
      </c>
      <c r="N72" s="158">
        <v>0.50825900000000002</v>
      </c>
      <c r="O72" s="158">
        <v>0.54754400000000003</v>
      </c>
      <c r="P72" s="125"/>
      <c r="Q72" s="29"/>
      <c r="R72" s="60"/>
    </row>
    <row r="73" spans="1:19" ht="12" customHeight="1">
      <c r="A73" s="10" t="s">
        <v>163</v>
      </c>
      <c r="B73" s="125" t="s">
        <v>164</v>
      </c>
      <c r="C73" s="155">
        <v>14.273436</v>
      </c>
      <c r="D73" s="158">
        <v>0.45427099999999998</v>
      </c>
      <c r="E73" s="158">
        <v>0.485099</v>
      </c>
      <c r="F73" s="158">
        <v>0.98264600000000002</v>
      </c>
      <c r="G73" s="158">
        <v>1.097459</v>
      </c>
      <c r="H73" s="158">
        <v>0.74049200000000004</v>
      </c>
      <c r="I73" s="158">
        <v>1.5010540000000001</v>
      </c>
      <c r="J73" s="158">
        <v>2.2307229999999998</v>
      </c>
      <c r="K73" s="158">
        <v>2.6331509999999998</v>
      </c>
      <c r="L73" s="158">
        <v>1.1804509999999999</v>
      </c>
      <c r="M73" s="158">
        <v>1.3076950000000001</v>
      </c>
      <c r="N73" s="158">
        <v>0.49442999999999998</v>
      </c>
      <c r="O73" s="158">
        <v>1.1659649999999999</v>
      </c>
      <c r="P73" s="125"/>
      <c r="Q73" s="29"/>
      <c r="R73" s="60"/>
    </row>
    <row r="74" spans="1:19" ht="12" customHeight="1">
      <c r="A74" s="10" t="s">
        <v>165</v>
      </c>
      <c r="B74" s="125" t="s">
        <v>166</v>
      </c>
      <c r="C74" s="155">
        <v>15.149234</v>
      </c>
      <c r="D74" s="158">
        <v>0.95976700000000004</v>
      </c>
      <c r="E74" s="158">
        <v>0.80626500000000001</v>
      </c>
      <c r="F74" s="158">
        <v>0.844001</v>
      </c>
      <c r="G74" s="158">
        <v>1.0009300000000001</v>
      </c>
      <c r="H74" s="158">
        <v>1.6340410000000001</v>
      </c>
      <c r="I74" s="158">
        <v>1.9572940000000001</v>
      </c>
      <c r="J74" s="158">
        <v>1.260008</v>
      </c>
      <c r="K74" s="158">
        <v>1.7184029999999999</v>
      </c>
      <c r="L74" s="158">
        <v>1.3196540000000001</v>
      </c>
      <c r="M74" s="158">
        <v>1.3242419999999999</v>
      </c>
      <c r="N74" s="158">
        <v>1.2979160000000001</v>
      </c>
      <c r="O74" s="158">
        <v>1.026713</v>
      </c>
      <c r="P74" s="125"/>
      <c r="Q74" s="29"/>
      <c r="R74" s="60"/>
    </row>
    <row r="75" spans="1:19" ht="12" customHeight="1">
      <c r="A75" s="10" t="s">
        <v>168</v>
      </c>
      <c r="B75" s="11" t="s">
        <v>167</v>
      </c>
      <c r="C75" s="155">
        <v>12.742632</v>
      </c>
      <c r="D75" s="159">
        <v>0.56126399999999999</v>
      </c>
      <c r="E75" s="159">
        <v>0.60236199999999995</v>
      </c>
      <c r="F75" s="159">
        <v>0.85961500000000002</v>
      </c>
      <c r="G75" s="159">
        <v>0.99814400000000003</v>
      </c>
      <c r="H75" s="159">
        <v>1.167181</v>
      </c>
      <c r="I75" s="159">
        <v>1.4667730000000001</v>
      </c>
      <c r="J75" s="159">
        <v>1.640207</v>
      </c>
      <c r="K75" s="159">
        <v>1.6701900000000001</v>
      </c>
      <c r="L75" s="159">
        <v>1.4161269999999999</v>
      </c>
      <c r="M75" s="159">
        <v>1.007906</v>
      </c>
      <c r="N75" s="159">
        <v>0.662323</v>
      </c>
      <c r="O75" s="159">
        <v>0.69054000000000004</v>
      </c>
      <c r="P75" s="11"/>
      <c r="Q75" s="29"/>
      <c r="R75" s="60"/>
    </row>
    <row r="76" spans="1:19" ht="12" customHeight="1">
      <c r="A76" s="10" t="s">
        <v>169</v>
      </c>
      <c r="B76" s="11" t="s">
        <v>170</v>
      </c>
      <c r="C76" s="155">
        <v>2.984632</v>
      </c>
      <c r="D76" s="159">
        <v>1.7121999999999998E-2</v>
      </c>
      <c r="E76" s="159">
        <v>2.0567999999999999E-2</v>
      </c>
      <c r="F76" s="159">
        <v>2.7529999999999999E-2</v>
      </c>
      <c r="G76" s="159">
        <v>6.9069000000000005E-2</v>
      </c>
      <c r="H76" s="159">
        <v>0.21460499999999999</v>
      </c>
      <c r="I76" s="159">
        <v>0.47925800000000002</v>
      </c>
      <c r="J76" s="159">
        <v>0.66811200000000004</v>
      </c>
      <c r="K76" s="159">
        <v>0.79085799999999995</v>
      </c>
      <c r="L76" s="159">
        <v>0.50078999999999996</v>
      </c>
      <c r="M76" s="159">
        <v>0.13380500000000001</v>
      </c>
      <c r="N76" s="159">
        <v>3.6504000000000002E-2</v>
      </c>
      <c r="O76" s="159">
        <v>2.6411E-2</v>
      </c>
      <c r="P76" s="11"/>
      <c r="Q76" s="29"/>
      <c r="R76" s="60"/>
    </row>
    <row r="77" spans="1:19" ht="12" customHeight="1">
      <c r="A77" s="10" t="s">
        <v>171</v>
      </c>
      <c r="B77" s="11" t="s">
        <v>12</v>
      </c>
      <c r="C77" s="155">
        <v>41.500466000000003</v>
      </c>
      <c r="D77" s="159">
        <v>0.110078</v>
      </c>
      <c r="E77" s="159">
        <v>9.8146999999999998E-2</v>
      </c>
      <c r="F77" s="159">
        <v>0.32593800000000001</v>
      </c>
      <c r="G77" s="159">
        <v>1.635008</v>
      </c>
      <c r="H77" s="159">
        <v>4.7152520000000004</v>
      </c>
      <c r="I77" s="159">
        <v>6.9211419999999997</v>
      </c>
      <c r="J77" s="159">
        <v>8.5589040000000001</v>
      </c>
      <c r="K77" s="159">
        <v>8.7907349999999997</v>
      </c>
      <c r="L77" s="159">
        <v>6.5276769999999997</v>
      </c>
      <c r="M77" s="159">
        <v>3.3561200000000002</v>
      </c>
      <c r="N77" s="159">
        <v>0.25790400000000002</v>
      </c>
      <c r="O77" s="159">
        <v>0.20356099999999999</v>
      </c>
      <c r="P77" s="11"/>
      <c r="Q77" s="29"/>
      <c r="R77" s="60"/>
    </row>
    <row r="78" spans="1:19" ht="12" customHeight="1">
      <c r="A78" s="10" t="s">
        <v>172</v>
      </c>
      <c r="B78" s="11" t="s">
        <v>3</v>
      </c>
      <c r="C78" s="155">
        <v>34.538578999999999</v>
      </c>
      <c r="D78" s="159">
        <v>8.6788000000000004E-2</v>
      </c>
      <c r="E78" s="159">
        <v>0.13885500000000001</v>
      </c>
      <c r="F78" s="159">
        <v>0.26242500000000002</v>
      </c>
      <c r="G78" s="159">
        <v>1.5464290000000001</v>
      </c>
      <c r="H78" s="159">
        <v>3.949408</v>
      </c>
      <c r="I78" s="159">
        <v>5.487247</v>
      </c>
      <c r="J78" s="159">
        <v>6.6776960000000001</v>
      </c>
      <c r="K78" s="159">
        <v>7.0776159999999999</v>
      </c>
      <c r="L78" s="159">
        <v>5.5568759999999999</v>
      </c>
      <c r="M78" s="159">
        <v>3.262893</v>
      </c>
      <c r="N78" s="159">
        <v>0.35009899999999999</v>
      </c>
      <c r="O78" s="159">
        <v>0.14224700000000001</v>
      </c>
      <c r="P78" s="11"/>
      <c r="Q78" s="29"/>
      <c r="R78" s="60"/>
    </row>
    <row r="79" spans="1:19" ht="12" customHeight="1">
      <c r="A79" s="10" t="s">
        <v>173</v>
      </c>
      <c r="B79" s="11" t="s">
        <v>174</v>
      </c>
      <c r="C79" s="155">
        <v>3.8528669999999998</v>
      </c>
      <c r="D79" s="159">
        <v>6.5070000000000003E-2</v>
      </c>
      <c r="E79" s="159">
        <v>5.9632999999999999E-2</v>
      </c>
      <c r="F79" s="159">
        <v>7.9086000000000004E-2</v>
      </c>
      <c r="G79" s="159">
        <v>0.11097899999999999</v>
      </c>
      <c r="H79" s="159">
        <v>0.215923</v>
      </c>
      <c r="I79" s="159">
        <v>0.56363200000000002</v>
      </c>
      <c r="J79" s="159">
        <v>0.90576199999999996</v>
      </c>
      <c r="K79" s="159">
        <v>1.0165470000000001</v>
      </c>
      <c r="L79" s="159">
        <v>0.533586</v>
      </c>
      <c r="M79" s="159">
        <v>0.125973</v>
      </c>
      <c r="N79" s="159">
        <v>8.4894999999999998E-2</v>
      </c>
      <c r="O79" s="159">
        <v>9.1781000000000001E-2</v>
      </c>
      <c r="P79" s="11"/>
      <c r="Q79" s="29"/>
      <c r="R79" s="60"/>
    </row>
    <row r="80" spans="1:19" ht="12" customHeight="1">
      <c r="A80" s="10" t="s">
        <v>175</v>
      </c>
      <c r="B80" s="11" t="s">
        <v>16</v>
      </c>
      <c r="C80" s="155">
        <v>18.109275</v>
      </c>
      <c r="D80" s="159">
        <v>0.24151500000000001</v>
      </c>
      <c r="E80" s="159">
        <v>0.26319399999999998</v>
      </c>
      <c r="F80" s="159">
        <v>0.31791199999999997</v>
      </c>
      <c r="G80" s="159">
        <v>0.63722800000000002</v>
      </c>
      <c r="H80" s="159">
        <v>1.2370650000000001</v>
      </c>
      <c r="I80" s="159">
        <v>2.6608160000000001</v>
      </c>
      <c r="J80" s="159">
        <v>4.0229489999999997</v>
      </c>
      <c r="K80" s="159">
        <v>4.466736</v>
      </c>
      <c r="L80" s="159">
        <v>2.6948750000000001</v>
      </c>
      <c r="M80" s="159">
        <v>0.86137699999999995</v>
      </c>
      <c r="N80" s="159">
        <v>0.32768599999999998</v>
      </c>
      <c r="O80" s="159">
        <v>0.37792199999999998</v>
      </c>
      <c r="P80" s="11"/>
      <c r="Q80" s="29"/>
      <c r="R80" s="60"/>
    </row>
    <row r="81" spans="1:18" ht="12" customHeight="1">
      <c r="A81" s="10" t="s">
        <v>176</v>
      </c>
      <c r="B81" s="11" t="s">
        <v>20</v>
      </c>
      <c r="C81" s="155">
        <v>0.34255799999999997</v>
      </c>
      <c r="D81" s="159">
        <v>2.2953999999999999E-2</v>
      </c>
      <c r="E81" s="159">
        <v>1.6632999999999998E-2</v>
      </c>
      <c r="F81" s="159">
        <v>2.4662E-2</v>
      </c>
      <c r="G81" s="159">
        <v>2.436E-2</v>
      </c>
      <c r="H81" s="159">
        <v>2.1707000000000001E-2</v>
      </c>
      <c r="I81" s="159">
        <v>2.5232999999999998E-2</v>
      </c>
      <c r="J81" s="159">
        <v>3.0688E-2</v>
      </c>
      <c r="K81" s="159">
        <v>4.0023000000000003E-2</v>
      </c>
      <c r="L81" s="159">
        <v>2.7116000000000001E-2</v>
      </c>
      <c r="M81" s="159">
        <v>5.2753000000000001E-2</v>
      </c>
      <c r="N81" s="159">
        <v>2.1479999999999999E-2</v>
      </c>
      <c r="O81" s="159">
        <v>3.4949000000000001E-2</v>
      </c>
      <c r="P81" s="11"/>
      <c r="Q81" s="29"/>
      <c r="R81" s="60"/>
    </row>
    <row r="82" spans="1:18" ht="12" customHeight="1">
      <c r="A82" s="10" t="s">
        <v>177</v>
      </c>
      <c r="B82" s="11" t="s">
        <v>10</v>
      </c>
      <c r="C82" s="155">
        <v>3.0588920000000002</v>
      </c>
      <c r="D82" s="159">
        <v>9.1344999999999996E-2</v>
      </c>
      <c r="E82" s="159">
        <v>6.7030999999999993E-2</v>
      </c>
      <c r="F82" s="159">
        <v>0.101244</v>
      </c>
      <c r="G82" s="159">
        <v>0.14627100000000001</v>
      </c>
      <c r="H82" s="159">
        <v>0.23114699999999999</v>
      </c>
      <c r="I82" s="159">
        <v>0.398393</v>
      </c>
      <c r="J82" s="159">
        <v>0.56879599999999997</v>
      </c>
      <c r="K82" s="159">
        <v>0.668987</v>
      </c>
      <c r="L82" s="159">
        <v>0.41610799999999998</v>
      </c>
      <c r="M82" s="159">
        <v>0.17033300000000001</v>
      </c>
      <c r="N82" s="159">
        <v>7.6767000000000002E-2</v>
      </c>
      <c r="O82" s="159">
        <v>0.12247</v>
      </c>
      <c r="P82" s="11"/>
      <c r="Q82" s="29"/>
      <c r="R82" s="60"/>
    </row>
    <row r="83" spans="1:18" ht="12" customHeight="1">
      <c r="A83" s="10" t="s">
        <v>178</v>
      </c>
      <c r="B83" s="11" t="s">
        <v>4</v>
      </c>
      <c r="C83" s="155">
        <v>4.0861989999999997</v>
      </c>
      <c r="D83" s="159">
        <v>0.106448</v>
      </c>
      <c r="E83" s="159">
        <v>9.1009999999999994E-2</v>
      </c>
      <c r="F83" s="159">
        <v>0.15088199999999999</v>
      </c>
      <c r="G83" s="159">
        <v>0.19791800000000001</v>
      </c>
      <c r="H83" s="159">
        <v>0.307116</v>
      </c>
      <c r="I83" s="159">
        <v>0.51151999999999997</v>
      </c>
      <c r="J83" s="159">
        <v>0.82638500000000004</v>
      </c>
      <c r="K83" s="159">
        <v>0.99607199999999996</v>
      </c>
      <c r="L83" s="159">
        <v>0.46925899999999998</v>
      </c>
      <c r="M83" s="159">
        <v>0.15352099999999999</v>
      </c>
      <c r="N83" s="159">
        <v>9.1883999999999993E-2</v>
      </c>
      <c r="O83" s="159">
        <v>0.18418399999999999</v>
      </c>
      <c r="P83" s="11"/>
      <c r="Q83" s="29"/>
      <c r="R83" s="60"/>
    </row>
    <row r="84" spans="1:18" ht="12" customHeight="1">
      <c r="A84" s="10" t="s">
        <v>179</v>
      </c>
      <c r="B84" s="11" t="s">
        <v>9</v>
      </c>
      <c r="C84" s="155">
        <v>20.524699999999999</v>
      </c>
      <c r="D84" s="159">
        <v>2.0747999999999999E-2</v>
      </c>
      <c r="E84" s="159">
        <v>3.7723E-2</v>
      </c>
      <c r="F84" s="159">
        <v>4.3846000000000003E-2</v>
      </c>
      <c r="G84" s="159">
        <v>0.56549499999999997</v>
      </c>
      <c r="H84" s="159">
        <v>2.1235569999999999</v>
      </c>
      <c r="I84" s="159">
        <v>3.402431</v>
      </c>
      <c r="J84" s="159">
        <v>4.6622120000000002</v>
      </c>
      <c r="K84" s="159">
        <v>4.9718419999999997</v>
      </c>
      <c r="L84" s="159">
        <v>3.4991910000000002</v>
      </c>
      <c r="M84" s="159">
        <v>1.085936</v>
      </c>
      <c r="N84" s="159">
        <v>5.5487000000000002E-2</v>
      </c>
      <c r="O84" s="159">
        <v>5.6231999999999997E-2</v>
      </c>
      <c r="P84" s="11"/>
      <c r="Q84" s="29"/>
      <c r="R84" s="60"/>
    </row>
    <row r="85" spans="1:18" ht="12" customHeight="1">
      <c r="A85" s="10" t="s">
        <v>180</v>
      </c>
      <c r="B85" s="11" t="s">
        <v>515</v>
      </c>
      <c r="C85" s="155">
        <v>2.349307</v>
      </c>
      <c r="D85" s="159">
        <v>5.9082000000000003E-2</v>
      </c>
      <c r="E85" s="159">
        <v>6.9557999999999995E-2</v>
      </c>
      <c r="F85" s="159">
        <v>0.109595</v>
      </c>
      <c r="G85" s="159">
        <v>0.13977200000000001</v>
      </c>
      <c r="H85" s="159">
        <v>0.19076399999999999</v>
      </c>
      <c r="I85" s="159">
        <v>0.27424700000000002</v>
      </c>
      <c r="J85" s="159">
        <v>0.37173</v>
      </c>
      <c r="K85" s="159">
        <v>0.462204</v>
      </c>
      <c r="L85" s="159">
        <v>0.30444199999999999</v>
      </c>
      <c r="M85" s="159">
        <v>0.18093300000000001</v>
      </c>
      <c r="N85" s="159">
        <v>0.11472400000000001</v>
      </c>
      <c r="O85" s="159">
        <v>7.2256000000000001E-2</v>
      </c>
      <c r="P85" s="11"/>
      <c r="Q85" s="29"/>
      <c r="R85" s="60"/>
    </row>
    <row r="86" spans="1:18" ht="12" customHeight="1">
      <c r="A86" s="10" t="s">
        <v>181</v>
      </c>
      <c r="B86" s="11" t="s">
        <v>516</v>
      </c>
      <c r="C86" s="155">
        <v>2.943924</v>
      </c>
      <c r="D86" s="159">
        <v>0.10004</v>
      </c>
      <c r="E86" s="159">
        <v>8.7103E-2</v>
      </c>
      <c r="F86" s="159">
        <v>0.12002</v>
      </c>
      <c r="G86" s="159">
        <v>0.17812800000000001</v>
      </c>
      <c r="H86" s="159">
        <v>0.200623</v>
      </c>
      <c r="I86" s="159">
        <v>0.34364899999999998</v>
      </c>
      <c r="J86" s="159">
        <v>0.51801399999999997</v>
      </c>
      <c r="K86" s="159">
        <v>0.70342899999999997</v>
      </c>
      <c r="L86" s="159">
        <v>0.36623800000000001</v>
      </c>
      <c r="M86" s="159">
        <v>0.16553000000000001</v>
      </c>
      <c r="N86" s="159">
        <v>6.3794000000000003E-2</v>
      </c>
      <c r="O86" s="159">
        <v>9.7355999999999998E-2</v>
      </c>
      <c r="P86" s="11"/>
      <c r="Q86" s="29"/>
      <c r="R86" s="60"/>
    </row>
    <row r="87" spans="1:18" ht="12" customHeight="1">
      <c r="A87" s="10" t="s">
        <v>182</v>
      </c>
      <c r="B87" s="11" t="s">
        <v>183</v>
      </c>
      <c r="C87" s="155">
        <v>5.9106310000000004</v>
      </c>
      <c r="D87" s="159">
        <v>0.10814600000000001</v>
      </c>
      <c r="E87" s="159">
        <v>0.117628</v>
      </c>
      <c r="F87" s="159">
        <v>0.243919</v>
      </c>
      <c r="G87" s="159">
        <v>0.39891199999999999</v>
      </c>
      <c r="H87" s="159">
        <v>0.48754599999999998</v>
      </c>
      <c r="I87" s="159">
        <v>0.70535099999999995</v>
      </c>
      <c r="J87" s="159">
        <v>1.0493950000000001</v>
      </c>
      <c r="K87" s="159">
        <v>1.3457619999999999</v>
      </c>
      <c r="L87" s="159">
        <v>0.78515599999999997</v>
      </c>
      <c r="M87" s="159">
        <v>0.39235399999999998</v>
      </c>
      <c r="N87" s="159">
        <v>0.14254800000000001</v>
      </c>
      <c r="O87" s="159">
        <v>0.13391400000000001</v>
      </c>
      <c r="P87" s="11"/>
      <c r="Q87" s="29"/>
      <c r="R87" s="60"/>
    </row>
    <row r="88" spans="1:18" ht="12" customHeight="1">
      <c r="A88" s="10" t="s">
        <v>184</v>
      </c>
      <c r="B88" s="11" t="s">
        <v>2</v>
      </c>
      <c r="C88" s="155">
        <v>13.305878999999999</v>
      </c>
      <c r="D88" s="159">
        <v>0.35620499999999999</v>
      </c>
      <c r="E88" s="159">
        <v>0.411443</v>
      </c>
      <c r="F88" s="159">
        <v>0.69319600000000003</v>
      </c>
      <c r="G88" s="159">
        <v>0.82724699999999995</v>
      </c>
      <c r="H88" s="159">
        <v>1.156442</v>
      </c>
      <c r="I88" s="159">
        <v>1.336649</v>
      </c>
      <c r="J88" s="159">
        <v>2.0154719999999999</v>
      </c>
      <c r="K88" s="159">
        <v>2.66757</v>
      </c>
      <c r="L88" s="159">
        <v>1.5440100000000001</v>
      </c>
      <c r="M88" s="159">
        <v>1.091542</v>
      </c>
      <c r="N88" s="159">
        <v>0.65554000000000001</v>
      </c>
      <c r="O88" s="159">
        <v>0.55056300000000002</v>
      </c>
      <c r="P88" s="11"/>
      <c r="Q88" s="29"/>
      <c r="R88" s="60"/>
    </row>
    <row r="89" spans="1:18" ht="12" customHeight="1">
      <c r="A89" s="10" t="s">
        <v>185</v>
      </c>
      <c r="B89" s="11" t="s">
        <v>5</v>
      </c>
      <c r="C89" s="155">
        <v>6.6896699999999996</v>
      </c>
      <c r="D89" s="159">
        <v>0.174066</v>
      </c>
      <c r="E89" s="159">
        <v>0.18389800000000001</v>
      </c>
      <c r="F89" s="159">
        <v>0.39054699999999998</v>
      </c>
      <c r="G89" s="159">
        <v>0.34781800000000002</v>
      </c>
      <c r="H89" s="159">
        <v>0.46547899999999998</v>
      </c>
      <c r="I89" s="159">
        <v>0.61850400000000005</v>
      </c>
      <c r="J89" s="159">
        <v>1.204885</v>
      </c>
      <c r="K89" s="159">
        <v>1.6046400000000001</v>
      </c>
      <c r="L89" s="159">
        <v>0.74012500000000003</v>
      </c>
      <c r="M89" s="159">
        <v>0.43031599999999998</v>
      </c>
      <c r="N89" s="159">
        <v>0.28160499999999999</v>
      </c>
      <c r="O89" s="159">
        <v>0.24778700000000001</v>
      </c>
      <c r="P89" s="11"/>
      <c r="Q89" s="29"/>
      <c r="R89" s="60"/>
    </row>
    <row r="90" spans="1:18" ht="12" customHeight="1">
      <c r="A90" s="10" t="s">
        <v>186</v>
      </c>
      <c r="B90" s="11" t="s">
        <v>14</v>
      </c>
      <c r="C90" s="155">
        <v>6.1127039999999999</v>
      </c>
      <c r="D90" s="159">
        <v>0.113925</v>
      </c>
      <c r="E90" s="159">
        <v>0.12742000000000001</v>
      </c>
      <c r="F90" s="159">
        <v>0.34754699999999999</v>
      </c>
      <c r="G90" s="159">
        <v>0.37830599999999998</v>
      </c>
      <c r="H90" s="159">
        <v>0.48941000000000001</v>
      </c>
      <c r="I90" s="159">
        <v>0.60362099999999996</v>
      </c>
      <c r="J90" s="159">
        <v>1.243908</v>
      </c>
      <c r="K90" s="159">
        <v>1.4761340000000001</v>
      </c>
      <c r="L90" s="159">
        <v>0.66228200000000004</v>
      </c>
      <c r="M90" s="159">
        <v>0.31226399999999999</v>
      </c>
      <c r="N90" s="159">
        <v>0.19964199999999999</v>
      </c>
      <c r="O90" s="159">
        <v>0.158245</v>
      </c>
      <c r="P90" s="11"/>
      <c r="Q90" s="29"/>
      <c r="R90" s="60"/>
    </row>
    <row r="91" spans="1:18" ht="12" customHeight="1">
      <c r="A91" s="10" t="s">
        <v>187</v>
      </c>
      <c r="B91" s="11" t="s">
        <v>8</v>
      </c>
      <c r="C91" s="155">
        <v>10.253107</v>
      </c>
      <c r="D91" s="159">
        <v>0.45336500000000002</v>
      </c>
      <c r="E91" s="159">
        <v>0.50029199999999996</v>
      </c>
      <c r="F91" s="159">
        <v>0.74477599999999999</v>
      </c>
      <c r="G91" s="159">
        <v>0.78300800000000004</v>
      </c>
      <c r="H91" s="159">
        <v>0.92379100000000003</v>
      </c>
      <c r="I91" s="159">
        <v>0.92878000000000005</v>
      </c>
      <c r="J91" s="159">
        <v>1.2557700000000001</v>
      </c>
      <c r="K91" s="159">
        <v>1.460995</v>
      </c>
      <c r="L91" s="159">
        <v>1.0120150000000001</v>
      </c>
      <c r="M91" s="159">
        <v>0.90055099999999999</v>
      </c>
      <c r="N91" s="159">
        <v>0.68554400000000004</v>
      </c>
      <c r="O91" s="159">
        <v>0.60421999999999998</v>
      </c>
      <c r="P91" s="11"/>
      <c r="Q91" s="29"/>
      <c r="R91" s="60"/>
    </row>
    <row r="92" spans="1:18" ht="12" customHeight="1">
      <c r="A92" s="10" t="s">
        <v>188</v>
      </c>
      <c r="B92" s="11" t="s">
        <v>189</v>
      </c>
      <c r="C92" s="155">
        <v>4.08263</v>
      </c>
      <c r="D92" s="159">
        <v>0.140622</v>
      </c>
      <c r="E92" s="159">
        <v>0.15800800000000001</v>
      </c>
      <c r="F92" s="159">
        <v>0.270735</v>
      </c>
      <c r="G92" s="159">
        <v>0.31323400000000001</v>
      </c>
      <c r="H92" s="159">
        <v>0.38421100000000002</v>
      </c>
      <c r="I92" s="159">
        <v>0.35747400000000001</v>
      </c>
      <c r="J92" s="159">
        <v>0.53750299999999995</v>
      </c>
      <c r="K92" s="159">
        <v>0.69740800000000003</v>
      </c>
      <c r="L92" s="159">
        <v>0.41072900000000001</v>
      </c>
      <c r="M92" s="159">
        <v>0.356099</v>
      </c>
      <c r="N92" s="159">
        <v>0.24040700000000001</v>
      </c>
      <c r="O92" s="159">
        <v>0.2162</v>
      </c>
      <c r="P92" s="11"/>
      <c r="Q92" s="29"/>
      <c r="R92" s="60"/>
    </row>
    <row r="93" spans="1:18" ht="12" customHeight="1">
      <c r="A93" s="10" t="s">
        <v>190</v>
      </c>
      <c r="B93" s="11" t="s">
        <v>191</v>
      </c>
      <c r="C93" s="155">
        <v>1.6758649999999999</v>
      </c>
      <c r="D93" s="159">
        <v>5.3303000000000003E-2</v>
      </c>
      <c r="E93" s="159">
        <v>7.0968000000000003E-2</v>
      </c>
      <c r="F93" s="159">
        <v>0.129913</v>
      </c>
      <c r="G93" s="159">
        <v>0.124435</v>
      </c>
      <c r="H93" s="159">
        <v>0.14970700000000001</v>
      </c>
      <c r="I93" s="159">
        <v>0.150175</v>
      </c>
      <c r="J93" s="159">
        <v>0.22165899999999999</v>
      </c>
      <c r="K93" s="159">
        <v>0.28379900000000002</v>
      </c>
      <c r="L93" s="159">
        <v>0.15890499999999999</v>
      </c>
      <c r="M93" s="159">
        <v>0.13664100000000001</v>
      </c>
      <c r="N93" s="159">
        <v>0.107789</v>
      </c>
      <c r="O93" s="159">
        <v>8.8570999999999997E-2</v>
      </c>
      <c r="P93" s="11"/>
      <c r="Q93" s="29"/>
      <c r="R93" s="60"/>
    </row>
    <row r="94" spans="1:18" ht="12" customHeight="1">
      <c r="A94" s="10" t="s">
        <v>192</v>
      </c>
      <c r="B94" s="11" t="s">
        <v>193</v>
      </c>
      <c r="C94" s="155">
        <v>8.6643899999999991</v>
      </c>
      <c r="D94" s="159">
        <v>0.453009</v>
      </c>
      <c r="E94" s="159">
        <v>0.53149800000000003</v>
      </c>
      <c r="F94" s="159">
        <v>0.70979599999999998</v>
      </c>
      <c r="G94" s="159">
        <v>0.57255199999999995</v>
      </c>
      <c r="H94" s="159">
        <v>0.67590600000000001</v>
      </c>
      <c r="I94" s="159">
        <v>0.73035499999999998</v>
      </c>
      <c r="J94" s="159">
        <v>1.0755710000000001</v>
      </c>
      <c r="K94" s="159">
        <v>1.5096430000000001</v>
      </c>
      <c r="L94" s="159">
        <v>0.73346900000000004</v>
      </c>
      <c r="M94" s="159">
        <v>0.65251800000000004</v>
      </c>
      <c r="N94" s="159">
        <v>0.49382900000000002</v>
      </c>
      <c r="O94" s="159">
        <v>0.52624400000000005</v>
      </c>
      <c r="P94" s="11"/>
      <c r="Q94" s="29"/>
      <c r="R94" s="60"/>
    </row>
    <row r="95" spans="1:18" ht="12" customHeight="1">
      <c r="A95" s="10" t="s">
        <v>194</v>
      </c>
      <c r="B95" s="11" t="s">
        <v>11</v>
      </c>
      <c r="C95" s="155">
        <v>32.320998000000003</v>
      </c>
      <c r="D95" s="159">
        <v>2.1590240000000001</v>
      </c>
      <c r="E95" s="159">
        <v>2.286921</v>
      </c>
      <c r="F95" s="159">
        <v>2.7134619999999998</v>
      </c>
      <c r="G95" s="159">
        <v>2.7576700000000001</v>
      </c>
      <c r="H95" s="159">
        <v>2.9516089999999999</v>
      </c>
      <c r="I95" s="159">
        <v>2.840465</v>
      </c>
      <c r="J95" s="159">
        <v>2.8796879999999998</v>
      </c>
      <c r="K95" s="159">
        <v>2.6047889999999998</v>
      </c>
      <c r="L95" s="159">
        <v>2.8208700000000002</v>
      </c>
      <c r="M95" s="159">
        <v>2.999914</v>
      </c>
      <c r="N95" s="159">
        <v>2.7078500000000001</v>
      </c>
      <c r="O95" s="159">
        <v>2.5987360000000002</v>
      </c>
      <c r="P95" s="11"/>
      <c r="Q95" s="29"/>
      <c r="R95" s="60"/>
    </row>
    <row r="96" spans="1:18" ht="12" customHeight="1">
      <c r="A96" s="10" t="s">
        <v>195</v>
      </c>
      <c r="B96" s="11" t="s">
        <v>196</v>
      </c>
      <c r="C96" s="155">
        <v>13.063897000000001</v>
      </c>
      <c r="D96" s="159">
        <v>0.54485499999999998</v>
      </c>
      <c r="E96" s="159">
        <v>0.64938399999999996</v>
      </c>
      <c r="F96" s="159">
        <v>0.99089899999999997</v>
      </c>
      <c r="G96" s="159">
        <v>0.97532200000000002</v>
      </c>
      <c r="H96" s="159">
        <v>1.182572</v>
      </c>
      <c r="I96" s="159">
        <v>1.192034</v>
      </c>
      <c r="J96" s="159">
        <v>1.5498609999999999</v>
      </c>
      <c r="K96" s="159">
        <v>1.8263240000000001</v>
      </c>
      <c r="L96" s="159">
        <v>1.262939</v>
      </c>
      <c r="M96" s="159">
        <v>1.1468480000000001</v>
      </c>
      <c r="N96" s="159">
        <v>0.91194699999999995</v>
      </c>
      <c r="O96" s="159">
        <v>0.83091199999999998</v>
      </c>
      <c r="P96" s="11"/>
      <c r="Q96" s="29"/>
      <c r="R96" s="60"/>
    </row>
    <row r="97" spans="1:18" ht="12" customHeight="1">
      <c r="A97" s="10" t="s">
        <v>197</v>
      </c>
      <c r="B97" s="11" t="s">
        <v>517</v>
      </c>
      <c r="C97" s="155">
        <v>5.956715</v>
      </c>
      <c r="D97" s="159">
        <v>0.27318799999999999</v>
      </c>
      <c r="E97" s="159">
        <v>0.33517799999999998</v>
      </c>
      <c r="F97" s="159">
        <v>0.472721</v>
      </c>
      <c r="G97" s="159">
        <v>0.48458699999999999</v>
      </c>
      <c r="H97" s="159">
        <v>0.55242100000000005</v>
      </c>
      <c r="I97" s="159">
        <v>0.53622599999999998</v>
      </c>
      <c r="J97" s="159">
        <v>0.64005599999999996</v>
      </c>
      <c r="K97" s="159">
        <v>0.70608400000000004</v>
      </c>
      <c r="L97" s="159">
        <v>0.51093</v>
      </c>
      <c r="M97" s="159">
        <v>0.58490699999999995</v>
      </c>
      <c r="N97" s="159">
        <v>0.45065300000000003</v>
      </c>
      <c r="O97" s="159">
        <v>0.40976400000000002</v>
      </c>
      <c r="P97" s="11"/>
      <c r="Q97" s="29"/>
      <c r="R97" s="60"/>
    </row>
    <row r="98" spans="1:18" ht="12" customHeight="1">
      <c r="A98" s="10" t="s">
        <v>198</v>
      </c>
      <c r="B98" s="11" t="s">
        <v>199</v>
      </c>
      <c r="C98" s="155">
        <v>4.0815099999999997</v>
      </c>
      <c r="D98" s="159">
        <v>0.17471500000000001</v>
      </c>
      <c r="E98" s="159">
        <v>0.22155</v>
      </c>
      <c r="F98" s="159">
        <v>0.339059</v>
      </c>
      <c r="G98" s="159">
        <v>0.355406</v>
      </c>
      <c r="H98" s="159">
        <v>0.379965</v>
      </c>
      <c r="I98" s="159">
        <v>0.35211199999999998</v>
      </c>
      <c r="J98" s="159">
        <v>0.420076</v>
      </c>
      <c r="K98" s="159">
        <v>0.54325599999999996</v>
      </c>
      <c r="L98" s="159">
        <v>0.38464700000000002</v>
      </c>
      <c r="M98" s="159">
        <v>0.34684999999999999</v>
      </c>
      <c r="N98" s="159">
        <v>0.29553800000000002</v>
      </c>
      <c r="O98" s="159">
        <v>0.26833600000000002</v>
      </c>
      <c r="P98" s="11"/>
      <c r="Q98" s="29"/>
      <c r="R98" s="60"/>
    </row>
    <row r="99" spans="1:18" ht="12" customHeight="1">
      <c r="A99" s="10" t="s">
        <v>200</v>
      </c>
      <c r="B99" s="11" t="s">
        <v>201</v>
      </c>
      <c r="C99" s="155">
        <v>88.670687999999998</v>
      </c>
      <c r="D99" s="159">
        <v>2.6986460000000001</v>
      </c>
      <c r="E99" s="159">
        <v>3.1975210000000001</v>
      </c>
      <c r="F99" s="159">
        <v>4.9851679999999998</v>
      </c>
      <c r="G99" s="159">
        <v>6.072921</v>
      </c>
      <c r="H99" s="159">
        <v>8.7414930000000002</v>
      </c>
      <c r="I99" s="159">
        <v>10.376663000000001</v>
      </c>
      <c r="J99" s="159">
        <v>14.047727999999999</v>
      </c>
      <c r="K99" s="159">
        <v>15.87501</v>
      </c>
      <c r="L99" s="159">
        <v>9.7677820000000004</v>
      </c>
      <c r="M99" s="159">
        <v>6.6228619999999996</v>
      </c>
      <c r="N99" s="159">
        <v>3.2776450000000001</v>
      </c>
      <c r="O99" s="159">
        <v>3.0072489999999998</v>
      </c>
      <c r="P99" s="11"/>
      <c r="Q99" s="29"/>
      <c r="R99" s="60"/>
    </row>
    <row r="100" spans="1:18" ht="12" customHeight="1">
      <c r="A100" s="10" t="s">
        <v>202</v>
      </c>
      <c r="B100" s="11" t="s">
        <v>203</v>
      </c>
      <c r="C100" s="155">
        <v>53.662342000000002</v>
      </c>
      <c r="D100" s="159">
        <v>2.6160130000000001</v>
      </c>
      <c r="E100" s="159">
        <v>2.992292</v>
      </c>
      <c r="F100" s="159">
        <v>3.9967000000000001</v>
      </c>
      <c r="G100" s="159">
        <v>3.958434</v>
      </c>
      <c r="H100" s="159">
        <v>4.5395709999999996</v>
      </c>
      <c r="I100" s="159">
        <v>5.173972</v>
      </c>
      <c r="J100" s="159">
        <v>6.868169</v>
      </c>
      <c r="K100" s="159">
        <v>8.0181740000000001</v>
      </c>
      <c r="L100" s="159">
        <v>5.2481309999999999</v>
      </c>
      <c r="M100" s="159">
        <v>4.4352140000000002</v>
      </c>
      <c r="N100" s="159">
        <v>3.0369570000000001</v>
      </c>
      <c r="O100" s="159">
        <v>2.778715</v>
      </c>
      <c r="P100" s="11"/>
      <c r="Q100" s="29"/>
      <c r="R100" s="60"/>
    </row>
    <row r="101" spans="1:18" ht="12" customHeight="1">
      <c r="A101" s="10" t="s">
        <v>204</v>
      </c>
      <c r="B101" s="11" t="s">
        <v>6</v>
      </c>
      <c r="C101" s="155">
        <v>73.845220999999995</v>
      </c>
      <c r="D101" s="159">
        <v>0.27413900000000002</v>
      </c>
      <c r="E101" s="159">
        <v>0.65015900000000004</v>
      </c>
      <c r="F101" s="159">
        <v>1.874493</v>
      </c>
      <c r="G101" s="159">
        <v>3.8330320000000002</v>
      </c>
      <c r="H101" s="159">
        <v>9.5281909999999996</v>
      </c>
      <c r="I101" s="159">
        <v>11.282724</v>
      </c>
      <c r="J101" s="159">
        <v>12.900921</v>
      </c>
      <c r="K101" s="159">
        <v>13.550855</v>
      </c>
      <c r="L101" s="159">
        <v>11.040407</v>
      </c>
      <c r="M101" s="159">
        <v>8.0329099999999993</v>
      </c>
      <c r="N101" s="159">
        <v>0.49259799999999998</v>
      </c>
      <c r="O101" s="159">
        <v>0.38479200000000002</v>
      </c>
      <c r="P101" s="11"/>
      <c r="Q101" s="29"/>
      <c r="R101" s="60"/>
    </row>
    <row r="102" spans="1:18" ht="12" customHeight="1">
      <c r="A102" s="10" t="s">
        <v>205</v>
      </c>
      <c r="B102" s="11" t="s">
        <v>206</v>
      </c>
      <c r="C102" s="155">
        <v>77.311220000000006</v>
      </c>
      <c r="D102" s="159">
        <v>3.4671690000000002</v>
      </c>
      <c r="E102" s="159">
        <v>4.264132</v>
      </c>
      <c r="F102" s="159">
        <v>5.6794599999999997</v>
      </c>
      <c r="G102" s="159">
        <v>6.3264829999999996</v>
      </c>
      <c r="H102" s="159">
        <v>7.3841900000000003</v>
      </c>
      <c r="I102" s="159">
        <v>7.7222710000000001</v>
      </c>
      <c r="J102" s="159">
        <v>9.2402069999999998</v>
      </c>
      <c r="K102" s="159">
        <v>10.684142</v>
      </c>
      <c r="L102" s="159">
        <v>8.0355519999999991</v>
      </c>
      <c r="M102" s="159">
        <v>6.642258</v>
      </c>
      <c r="N102" s="159">
        <v>4.1900139999999997</v>
      </c>
      <c r="O102" s="159">
        <v>3.6753420000000001</v>
      </c>
      <c r="P102" s="11"/>
      <c r="Q102" s="29"/>
      <c r="R102" s="60"/>
    </row>
    <row r="103" spans="1:18" ht="12" customHeight="1">
      <c r="A103" s="10" t="s">
        <v>207</v>
      </c>
      <c r="B103" s="11" t="s">
        <v>208</v>
      </c>
      <c r="C103" s="155">
        <v>5.7105649999999999</v>
      </c>
      <c r="D103" s="159">
        <v>0.30495100000000003</v>
      </c>
      <c r="E103" s="159">
        <v>0.37922499999999998</v>
      </c>
      <c r="F103" s="159">
        <v>0.473076</v>
      </c>
      <c r="G103" s="159">
        <v>0.40090199999999998</v>
      </c>
      <c r="H103" s="159">
        <v>0.44212499999999999</v>
      </c>
      <c r="I103" s="159">
        <v>0.49318499999999998</v>
      </c>
      <c r="J103" s="159">
        <v>0.70402799999999999</v>
      </c>
      <c r="K103" s="159">
        <v>0.86263999999999996</v>
      </c>
      <c r="L103" s="159">
        <v>0.51384399999999997</v>
      </c>
      <c r="M103" s="159">
        <v>0.44803799999999999</v>
      </c>
      <c r="N103" s="159">
        <v>0.36122300000000002</v>
      </c>
      <c r="O103" s="159">
        <v>0.32732800000000001</v>
      </c>
      <c r="P103" s="11"/>
      <c r="Q103" s="29"/>
      <c r="R103" s="60"/>
    </row>
    <row r="104" spans="1:18" ht="12" customHeight="1">
      <c r="A104" s="10" t="s">
        <v>209</v>
      </c>
      <c r="B104" s="11" t="s">
        <v>210</v>
      </c>
      <c r="C104" s="155">
        <v>0.13458400000000001</v>
      </c>
      <c r="D104" s="159">
        <v>8.5059999999999997E-3</v>
      </c>
      <c r="E104" s="159">
        <v>8.3300000000000006E-3</v>
      </c>
      <c r="F104" s="159">
        <v>1.1096E-2</v>
      </c>
      <c r="G104" s="159">
        <v>1.4455000000000001E-2</v>
      </c>
      <c r="H104" s="159">
        <v>1.0451E-2</v>
      </c>
      <c r="I104" s="159">
        <v>1.1408E-2</v>
      </c>
      <c r="J104" s="159">
        <v>1.2964E-2</v>
      </c>
      <c r="K104" s="159">
        <v>1.7714000000000001E-2</v>
      </c>
      <c r="L104" s="159">
        <v>9.979E-3</v>
      </c>
      <c r="M104" s="159">
        <v>1.0832E-2</v>
      </c>
      <c r="N104" s="159">
        <v>9.1610000000000007E-3</v>
      </c>
      <c r="O104" s="159">
        <v>9.6880000000000004E-3</v>
      </c>
      <c r="P104" s="11"/>
      <c r="Q104" s="29"/>
      <c r="R104" s="60"/>
    </row>
    <row r="105" spans="1:18" ht="12" customHeight="1">
      <c r="A105" s="10" t="s">
        <v>211</v>
      </c>
      <c r="B105" s="11" t="s">
        <v>212</v>
      </c>
      <c r="C105" s="155">
        <v>0.13381999999999999</v>
      </c>
      <c r="D105" s="159">
        <v>8.1300000000000001E-3</v>
      </c>
      <c r="E105" s="159">
        <v>9.4789999999999996E-3</v>
      </c>
      <c r="F105" s="159">
        <v>9.5610000000000001E-3</v>
      </c>
      <c r="G105" s="159">
        <v>1.0661E-2</v>
      </c>
      <c r="H105" s="159">
        <v>1.1908999999999999E-2</v>
      </c>
      <c r="I105" s="159">
        <v>1.3091999999999999E-2</v>
      </c>
      <c r="J105" s="159">
        <v>1.0063000000000001E-2</v>
      </c>
      <c r="K105" s="159">
        <v>1.5221999999999999E-2</v>
      </c>
      <c r="L105" s="159">
        <v>1.2793000000000001E-2</v>
      </c>
      <c r="M105" s="159">
        <v>1.2759E-2</v>
      </c>
      <c r="N105" s="159">
        <v>1.0677000000000001E-2</v>
      </c>
      <c r="O105" s="159">
        <v>9.4739999999999998E-3</v>
      </c>
      <c r="P105" s="11"/>
      <c r="Q105" s="29"/>
      <c r="R105" s="60"/>
    </row>
    <row r="106" spans="1:18" ht="12" customHeight="1">
      <c r="A106" s="10" t="s">
        <v>213</v>
      </c>
      <c r="B106" s="11" t="s">
        <v>25</v>
      </c>
      <c r="C106" s="155">
        <v>99.488819000000007</v>
      </c>
      <c r="D106" s="159">
        <v>8.5387830000000005</v>
      </c>
      <c r="E106" s="159">
        <v>8.2749009999999998</v>
      </c>
      <c r="F106" s="159">
        <v>8.8646530000000006</v>
      </c>
      <c r="G106" s="159">
        <v>7.5576179999999997</v>
      </c>
      <c r="H106" s="159">
        <v>7.2665940000000004</v>
      </c>
      <c r="I106" s="159">
        <v>7.5295389999999998</v>
      </c>
      <c r="J106" s="159">
        <v>8.6764670000000006</v>
      </c>
      <c r="K106" s="159">
        <v>9.3867779999999996</v>
      </c>
      <c r="L106" s="159">
        <v>7.9994730000000001</v>
      </c>
      <c r="M106" s="159">
        <v>8.7080470000000005</v>
      </c>
      <c r="N106" s="159">
        <v>8.3981929999999991</v>
      </c>
      <c r="O106" s="159">
        <v>8.2877729999999996</v>
      </c>
      <c r="P106" s="11"/>
      <c r="Q106" s="29"/>
      <c r="R106" s="60"/>
    </row>
    <row r="107" spans="1:18" ht="12" customHeight="1">
      <c r="A107" s="10" t="s">
        <v>214</v>
      </c>
      <c r="B107" s="11" t="s">
        <v>518</v>
      </c>
      <c r="C107" s="155">
        <v>83.679428000000001</v>
      </c>
      <c r="D107" s="159">
        <v>5.7394720000000001</v>
      </c>
      <c r="E107" s="159">
        <v>5.6015259999999998</v>
      </c>
      <c r="F107" s="159">
        <v>7.0011919999999996</v>
      </c>
      <c r="G107" s="159">
        <v>6.9726290000000004</v>
      </c>
      <c r="H107" s="159">
        <v>7.6509809999999998</v>
      </c>
      <c r="I107" s="159">
        <v>7.22384</v>
      </c>
      <c r="J107" s="159">
        <v>7.1440020000000004</v>
      </c>
      <c r="K107" s="159">
        <v>7.4007889999999996</v>
      </c>
      <c r="L107" s="159">
        <v>7.2958420000000004</v>
      </c>
      <c r="M107" s="159">
        <v>7.8415939999999997</v>
      </c>
      <c r="N107" s="159">
        <v>6.7017100000000003</v>
      </c>
      <c r="O107" s="159">
        <v>7.1058510000000004</v>
      </c>
      <c r="P107" s="11"/>
      <c r="Q107" s="29"/>
      <c r="R107" s="60"/>
    </row>
    <row r="108" spans="1:18" ht="12" customHeight="1">
      <c r="A108" s="10" t="s">
        <v>215</v>
      </c>
      <c r="B108" s="11" t="s">
        <v>3019</v>
      </c>
      <c r="C108" s="155">
        <v>10.232753000000001</v>
      </c>
      <c r="D108" s="159">
        <v>0.401341</v>
      </c>
      <c r="E108" s="159">
        <v>0.438245</v>
      </c>
      <c r="F108" s="159">
        <v>0.56614500000000001</v>
      </c>
      <c r="G108" s="159">
        <v>0.81683600000000001</v>
      </c>
      <c r="H108" s="159">
        <v>1.066503</v>
      </c>
      <c r="I108" s="159">
        <v>1.050826</v>
      </c>
      <c r="J108" s="159">
        <v>1.5801240000000001</v>
      </c>
      <c r="K108" s="159">
        <v>1.8097780000000001</v>
      </c>
      <c r="L108" s="159">
        <v>0.92936099999999999</v>
      </c>
      <c r="M108" s="159">
        <v>0.661134</v>
      </c>
      <c r="N108" s="159">
        <v>0.440002</v>
      </c>
      <c r="O108" s="159">
        <v>0.47245799999999999</v>
      </c>
      <c r="P108" s="11"/>
      <c r="Q108" s="29"/>
      <c r="R108" s="60"/>
    </row>
    <row r="109" spans="1:18" ht="12" customHeight="1">
      <c r="A109" s="10" t="s">
        <v>216</v>
      </c>
      <c r="B109" s="11" t="s">
        <v>217</v>
      </c>
      <c r="C109" s="155">
        <v>7.1373959999999999</v>
      </c>
      <c r="D109" s="159">
        <v>0.27946300000000002</v>
      </c>
      <c r="E109" s="159">
        <v>0.31572800000000001</v>
      </c>
      <c r="F109" s="159">
        <v>0.413883</v>
      </c>
      <c r="G109" s="159">
        <v>0.48287000000000002</v>
      </c>
      <c r="H109" s="159">
        <v>0.71413000000000004</v>
      </c>
      <c r="I109" s="159">
        <v>0.74988699999999997</v>
      </c>
      <c r="J109" s="159">
        <v>1.076203</v>
      </c>
      <c r="K109" s="159">
        <v>1.185562</v>
      </c>
      <c r="L109" s="159">
        <v>0.72403499999999998</v>
      </c>
      <c r="M109" s="159">
        <v>0.503409</v>
      </c>
      <c r="N109" s="159">
        <v>0.361209</v>
      </c>
      <c r="O109" s="159">
        <v>0.33101700000000001</v>
      </c>
      <c r="P109" s="11"/>
      <c r="Q109" s="29"/>
      <c r="R109" s="60"/>
    </row>
    <row r="110" spans="1:18" ht="12" customHeight="1">
      <c r="A110" s="10" t="s">
        <v>218</v>
      </c>
      <c r="B110" s="11" t="s">
        <v>219</v>
      </c>
      <c r="C110" s="155">
        <v>4.3376999999999999</v>
      </c>
      <c r="D110" s="159">
        <v>0.16996800000000001</v>
      </c>
      <c r="E110" s="159">
        <v>0.19178600000000001</v>
      </c>
      <c r="F110" s="159">
        <v>0.201233</v>
      </c>
      <c r="G110" s="159">
        <v>0.197299</v>
      </c>
      <c r="H110" s="159">
        <v>0.43443199999999998</v>
      </c>
      <c r="I110" s="159">
        <v>0.412825</v>
      </c>
      <c r="J110" s="159">
        <v>0.84212500000000001</v>
      </c>
      <c r="K110" s="159">
        <v>1.0213080000000001</v>
      </c>
      <c r="L110" s="159">
        <v>0.35666100000000001</v>
      </c>
      <c r="M110" s="159">
        <v>0.205708</v>
      </c>
      <c r="N110" s="159">
        <v>0.144287</v>
      </c>
      <c r="O110" s="159">
        <v>0.16006799999999999</v>
      </c>
      <c r="P110" s="11"/>
      <c r="Q110" s="29"/>
      <c r="R110" s="60"/>
    </row>
    <row r="111" spans="1:18" ht="12" customHeight="1">
      <c r="A111" s="10" t="s">
        <v>220</v>
      </c>
      <c r="B111" s="11" t="s">
        <v>221</v>
      </c>
      <c r="C111" s="155">
        <v>10.96034</v>
      </c>
      <c r="D111" s="159">
        <v>0.24088899999999999</v>
      </c>
      <c r="E111" s="159">
        <v>0.31732900000000003</v>
      </c>
      <c r="F111" s="159">
        <v>0.45160600000000001</v>
      </c>
      <c r="G111" s="159">
        <v>0.81664199999999998</v>
      </c>
      <c r="H111" s="159">
        <v>1.2127399999999999</v>
      </c>
      <c r="I111" s="159">
        <v>1.178026</v>
      </c>
      <c r="J111" s="159">
        <v>1.953578</v>
      </c>
      <c r="K111" s="159">
        <v>2.4425129999999999</v>
      </c>
      <c r="L111" s="159">
        <v>1.021479</v>
      </c>
      <c r="M111" s="159">
        <v>0.65701699999999996</v>
      </c>
      <c r="N111" s="159">
        <v>0.37777500000000003</v>
      </c>
      <c r="O111" s="159">
        <v>0.290746</v>
      </c>
      <c r="P111" s="11"/>
      <c r="Q111" s="29"/>
      <c r="R111" s="60"/>
    </row>
    <row r="112" spans="1:18" ht="12" customHeight="1">
      <c r="A112" s="10" t="s">
        <v>222</v>
      </c>
      <c r="B112" s="11" t="s">
        <v>223</v>
      </c>
      <c r="C112" s="155">
        <v>5.4149240000000001</v>
      </c>
      <c r="D112" s="159">
        <v>0.262183</v>
      </c>
      <c r="E112" s="159">
        <v>0.28831400000000001</v>
      </c>
      <c r="F112" s="159">
        <v>0.27555800000000003</v>
      </c>
      <c r="G112" s="159">
        <v>0.34985300000000003</v>
      </c>
      <c r="H112" s="159">
        <v>0.57406999999999997</v>
      </c>
      <c r="I112" s="159">
        <v>0.55557100000000004</v>
      </c>
      <c r="J112" s="159">
        <v>0.72636800000000001</v>
      </c>
      <c r="K112" s="159">
        <v>0.90341099999999996</v>
      </c>
      <c r="L112" s="159">
        <v>0.49503900000000001</v>
      </c>
      <c r="M112" s="159">
        <v>0.41333900000000001</v>
      </c>
      <c r="N112" s="159">
        <v>0.30837799999999999</v>
      </c>
      <c r="O112" s="159">
        <v>0.26284000000000002</v>
      </c>
      <c r="P112" s="11"/>
      <c r="Q112" s="29"/>
      <c r="R112" s="60"/>
    </row>
    <row r="113" spans="1:18" ht="12" customHeight="1">
      <c r="A113" s="10" t="s">
        <v>224</v>
      </c>
      <c r="B113" s="11" t="s">
        <v>519</v>
      </c>
      <c r="C113" s="155">
        <v>9.1248269999999998</v>
      </c>
      <c r="D113" s="159">
        <v>0.45828600000000003</v>
      </c>
      <c r="E113" s="159">
        <v>0.50881299999999996</v>
      </c>
      <c r="F113" s="159">
        <v>0.61616899999999997</v>
      </c>
      <c r="G113" s="159">
        <v>0.70969400000000005</v>
      </c>
      <c r="H113" s="159">
        <v>0.89301900000000001</v>
      </c>
      <c r="I113" s="159">
        <v>0.84623400000000004</v>
      </c>
      <c r="J113" s="159">
        <v>1.1130519999999999</v>
      </c>
      <c r="K113" s="159">
        <v>1.2765299999999999</v>
      </c>
      <c r="L113" s="159">
        <v>0.83877599999999997</v>
      </c>
      <c r="M113" s="159">
        <v>0.71538199999999996</v>
      </c>
      <c r="N113" s="159">
        <v>0.58715700000000004</v>
      </c>
      <c r="O113" s="159">
        <v>0.56171499999999996</v>
      </c>
      <c r="P113" s="11"/>
      <c r="Q113" s="29"/>
      <c r="R113" s="60"/>
    </row>
    <row r="114" spans="1:18" ht="12" customHeight="1">
      <c r="A114" s="10" t="s">
        <v>225</v>
      </c>
      <c r="B114" s="11" t="s">
        <v>226</v>
      </c>
      <c r="C114" s="155">
        <v>6.4228579999999997</v>
      </c>
      <c r="D114" s="159">
        <v>0.233318</v>
      </c>
      <c r="E114" s="159">
        <v>0.24277099999999999</v>
      </c>
      <c r="F114" s="159">
        <v>0.33167099999999999</v>
      </c>
      <c r="G114" s="159">
        <v>0.56093199999999999</v>
      </c>
      <c r="H114" s="159">
        <v>0.71220700000000003</v>
      </c>
      <c r="I114" s="159">
        <v>0.62448800000000004</v>
      </c>
      <c r="J114" s="159">
        <v>0.98198799999999997</v>
      </c>
      <c r="K114" s="159">
        <v>1.1586559999999999</v>
      </c>
      <c r="L114" s="159">
        <v>0.55629099999999998</v>
      </c>
      <c r="M114" s="159">
        <v>0.46313500000000002</v>
      </c>
      <c r="N114" s="159">
        <v>0.28894399999999998</v>
      </c>
      <c r="O114" s="159">
        <v>0.268457</v>
      </c>
      <c r="P114" s="11"/>
      <c r="Q114" s="29"/>
      <c r="R114" s="60"/>
    </row>
    <row r="115" spans="1:18" ht="12" customHeight="1">
      <c r="A115" s="10" t="s">
        <v>227</v>
      </c>
      <c r="B115" s="11" t="s">
        <v>228</v>
      </c>
      <c r="C115" s="155">
        <v>11.050959000000001</v>
      </c>
      <c r="D115" s="159">
        <v>0.44567899999999999</v>
      </c>
      <c r="E115" s="159">
        <v>0.50507299999999999</v>
      </c>
      <c r="F115" s="159">
        <v>0.67671899999999996</v>
      </c>
      <c r="G115" s="159">
        <v>0.80521399999999999</v>
      </c>
      <c r="H115" s="159">
        <v>1.079658</v>
      </c>
      <c r="I115" s="159">
        <v>1.018419</v>
      </c>
      <c r="J115" s="159">
        <v>1.2532019999999999</v>
      </c>
      <c r="K115" s="159">
        <v>1.435476</v>
      </c>
      <c r="L115" s="159">
        <v>1.004402</v>
      </c>
      <c r="M115" s="159">
        <v>0.91514399999999996</v>
      </c>
      <c r="N115" s="159">
        <v>0.71951299999999996</v>
      </c>
      <c r="O115" s="159">
        <v>1.1924600000000001</v>
      </c>
      <c r="P115" s="11"/>
      <c r="Q115" s="29"/>
      <c r="R115" s="60"/>
    </row>
    <row r="116" spans="1:18" ht="12" customHeight="1">
      <c r="A116" s="10" t="s">
        <v>229</v>
      </c>
      <c r="B116" s="11" t="s">
        <v>15</v>
      </c>
      <c r="C116" s="155">
        <v>4.359915</v>
      </c>
      <c r="D116" s="159">
        <v>0.18329899999999999</v>
      </c>
      <c r="E116" s="159">
        <v>0.19720299999999999</v>
      </c>
      <c r="F116" s="159">
        <v>0.26481300000000002</v>
      </c>
      <c r="G116" s="159">
        <v>0.30365799999999998</v>
      </c>
      <c r="H116" s="159">
        <v>0.439855</v>
      </c>
      <c r="I116" s="159">
        <v>0.44895000000000002</v>
      </c>
      <c r="J116" s="159">
        <v>0.60448800000000003</v>
      </c>
      <c r="K116" s="159">
        <v>0.66318500000000002</v>
      </c>
      <c r="L116" s="159">
        <v>0.44300499999999998</v>
      </c>
      <c r="M116" s="159">
        <v>0.32827800000000001</v>
      </c>
      <c r="N116" s="159">
        <v>0.24943699999999999</v>
      </c>
      <c r="O116" s="159">
        <v>0.23374400000000001</v>
      </c>
      <c r="P116" s="11"/>
      <c r="Q116" s="29"/>
      <c r="R116" s="60"/>
    </row>
    <row r="117" spans="1:18" ht="12" customHeight="1">
      <c r="A117" s="10" t="s">
        <v>230</v>
      </c>
      <c r="B117" s="11" t="s">
        <v>231</v>
      </c>
      <c r="C117" s="155">
        <v>7.3596310000000003</v>
      </c>
      <c r="D117" s="159">
        <v>0.38767000000000001</v>
      </c>
      <c r="E117" s="159">
        <v>0.434535</v>
      </c>
      <c r="F117" s="159">
        <v>0.46631800000000001</v>
      </c>
      <c r="G117" s="159">
        <v>0.50374099999999999</v>
      </c>
      <c r="H117" s="159">
        <v>0.70869700000000002</v>
      </c>
      <c r="I117" s="159">
        <v>0.66964599999999996</v>
      </c>
      <c r="J117" s="159">
        <v>1.0007900000000001</v>
      </c>
      <c r="K117" s="159">
        <v>1.1801280000000001</v>
      </c>
      <c r="L117" s="159">
        <v>0.59724200000000005</v>
      </c>
      <c r="M117" s="159">
        <v>0.55069500000000005</v>
      </c>
      <c r="N117" s="159">
        <v>0.39440500000000001</v>
      </c>
      <c r="O117" s="159">
        <v>0.46576400000000001</v>
      </c>
      <c r="P117" s="11"/>
      <c r="Q117" s="29"/>
      <c r="R117" s="60"/>
    </row>
    <row r="118" spans="1:18" ht="12" customHeight="1">
      <c r="A118" s="10" t="s">
        <v>232</v>
      </c>
      <c r="B118" s="11" t="s">
        <v>520</v>
      </c>
      <c r="C118" s="155">
        <v>25.141248999999998</v>
      </c>
      <c r="D118" s="159">
        <v>0.59588099999999999</v>
      </c>
      <c r="E118" s="159">
        <v>0.64599200000000001</v>
      </c>
      <c r="F118" s="159">
        <v>0.83416299999999999</v>
      </c>
      <c r="G118" s="159">
        <v>1.779237</v>
      </c>
      <c r="H118" s="159">
        <v>2.5129980000000001</v>
      </c>
      <c r="I118" s="159">
        <v>2.3352650000000001</v>
      </c>
      <c r="J118" s="159">
        <v>5.2254490000000002</v>
      </c>
      <c r="K118" s="159">
        <v>6.7524829999999998</v>
      </c>
      <c r="L118" s="159">
        <v>1.9783820000000001</v>
      </c>
      <c r="M118" s="159">
        <v>1.1115250000000001</v>
      </c>
      <c r="N118" s="159">
        <v>0.74493500000000001</v>
      </c>
      <c r="O118" s="159">
        <v>0.62493900000000002</v>
      </c>
      <c r="P118" s="11"/>
      <c r="Q118" s="29"/>
      <c r="R118" s="60"/>
    </row>
    <row r="119" spans="1:18" ht="12" customHeight="1">
      <c r="A119" s="10" t="s">
        <v>234</v>
      </c>
      <c r="B119" s="11" t="s">
        <v>233</v>
      </c>
      <c r="C119" s="155">
        <v>25.514196999999999</v>
      </c>
      <c r="D119" s="159">
        <v>0.50179600000000002</v>
      </c>
      <c r="E119" s="159">
        <v>0.58708300000000002</v>
      </c>
      <c r="F119" s="159">
        <v>0.83195200000000002</v>
      </c>
      <c r="G119" s="159">
        <v>1.7006680000000001</v>
      </c>
      <c r="H119" s="159">
        <v>2.626477</v>
      </c>
      <c r="I119" s="159">
        <v>2.5799859999999999</v>
      </c>
      <c r="J119" s="159">
        <v>5.1121790000000003</v>
      </c>
      <c r="K119" s="159">
        <v>6.7352400000000001</v>
      </c>
      <c r="L119" s="159">
        <v>2.4394019999999998</v>
      </c>
      <c r="M119" s="159">
        <v>1.149932</v>
      </c>
      <c r="N119" s="159">
        <v>0.665995</v>
      </c>
      <c r="O119" s="159">
        <v>0.58348699999999998</v>
      </c>
      <c r="P119" s="11"/>
      <c r="Q119" s="29"/>
      <c r="R119" s="60"/>
    </row>
    <row r="120" spans="1:18" ht="12" customHeight="1">
      <c r="A120" s="10" t="s">
        <v>235</v>
      </c>
      <c r="B120" s="11" t="s">
        <v>236</v>
      </c>
      <c r="C120" s="155">
        <v>37.188181</v>
      </c>
      <c r="D120" s="159">
        <v>0.75887499999999997</v>
      </c>
      <c r="E120" s="159">
        <v>0.80752699999999999</v>
      </c>
      <c r="F120" s="159">
        <v>1.235104</v>
      </c>
      <c r="G120" s="159">
        <v>2.205028</v>
      </c>
      <c r="H120" s="159">
        <v>3.0595500000000002</v>
      </c>
      <c r="I120" s="159">
        <v>3.3373689999999998</v>
      </c>
      <c r="J120" s="159">
        <v>8.2777910000000006</v>
      </c>
      <c r="K120" s="159">
        <v>10.479281</v>
      </c>
      <c r="L120" s="159">
        <v>3.3288570000000002</v>
      </c>
      <c r="M120" s="159">
        <v>1.808978</v>
      </c>
      <c r="N120" s="159">
        <v>1.0201389999999999</v>
      </c>
      <c r="O120" s="159">
        <v>0.86968199999999996</v>
      </c>
      <c r="P120" s="11"/>
      <c r="Q120" s="29"/>
      <c r="R120" s="60"/>
    </row>
    <row r="121" spans="1:18" ht="12" customHeight="1">
      <c r="A121" s="10" t="s">
        <v>237</v>
      </c>
      <c r="B121" s="11" t="s">
        <v>238</v>
      </c>
      <c r="C121" s="155">
        <v>2.5626679999999999</v>
      </c>
      <c r="D121" s="159">
        <v>7.4981999999999993E-2</v>
      </c>
      <c r="E121" s="159">
        <v>8.7165000000000006E-2</v>
      </c>
      <c r="F121" s="159">
        <v>0.10961899999999999</v>
      </c>
      <c r="G121" s="159">
        <v>0.13753599999999999</v>
      </c>
      <c r="H121" s="159">
        <v>0.22398899999999999</v>
      </c>
      <c r="I121" s="159">
        <v>0.25209599999999999</v>
      </c>
      <c r="J121" s="159">
        <v>0.47417799999999999</v>
      </c>
      <c r="K121" s="159">
        <v>0.65112000000000003</v>
      </c>
      <c r="L121" s="159">
        <v>0.22112000000000001</v>
      </c>
      <c r="M121" s="159">
        <v>0.14704</v>
      </c>
      <c r="N121" s="159">
        <v>9.9404000000000006E-2</v>
      </c>
      <c r="O121" s="159">
        <v>8.4418999999999994E-2</v>
      </c>
      <c r="P121" s="11"/>
      <c r="Q121" s="29"/>
      <c r="R121" s="60"/>
    </row>
    <row r="122" spans="1:18" ht="12" customHeight="1">
      <c r="A122" s="10" t="s">
        <v>239</v>
      </c>
      <c r="B122" s="11" t="s">
        <v>240</v>
      </c>
      <c r="C122" s="155">
        <v>17.220300000000002</v>
      </c>
      <c r="D122" s="159">
        <v>0.36958000000000002</v>
      </c>
      <c r="E122" s="159">
        <v>0.43577900000000003</v>
      </c>
      <c r="F122" s="159">
        <v>0.57580200000000004</v>
      </c>
      <c r="G122" s="159">
        <v>1.2513749999999999</v>
      </c>
      <c r="H122" s="159">
        <v>1.617502</v>
      </c>
      <c r="I122" s="159">
        <v>1.59623</v>
      </c>
      <c r="J122" s="159">
        <v>3.5653440000000001</v>
      </c>
      <c r="K122" s="159">
        <v>4.5853780000000004</v>
      </c>
      <c r="L122" s="159">
        <v>1.462512</v>
      </c>
      <c r="M122" s="159">
        <v>0.83973799999999998</v>
      </c>
      <c r="N122" s="159">
        <v>0.49125000000000002</v>
      </c>
      <c r="O122" s="159">
        <v>0.42981000000000003</v>
      </c>
      <c r="P122" s="11"/>
      <c r="Q122" s="29"/>
      <c r="R122" s="60"/>
    </row>
    <row r="123" spans="1:18" ht="12" customHeight="1">
      <c r="A123" s="10" t="s">
        <v>241</v>
      </c>
      <c r="B123" s="11" t="s">
        <v>242</v>
      </c>
      <c r="C123" s="155">
        <v>38.442594999999997</v>
      </c>
      <c r="D123" s="159">
        <v>0.57178899999999999</v>
      </c>
      <c r="E123" s="159">
        <v>0.68112700000000004</v>
      </c>
      <c r="F123" s="159">
        <v>0.90559900000000004</v>
      </c>
      <c r="G123" s="159">
        <v>2.239646</v>
      </c>
      <c r="H123" s="159">
        <v>3.6236259999999998</v>
      </c>
      <c r="I123" s="159">
        <v>3.976105</v>
      </c>
      <c r="J123" s="159">
        <v>8.9173519999999993</v>
      </c>
      <c r="K123" s="159">
        <v>11.003888999999999</v>
      </c>
      <c r="L123" s="159">
        <v>3.7159960000000001</v>
      </c>
      <c r="M123" s="159">
        <v>1.428231</v>
      </c>
      <c r="N123" s="159">
        <v>0.69026299999999996</v>
      </c>
      <c r="O123" s="159">
        <v>0.68897200000000003</v>
      </c>
      <c r="P123" s="11"/>
      <c r="Q123" s="29"/>
      <c r="R123" s="60"/>
    </row>
    <row r="124" spans="1:18" ht="12" customHeight="1">
      <c r="A124" s="10" t="s">
        <v>243</v>
      </c>
      <c r="B124" s="11" t="s">
        <v>244</v>
      </c>
      <c r="C124" s="155">
        <v>17.821587000000001</v>
      </c>
      <c r="D124" s="159">
        <v>0.73652399999999996</v>
      </c>
      <c r="E124" s="159">
        <v>0.88242100000000001</v>
      </c>
      <c r="F124" s="159">
        <v>0.93551300000000004</v>
      </c>
      <c r="G124" s="159">
        <v>1.120071</v>
      </c>
      <c r="H124" s="159">
        <v>1.559963</v>
      </c>
      <c r="I124" s="159">
        <v>1.6527940000000001</v>
      </c>
      <c r="J124" s="159">
        <v>2.943756</v>
      </c>
      <c r="K124" s="159">
        <v>3.722178</v>
      </c>
      <c r="L124" s="159">
        <v>1.6432100000000001</v>
      </c>
      <c r="M124" s="159">
        <v>1.215848</v>
      </c>
      <c r="N124" s="159">
        <v>0.66911299999999996</v>
      </c>
      <c r="O124" s="159">
        <v>0.74019599999999997</v>
      </c>
      <c r="P124" s="11"/>
      <c r="Q124" s="29"/>
      <c r="R124" s="60"/>
    </row>
    <row r="125" spans="1:18" ht="12" customHeight="1">
      <c r="A125" s="10" t="s">
        <v>245</v>
      </c>
      <c r="B125" s="11" t="s">
        <v>246</v>
      </c>
      <c r="C125" s="155">
        <v>7.1934750000000003</v>
      </c>
      <c r="D125" s="159">
        <v>0.254805</v>
      </c>
      <c r="E125" s="159">
        <v>0.32152799999999998</v>
      </c>
      <c r="F125" s="159">
        <v>0.33156099999999999</v>
      </c>
      <c r="G125" s="159">
        <v>0.383799</v>
      </c>
      <c r="H125" s="159">
        <v>0.64392499999999997</v>
      </c>
      <c r="I125" s="159">
        <v>0.67188400000000004</v>
      </c>
      <c r="J125" s="159">
        <v>1.3427800000000001</v>
      </c>
      <c r="K125" s="159">
        <v>1.716629</v>
      </c>
      <c r="L125" s="159">
        <v>0.604541</v>
      </c>
      <c r="M125" s="159">
        <v>0.40538999999999997</v>
      </c>
      <c r="N125" s="159">
        <v>0.24935099999999999</v>
      </c>
      <c r="O125" s="159">
        <v>0.26728200000000002</v>
      </c>
      <c r="P125" s="11"/>
      <c r="Q125" s="29"/>
      <c r="R125" s="60"/>
    </row>
    <row r="126" spans="1:18" ht="12" customHeight="1">
      <c r="A126" s="10" t="s">
        <v>247</v>
      </c>
      <c r="B126" s="11" t="s">
        <v>248</v>
      </c>
      <c r="C126" s="155">
        <v>54.378610000000002</v>
      </c>
      <c r="D126" s="159">
        <v>5.1784109999999997</v>
      </c>
      <c r="E126" s="159">
        <v>5.7890420000000002</v>
      </c>
      <c r="F126" s="159">
        <v>5.6361039999999996</v>
      </c>
      <c r="G126" s="159">
        <v>3.4166910000000001</v>
      </c>
      <c r="H126" s="159">
        <v>3.198582</v>
      </c>
      <c r="I126" s="159">
        <v>3.8588450000000001</v>
      </c>
      <c r="J126" s="159">
        <v>7.7313010000000002</v>
      </c>
      <c r="K126" s="159">
        <v>9.1457139999999999</v>
      </c>
      <c r="L126" s="159">
        <v>3.1084589999999999</v>
      </c>
      <c r="M126" s="159">
        <v>1.9902569999999999</v>
      </c>
      <c r="N126" s="159">
        <v>1.614247</v>
      </c>
      <c r="O126" s="159">
        <v>3.7109570000000001</v>
      </c>
      <c r="P126" s="11"/>
      <c r="Q126" s="29"/>
      <c r="R126" s="60"/>
    </row>
    <row r="127" spans="1:18" ht="12" customHeight="1">
      <c r="A127" s="10" t="s">
        <v>249</v>
      </c>
      <c r="B127" s="11" t="s">
        <v>521</v>
      </c>
      <c r="C127" s="155">
        <v>56.578516999999998</v>
      </c>
      <c r="D127" s="159">
        <v>1.922453</v>
      </c>
      <c r="E127" s="159">
        <v>2.2958249999999998</v>
      </c>
      <c r="F127" s="159">
        <v>2.7919230000000002</v>
      </c>
      <c r="G127" s="159">
        <v>3.9839310000000001</v>
      </c>
      <c r="H127" s="159">
        <v>5.4294969999999996</v>
      </c>
      <c r="I127" s="159">
        <v>5.9288069999999999</v>
      </c>
      <c r="J127" s="159">
        <v>9.7201280000000008</v>
      </c>
      <c r="K127" s="159">
        <v>11.449246</v>
      </c>
      <c r="L127" s="159">
        <v>5.8186869999999997</v>
      </c>
      <c r="M127" s="159">
        <v>3.585019</v>
      </c>
      <c r="N127" s="159">
        <v>1.757001</v>
      </c>
      <c r="O127" s="159">
        <v>1.8959999999999999</v>
      </c>
      <c r="P127" s="11"/>
      <c r="Q127" s="29"/>
      <c r="R127" s="60"/>
    </row>
    <row r="128" spans="1:18" ht="12" customHeight="1">
      <c r="A128" s="10" t="s">
        <v>251</v>
      </c>
      <c r="B128" s="11" t="s">
        <v>250</v>
      </c>
      <c r="C128" s="155">
        <v>10.884055</v>
      </c>
      <c r="D128" s="159">
        <v>4.9815999999999999E-2</v>
      </c>
      <c r="E128" s="159">
        <v>5.8658000000000002E-2</v>
      </c>
      <c r="F128" s="159">
        <v>8.4586999999999996E-2</v>
      </c>
      <c r="G128" s="159">
        <v>0.409223</v>
      </c>
      <c r="H128" s="159">
        <v>1.0366</v>
      </c>
      <c r="I128" s="159">
        <v>1.428358</v>
      </c>
      <c r="J128" s="159">
        <v>2.417421</v>
      </c>
      <c r="K128" s="159">
        <v>3.0209769999999998</v>
      </c>
      <c r="L128" s="159">
        <v>1.642242</v>
      </c>
      <c r="M128" s="159">
        <v>0.58457099999999995</v>
      </c>
      <c r="N128" s="159">
        <v>8.8256000000000001E-2</v>
      </c>
      <c r="O128" s="159">
        <v>6.3346E-2</v>
      </c>
      <c r="P128" s="11"/>
      <c r="Q128" s="29"/>
      <c r="R128" s="60"/>
    </row>
    <row r="129" spans="1:18" ht="12" customHeight="1">
      <c r="A129" s="10" t="s">
        <v>252</v>
      </c>
      <c r="B129" s="11" t="s">
        <v>253</v>
      </c>
      <c r="C129" s="155">
        <v>1.280656</v>
      </c>
      <c r="D129" s="159">
        <v>0.145954</v>
      </c>
      <c r="E129" s="159">
        <v>0.147789</v>
      </c>
      <c r="F129" s="159">
        <v>0.14742</v>
      </c>
      <c r="G129" s="159">
        <v>0.123628</v>
      </c>
      <c r="H129" s="159">
        <v>9.9979999999999999E-2</v>
      </c>
      <c r="I129" s="159">
        <v>7.5673000000000004E-2</v>
      </c>
      <c r="J129" s="159">
        <v>9.7382999999999997E-2</v>
      </c>
      <c r="K129" s="159">
        <v>0.109025</v>
      </c>
      <c r="L129" s="159">
        <v>3.4630000000000001E-2</v>
      </c>
      <c r="M129" s="159">
        <v>7.1268999999999999E-2</v>
      </c>
      <c r="N129" s="159">
        <v>0.103295</v>
      </c>
      <c r="O129" s="159">
        <v>0.12461</v>
      </c>
      <c r="P129" s="11"/>
      <c r="Q129" s="29"/>
      <c r="R129" s="60"/>
    </row>
    <row r="130" spans="1:18" ht="12" customHeight="1">
      <c r="A130" s="10" t="s">
        <v>254</v>
      </c>
      <c r="B130" s="11" t="s">
        <v>255</v>
      </c>
      <c r="C130" s="155">
        <v>1.2099850000000001</v>
      </c>
      <c r="D130" s="159">
        <v>0.14147499999999999</v>
      </c>
      <c r="E130" s="159">
        <v>0.14072100000000001</v>
      </c>
      <c r="F130" s="159">
        <v>0.12789500000000001</v>
      </c>
      <c r="G130" s="159">
        <v>0.105057</v>
      </c>
      <c r="H130" s="159">
        <v>9.4488000000000003E-2</v>
      </c>
      <c r="I130" s="159">
        <v>6.9388000000000005E-2</v>
      </c>
      <c r="J130" s="159">
        <v>0.100242</v>
      </c>
      <c r="K130" s="159">
        <v>0.10878599999999999</v>
      </c>
      <c r="L130" s="159">
        <v>3.9413999999999998E-2</v>
      </c>
      <c r="M130" s="159">
        <v>6.6746E-2</v>
      </c>
      <c r="N130" s="159">
        <v>9.7605999999999998E-2</v>
      </c>
      <c r="O130" s="159">
        <v>0.11816699999999999</v>
      </c>
      <c r="P130" s="11"/>
      <c r="Q130" s="29"/>
      <c r="R130" s="60"/>
    </row>
    <row r="131" spans="1:18" ht="12" customHeight="1">
      <c r="A131" s="10" t="s">
        <v>256</v>
      </c>
      <c r="B131" s="11" t="s">
        <v>257</v>
      </c>
      <c r="C131" s="155">
        <v>0.41500900000000002</v>
      </c>
      <c r="D131" s="159">
        <v>3.2244000000000002E-2</v>
      </c>
      <c r="E131" s="159">
        <v>3.0446999999999998E-2</v>
      </c>
      <c r="F131" s="159">
        <v>3.7789000000000003E-2</v>
      </c>
      <c r="G131" s="159">
        <v>2.5926999999999999E-2</v>
      </c>
      <c r="H131" s="159">
        <v>3.1809999999999998E-2</v>
      </c>
      <c r="I131" s="159">
        <v>3.6732000000000001E-2</v>
      </c>
      <c r="J131" s="159">
        <v>3.4261E-2</v>
      </c>
      <c r="K131" s="159">
        <v>3.6956999999999997E-2</v>
      </c>
      <c r="L131" s="159">
        <v>3.5077999999999998E-2</v>
      </c>
      <c r="M131" s="159">
        <v>4.0703000000000003E-2</v>
      </c>
      <c r="N131" s="159">
        <v>3.6683E-2</v>
      </c>
      <c r="O131" s="159">
        <v>3.6378000000000001E-2</v>
      </c>
      <c r="P131" s="11"/>
      <c r="Q131" s="29"/>
      <c r="R131" s="60"/>
    </row>
    <row r="132" spans="1:18" ht="12" customHeight="1">
      <c r="A132" s="10" t="s">
        <v>258</v>
      </c>
      <c r="B132" s="11" t="s">
        <v>259</v>
      </c>
      <c r="C132" s="155">
        <v>1.548872</v>
      </c>
      <c r="D132" s="159">
        <v>0.12859400000000001</v>
      </c>
      <c r="E132" s="159">
        <v>9.6717999999999998E-2</v>
      </c>
      <c r="F132" s="159">
        <v>0.12520200000000001</v>
      </c>
      <c r="G132" s="159">
        <v>0.11107599999999999</v>
      </c>
      <c r="H132" s="159">
        <v>0.13322899999999999</v>
      </c>
      <c r="I132" s="159">
        <v>9.3659000000000006E-2</v>
      </c>
      <c r="J132" s="159">
        <v>0.130881</v>
      </c>
      <c r="K132" s="159">
        <v>0.153257</v>
      </c>
      <c r="L132" s="159">
        <v>0.123532</v>
      </c>
      <c r="M132" s="159">
        <v>0.15875300000000001</v>
      </c>
      <c r="N132" s="159">
        <v>0.15231</v>
      </c>
      <c r="O132" s="159">
        <v>0.14166100000000001</v>
      </c>
      <c r="P132" s="11"/>
      <c r="Q132" s="29"/>
      <c r="R132" s="60"/>
    </row>
    <row r="133" spans="1:18" ht="12" customHeight="1">
      <c r="A133" s="10" t="s">
        <v>260</v>
      </c>
      <c r="B133" s="11" t="s">
        <v>18</v>
      </c>
      <c r="C133" s="155">
        <v>0.16687399999999999</v>
      </c>
      <c r="D133" s="159">
        <v>1.404E-2</v>
      </c>
      <c r="E133" s="159">
        <v>1.3396E-2</v>
      </c>
      <c r="F133" s="159">
        <v>1.4611000000000001E-2</v>
      </c>
      <c r="G133" s="159">
        <v>1.6246E-2</v>
      </c>
      <c r="H133" s="159">
        <v>1.6823000000000001E-2</v>
      </c>
      <c r="I133" s="159">
        <v>1.6596E-2</v>
      </c>
      <c r="J133" s="159">
        <v>1.4822E-2</v>
      </c>
      <c r="K133" s="159">
        <v>1.5100000000000001E-2</v>
      </c>
      <c r="L133" s="159">
        <v>1.4192E-2</v>
      </c>
      <c r="M133" s="159">
        <v>1.6521999999999998E-2</v>
      </c>
      <c r="N133" s="159">
        <v>1.4526000000000001E-2</v>
      </c>
      <c r="O133" s="159">
        <v>0</v>
      </c>
      <c r="P133" s="11"/>
      <c r="Q133" s="29"/>
      <c r="R133" s="60"/>
    </row>
    <row r="134" spans="1:18" ht="12" customHeight="1">
      <c r="A134" s="10" t="s">
        <v>522</v>
      </c>
      <c r="B134" s="11" t="s">
        <v>523</v>
      </c>
      <c r="C134" s="155">
        <v>1.3617939999999999</v>
      </c>
      <c r="D134" s="159">
        <v>4.8346E-2</v>
      </c>
      <c r="E134" s="159">
        <v>5.3249999999999999E-2</v>
      </c>
      <c r="F134" s="159">
        <v>6.4727999999999994E-2</v>
      </c>
      <c r="G134" s="159">
        <v>9.7587999999999994E-2</v>
      </c>
      <c r="H134" s="159">
        <v>0.13247300000000001</v>
      </c>
      <c r="I134" s="159">
        <v>0.13317899999999999</v>
      </c>
      <c r="J134" s="159">
        <v>0.19247300000000001</v>
      </c>
      <c r="K134" s="159">
        <v>0.25595699999999999</v>
      </c>
      <c r="L134" s="159">
        <v>0.14166400000000001</v>
      </c>
      <c r="M134" s="159">
        <v>0.101669</v>
      </c>
      <c r="N134" s="159">
        <v>7.8347E-2</v>
      </c>
      <c r="O134" s="159">
        <v>6.2120000000000002E-2</v>
      </c>
      <c r="P134" s="11"/>
      <c r="Q134" s="29"/>
      <c r="R134" s="60"/>
    </row>
    <row r="135" spans="1:18" ht="12" customHeight="1">
      <c r="A135" s="10" t="s">
        <v>261</v>
      </c>
      <c r="B135" s="11" t="s">
        <v>7</v>
      </c>
      <c r="C135" s="155">
        <v>88.380689000000004</v>
      </c>
      <c r="D135" s="159">
        <v>0.34351100000000001</v>
      </c>
      <c r="E135" s="159">
        <v>0.44147399999999998</v>
      </c>
      <c r="F135" s="159">
        <v>1.015048</v>
      </c>
      <c r="G135" s="159">
        <v>2.3492139999999999</v>
      </c>
      <c r="H135" s="159">
        <v>6.4085099999999997</v>
      </c>
      <c r="I135" s="159">
        <v>12.023505</v>
      </c>
      <c r="J135" s="159">
        <v>24.545480999999999</v>
      </c>
      <c r="K135" s="159">
        <v>26.433889000000001</v>
      </c>
      <c r="L135" s="159">
        <v>10.67135</v>
      </c>
      <c r="M135" s="159">
        <v>3.0101830000000001</v>
      </c>
      <c r="N135" s="159">
        <v>0.64175499999999996</v>
      </c>
      <c r="O135" s="159">
        <v>0.49676900000000002</v>
      </c>
      <c r="P135" s="11"/>
      <c r="Q135" s="29"/>
      <c r="R135" s="60"/>
    </row>
    <row r="136" spans="1:18" ht="12" customHeight="1">
      <c r="A136" s="10" t="s">
        <v>524</v>
      </c>
      <c r="B136" s="11" t="s">
        <v>525</v>
      </c>
      <c r="C136" s="155">
        <v>2.6464430000000001</v>
      </c>
      <c r="D136" s="159">
        <v>0.13336400000000001</v>
      </c>
      <c r="E136" s="159">
        <v>0.130856</v>
      </c>
      <c r="F136" s="159">
        <v>0.16676299999999999</v>
      </c>
      <c r="G136" s="159">
        <v>0.23496800000000001</v>
      </c>
      <c r="H136" s="159">
        <v>0.25412299999999999</v>
      </c>
      <c r="I136" s="159">
        <v>0.25056800000000001</v>
      </c>
      <c r="J136" s="159">
        <v>0.258247</v>
      </c>
      <c r="K136" s="159">
        <v>0.28448600000000002</v>
      </c>
      <c r="L136" s="159">
        <v>0.26114300000000001</v>
      </c>
      <c r="M136" s="159">
        <v>0.24528900000000001</v>
      </c>
      <c r="N136" s="159">
        <v>0.187332</v>
      </c>
      <c r="O136" s="159">
        <v>0.23930399999999999</v>
      </c>
      <c r="P136" s="11"/>
      <c r="Q136" s="29"/>
      <c r="R136" s="60"/>
    </row>
    <row r="137" spans="1:18" ht="12" customHeight="1">
      <c r="A137" s="10" t="s">
        <v>526</v>
      </c>
      <c r="B137" s="11" t="s">
        <v>527</v>
      </c>
      <c r="C137" s="155">
        <v>1.2547699999999999</v>
      </c>
      <c r="D137" s="159">
        <v>6.9084999999999994E-2</v>
      </c>
      <c r="E137" s="159">
        <v>7.7303999999999998E-2</v>
      </c>
      <c r="F137" s="159">
        <v>7.4832999999999997E-2</v>
      </c>
      <c r="G137" s="159">
        <v>9.2335E-2</v>
      </c>
      <c r="H137" s="159">
        <v>0.107728</v>
      </c>
      <c r="I137" s="159">
        <v>0.112925</v>
      </c>
      <c r="J137" s="159">
        <v>0.163628</v>
      </c>
      <c r="K137" s="159">
        <v>0.197432</v>
      </c>
      <c r="L137" s="159">
        <v>0.103448</v>
      </c>
      <c r="M137" s="159">
        <v>9.3094999999999997E-2</v>
      </c>
      <c r="N137" s="159">
        <v>8.0963999999999994E-2</v>
      </c>
      <c r="O137" s="159">
        <v>8.1992999999999996E-2</v>
      </c>
      <c r="P137" s="11"/>
      <c r="Q137" s="29"/>
      <c r="R137" s="60"/>
    </row>
    <row r="138" spans="1:18" ht="12" customHeight="1">
      <c r="A138" s="10" t="s">
        <v>262</v>
      </c>
      <c r="B138" s="11" t="s">
        <v>263</v>
      </c>
      <c r="C138" s="155">
        <v>14.395737</v>
      </c>
      <c r="D138" s="159">
        <v>0.803983</v>
      </c>
      <c r="E138" s="159">
        <v>0.86622900000000003</v>
      </c>
      <c r="F138" s="159">
        <v>1.011137</v>
      </c>
      <c r="G138" s="159">
        <v>1.059804</v>
      </c>
      <c r="H138" s="159">
        <v>1.3356969999999999</v>
      </c>
      <c r="I138" s="159">
        <v>1.334443</v>
      </c>
      <c r="J138" s="159">
        <v>1.915092</v>
      </c>
      <c r="K138" s="159">
        <v>1.982807</v>
      </c>
      <c r="L138" s="159">
        <v>1.3948119999999999</v>
      </c>
      <c r="M138" s="159">
        <v>1.069342</v>
      </c>
      <c r="N138" s="159">
        <v>0.81470100000000001</v>
      </c>
      <c r="O138" s="159">
        <v>0.80769000000000002</v>
      </c>
      <c r="P138" s="11"/>
      <c r="Q138" s="29"/>
      <c r="R138" s="60"/>
    </row>
    <row r="139" spans="1:18" ht="12" customHeight="1">
      <c r="A139" s="10" t="s">
        <v>264</v>
      </c>
      <c r="B139" s="11" t="s">
        <v>528</v>
      </c>
      <c r="C139" s="155">
        <v>3.6950590000000001</v>
      </c>
      <c r="D139" s="159">
        <v>0.43054700000000001</v>
      </c>
      <c r="E139" s="159">
        <v>0.46237099999999998</v>
      </c>
      <c r="F139" s="159">
        <v>0.38296400000000003</v>
      </c>
      <c r="G139" s="159">
        <v>0.16068399999999999</v>
      </c>
      <c r="H139" s="159">
        <v>8.8746000000000005E-2</v>
      </c>
      <c r="I139" s="159">
        <v>0.21240300000000001</v>
      </c>
      <c r="J139" s="159">
        <v>0.54966099999999996</v>
      </c>
      <c r="K139" s="159">
        <v>0.70499199999999995</v>
      </c>
      <c r="L139" s="159">
        <v>0.19899600000000001</v>
      </c>
      <c r="M139" s="159">
        <v>8.5111000000000006E-2</v>
      </c>
      <c r="N139" s="159">
        <v>8.5261000000000003E-2</v>
      </c>
      <c r="O139" s="159">
        <v>0.33332299999999998</v>
      </c>
      <c r="P139" s="11"/>
      <c r="Q139" s="29"/>
      <c r="R139" s="60"/>
    </row>
    <row r="140" spans="1:18" ht="12" customHeight="1">
      <c r="A140" s="10" t="s">
        <v>265</v>
      </c>
      <c r="B140" s="11" t="s">
        <v>266</v>
      </c>
      <c r="C140" s="155">
        <v>16.128865999999999</v>
      </c>
      <c r="D140" s="159">
        <v>0.503938</v>
      </c>
      <c r="E140" s="159">
        <v>0.54930500000000004</v>
      </c>
      <c r="F140" s="159">
        <v>0.79289100000000001</v>
      </c>
      <c r="G140" s="159">
        <v>1.189052</v>
      </c>
      <c r="H140" s="159">
        <v>1.552789</v>
      </c>
      <c r="I140" s="159">
        <v>1.8738790000000001</v>
      </c>
      <c r="J140" s="159">
        <v>2.643929</v>
      </c>
      <c r="K140" s="159">
        <v>3.0177260000000001</v>
      </c>
      <c r="L140" s="159">
        <v>1.9424300000000001</v>
      </c>
      <c r="M140" s="159">
        <v>1.0623020000000001</v>
      </c>
      <c r="N140" s="159">
        <v>0.514347</v>
      </c>
      <c r="O140" s="159">
        <v>0.48627799999999999</v>
      </c>
      <c r="P140" s="11"/>
      <c r="Q140" s="29"/>
      <c r="R140" s="60"/>
    </row>
    <row r="141" spans="1:18" ht="12" customHeight="1">
      <c r="A141" s="10" t="s">
        <v>267</v>
      </c>
      <c r="B141" s="11" t="s">
        <v>268</v>
      </c>
      <c r="C141" s="155">
        <v>45.130529000000003</v>
      </c>
      <c r="D141" s="159">
        <v>2.4907430000000002</v>
      </c>
      <c r="E141" s="159">
        <v>2.692529</v>
      </c>
      <c r="F141" s="159">
        <v>3.1045720000000001</v>
      </c>
      <c r="G141" s="159">
        <v>3.5418560000000001</v>
      </c>
      <c r="H141" s="159">
        <v>4.2382960000000001</v>
      </c>
      <c r="I141" s="159">
        <v>4.3331710000000001</v>
      </c>
      <c r="J141" s="159">
        <v>5.6581859999999997</v>
      </c>
      <c r="K141" s="159">
        <v>5.7353589999999999</v>
      </c>
      <c r="L141" s="159">
        <v>4.4127580000000002</v>
      </c>
      <c r="M141" s="159">
        <v>3.5482269999999998</v>
      </c>
      <c r="N141" s="159">
        <v>2.6215160000000002</v>
      </c>
      <c r="O141" s="159">
        <v>2.7533159999999999</v>
      </c>
      <c r="P141" s="11"/>
      <c r="Q141" s="29"/>
      <c r="R141" s="60"/>
    </row>
    <row r="142" spans="1:18" ht="12" customHeight="1">
      <c r="A142" s="10" t="s">
        <v>288</v>
      </c>
      <c r="B142" s="11" t="s">
        <v>289</v>
      </c>
      <c r="C142" s="155">
        <v>7.1762040000000002</v>
      </c>
      <c r="D142" s="159">
        <v>0.26553100000000002</v>
      </c>
      <c r="E142" s="159">
        <v>0.25315399999999999</v>
      </c>
      <c r="F142" s="159">
        <v>0.22814599999999999</v>
      </c>
      <c r="G142" s="159">
        <v>0.26516400000000001</v>
      </c>
      <c r="H142" s="159">
        <v>0.36270000000000002</v>
      </c>
      <c r="I142" s="159">
        <v>0.93376099999999995</v>
      </c>
      <c r="J142" s="159">
        <v>1.5650839999999999</v>
      </c>
      <c r="K142" s="159">
        <v>1.8885879999999999</v>
      </c>
      <c r="L142" s="159">
        <v>0.66377600000000003</v>
      </c>
      <c r="M142" s="159">
        <v>0.28337299999999999</v>
      </c>
      <c r="N142" s="159">
        <v>0.21807299999999999</v>
      </c>
      <c r="O142" s="159">
        <v>0.24885399999999999</v>
      </c>
      <c r="P142" s="11"/>
      <c r="Q142" s="29"/>
      <c r="R142" s="60"/>
    </row>
    <row r="143" spans="1:18" ht="12" customHeight="1">
      <c r="A143" s="10" t="s">
        <v>290</v>
      </c>
      <c r="B143" s="11" t="s">
        <v>291</v>
      </c>
      <c r="C143" s="155">
        <v>0.45628400000000002</v>
      </c>
      <c r="D143" s="159">
        <v>1.5143E-2</v>
      </c>
      <c r="E143" s="159">
        <v>1.7378000000000001E-2</v>
      </c>
      <c r="F143" s="159">
        <v>1.7832000000000001E-2</v>
      </c>
      <c r="G143" s="159">
        <v>1.9397999999999999E-2</v>
      </c>
      <c r="H143" s="159">
        <v>3.1538999999999998E-2</v>
      </c>
      <c r="I143" s="159">
        <v>4.6531999999999997E-2</v>
      </c>
      <c r="J143" s="159">
        <v>9.3821000000000002E-2</v>
      </c>
      <c r="K143" s="159">
        <v>0.134827</v>
      </c>
      <c r="L143" s="159">
        <v>3.7564E-2</v>
      </c>
      <c r="M143" s="159">
        <v>1.7068E-2</v>
      </c>
      <c r="N143" s="159">
        <v>1.4296E-2</v>
      </c>
      <c r="O143" s="159">
        <v>1.0886E-2</v>
      </c>
      <c r="P143" s="11"/>
      <c r="Q143" s="29"/>
      <c r="R143" s="60"/>
    </row>
    <row r="144" spans="1:18" ht="12" customHeight="1">
      <c r="A144" s="10" t="s">
        <v>292</v>
      </c>
      <c r="B144" s="11" t="s">
        <v>293</v>
      </c>
      <c r="C144" s="155">
        <v>21.369461999999999</v>
      </c>
      <c r="D144" s="159">
        <v>0.55599100000000001</v>
      </c>
      <c r="E144" s="159">
        <v>0.56649899999999997</v>
      </c>
      <c r="F144" s="159">
        <v>0.95106100000000005</v>
      </c>
      <c r="G144" s="159">
        <v>1.6179319999999999</v>
      </c>
      <c r="H144" s="159">
        <v>2.2131430000000001</v>
      </c>
      <c r="I144" s="159">
        <v>2.6691669999999998</v>
      </c>
      <c r="J144" s="159">
        <v>3.2263280000000001</v>
      </c>
      <c r="K144" s="159">
        <v>3.397157</v>
      </c>
      <c r="L144" s="159">
        <v>2.6228850000000001</v>
      </c>
      <c r="M144" s="159">
        <v>2.0189370000000002</v>
      </c>
      <c r="N144" s="159">
        <v>0.83058900000000002</v>
      </c>
      <c r="O144" s="159">
        <v>0.69977299999999998</v>
      </c>
      <c r="P144" s="11"/>
      <c r="Q144" s="29"/>
      <c r="R144" s="60"/>
    </row>
    <row r="145" spans="1:18" ht="12" customHeight="1">
      <c r="A145" s="10" t="s">
        <v>294</v>
      </c>
      <c r="B145" s="11" t="s">
        <v>295</v>
      </c>
      <c r="C145" s="155">
        <v>17.894361</v>
      </c>
      <c r="D145" s="159">
        <v>0.244814</v>
      </c>
      <c r="E145" s="159">
        <v>0.266459</v>
      </c>
      <c r="F145" s="159">
        <v>0.41209600000000002</v>
      </c>
      <c r="G145" s="159">
        <v>0.74294899999999997</v>
      </c>
      <c r="H145" s="159">
        <v>1.208153</v>
      </c>
      <c r="I145" s="159">
        <v>2.364973</v>
      </c>
      <c r="J145" s="159">
        <v>3.8132199999999998</v>
      </c>
      <c r="K145" s="159">
        <v>4.6867029999999996</v>
      </c>
      <c r="L145" s="159">
        <v>2.275318</v>
      </c>
      <c r="M145" s="159">
        <v>1.0751170000000001</v>
      </c>
      <c r="N145" s="159">
        <v>0.43172899999999997</v>
      </c>
      <c r="O145" s="159">
        <v>0.37282999999999999</v>
      </c>
      <c r="P145" s="11"/>
      <c r="Q145" s="29"/>
      <c r="R145" s="60"/>
    </row>
    <row r="146" spans="1:18" ht="12" customHeight="1">
      <c r="A146" s="10" t="s">
        <v>296</v>
      </c>
      <c r="B146" s="11" t="s">
        <v>297</v>
      </c>
      <c r="C146" s="155">
        <v>2.5113720000000002</v>
      </c>
      <c r="D146" s="159">
        <v>6.6806000000000004E-2</v>
      </c>
      <c r="E146" s="159">
        <v>5.2103999999999998E-2</v>
      </c>
      <c r="F146" s="159">
        <v>7.9663999999999999E-2</v>
      </c>
      <c r="G146" s="159">
        <v>0.131441</v>
      </c>
      <c r="H146" s="159">
        <v>0.18592800000000001</v>
      </c>
      <c r="I146" s="159">
        <v>0.320882</v>
      </c>
      <c r="J146" s="159">
        <v>0.51052200000000003</v>
      </c>
      <c r="K146" s="159">
        <v>0.61141999999999996</v>
      </c>
      <c r="L146" s="159">
        <v>0.27678399999999997</v>
      </c>
      <c r="M146" s="159">
        <v>0.13177900000000001</v>
      </c>
      <c r="N146" s="159">
        <v>7.4119000000000004E-2</v>
      </c>
      <c r="O146" s="159">
        <v>6.9922999999999999E-2</v>
      </c>
      <c r="P146" s="11"/>
      <c r="Q146" s="29"/>
      <c r="R146" s="60"/>
    </row>
    <row r="147" spans="1:18" ht="12" customHeight="1">
      <c r="A147" s="10" t="s">
        <v>298</v>
      </c>
      <c r="B147" s="11" t="s">
        <v>299</v>
      </c>
      <c r="C147" s="155">
        <v>8.1439699999999995</v>
      </c>
      <c r="D147" s="159">
        <v>7.4032000000000001E-2</v>
      </c>
      <c r="E147" s="159">
        <v>7.9065999999999997E-2</v>
      </c>
      <c r="F147" s="159">
        <v>9.2945E-2</v>
      </c>
      <c r="G147" s="159">
        <v>0.16667599999999999</v>
      </c>
      <c r="H147" s="159">
        <v>0.33960499999999999</v>
      </c>
      <c r="I147" s="159">
        <v>1.1051709999999999</v>
      </c>
      <c r="J147" s="159">
        <v>2.163897</v>
      </c>
      <c r="K147" s="159">
        <v>2.6216050000000002</v>
      </c>
      <c r="L147" s="159">
        <v>1.027925</v>
      </c>
      <c r="M147" s="159">
        <v>0.28230100000000002</v>
      </c>
      <c r="N147" s="159">
        <v>0.100248</v>
      </c>
      <c r="O147" s="159">
        <v>9.0498999999999996E-2</v>
      </c>
      <c r="P147" s="11"/>
      <c r="Q147" s="29"/>
      <c r="R147" s="60"/>
    </row>
    <row r="148" spans="1:18" ht="12" customHeight="1">
      <c r="A148" s="10" t="s">
        <v>300</v>
      </c>
      <c r="B148" s="11" t="s">
        <v>301</v>
      </c>
      <c r="C148" s="155">
        <v>17.348237999999998</v>
      </c>
      <c r="D148" s="159">
        <v>0.412684</v>
      </c>
      <c r="E148" s="159">
        <v>0.455733</v>
      </c>
      <c r="F148" s="159">
        <v>0.72306800000000004</v>
      </c>
      <c r="G148" s="159">
        <v>1.2440340000000001</v>
      </c>
      <c r="H148" s="159">
        <v>1.7017819999999999</v>
      </c>
      <c r="I148" s="159">
        <v>2.115259</v>
      </c>
      <c r="J148" s="159">
        <v>2.7075909999999999</v>
      </c>
      <c r="K148" s="159">
        <v>3.1364450000000001</v>
      </c>
      <c r="L148" s="159">
        <v>2.2809349999999999</v>
      </c>
      <c r="M148" s="159">
        <v>1.55403</v>
      </c>
      <c r="N148" s="159">
        <v>0.580951</v>
      </c>
      <c r="O148" s="159">
        <v>0.435726</v>
      </c>
      <c r="P148" s="11"/>
      <c r="Q148" s="29"/>
      <c r="R148" s="60"/>
    </row>
    <row r="149" spans="1:18" ht="12" customHeight="1">
      <c r="A149" s="10" t="s">
        <v>302</v>
      </c>
      <c r="B149" s="11" t="s">
        <v>303</v>
      </c>
      <c r="C149" s="155">
        <v>15.610251</v>
      </c>
      <c r="D149" s="159">
        <v>0.10185</v>
      </c>
      <c r="E149" s="159">
        <v>0.114694</v>
      </c>
      <c r="F149" s="159">
        <v>0.15590799999999999</v>
      </c>
      <c r="G149" s="159">
        <v>0.44572600000000001</v>
      </c>
      <c r="H149" s="159">
        <v>1.216947</v>
      </c>
      <c r="I149" s="159">
        <v>2.4276740000000001</v>
      </c>
      <c r="J149" s="159">
        <v>3.3586710000000002</v>
      </c>
      <c r="K149" s="159">
        <v>3.7719149999999999</v>
      </c>
      <c r="L149" s="159">
        <v>2.606722</v>
      </c>
      <c r="M149" s="159">
        <v>1.128965</v>
      </c>
      <c r="N149" s="159">
        <v>0.15257399999999999</v>
      </c>
      <c r="O149" s="159">
        <v>0.128605</v>
      </c>
      <c r="P149" s="11"/>
      <c r="Q149" s="29"/>
      <c r="R149" s="60"/>
    </row>
    <row r="150" spans="1:18" ht="12" customHeight="1">
      <c r="A150" s="10" t="s">
        <v>270</v>
      </c>
      <c r="B150" s="11" t="s">
        <v>271</v>
      </c>
      <c r="C150" s="155">
        <v>37.046802999999997</v>
      </c>
      <c r="D150" s="159">
        <v>3.2566679999999999</v>
      </c>
      <c r="E150" s="159">
        <v>3.4619049999999998</v>
      </c>
      <c r="F150" s="159">
        <v>2.6750099999999999</v>
      </c>
      <c r="G150" s="159">
        <v>1.3056939999999999</v>
      </c>
      <c r="H150" s="159">
        <v>2.2556419999999999</v>
      </c>
      <c r="I150" s="159">
        <v>3.103745</v>
      </c>
      <c r="J150" s="159">
        <v>5.0502180000000001</v>
      </c>
      <c r="K150" s="159">
        <v>6.0266099999999998</v>
      </c>
      <c r="L150" s="159">
        <v>3.7599520000000002</v>
      </c>
      <c r="M150" s="159">
        <v>2.682633</v>
      </c>
      <c r="N150" s="159">
        <v>0.75917100000000004</v>
      </c>
      <c r="O150" s="159">
        <v>2.7095549999999999</v>
      </c>
      <c r="P150" s="11"/>
      <c r="Q150" s="29"/>
      <c r="R150" s="60"/>
    </row>
    <row r="151" spans="1:18" ht="12" customHeight="1">
      <c r="A151" s="10" t="s">
        <v>272</v>
      </c>
      <c r="B151" s="11" t="s">
        <v>273</v>
      </c>
      <c r="C151" s="155">
        <v>19.644628000000001</v>
      </c>
      <c r="D151" s="159">
        <v>2.0861000000000001</v>
      </c>
      <c r="E151" s="159">
        <v>2.0233810000000001</v>
      </c>
      <c r="F151" s="159">
        <v>1.548298</v>
      </c>
      <c r="G151" s="159">
        <v>0.57941200000000004</v>
      </c>
      <c r="H151" s="159">
        <v>0.85553199999999996</v>
      </c>
      <c r="I151" s="159">
        <v>1.490035</v>
      </c>
      <c r="J151" s="159">
        <v>3.2272319999999999</v>
      </c>
      <c r="K151" s="159">
        <v>3.7453859999999999</v>
      </c>
      <c r="L151" s="159">
        <v>1.6224769999999999</v>
      </c>
      <c r="M151" s="159">
        <v>0.67626900000000001</v>
      </c>
      <c r="N151" s="159">
        <v>0.31281399999999998</v>
      </c>
      <c r="O151" s="159">
        <v>1.477692</v>
      </c>
      <c r="P151" s="11"/>
      <c r="Q151" s="29"/>
      <c r="R151" s="60"/>
    </row>
    <row r="152" spans="1:18" ht="12" customHeight="1">
      <c r="A152" s="10" t="s">
        <v>274</v>
      </c>
      <c r="B152" s="11" t="s">
        <v>275</v>
      </c>
      <c r="C152" s="155">
        <v>73.472376999999994</v>
      </c>
      <c r="D152" s="159">
        <v>2.0531920000000001</v>
      </c>
      <c r="E152" s="159">
        <v>2.316049</v>
      </c>
      <c r="F152" s="159">
        <v>3.1207090000000002</v>
      </c>
      <c r="G152" s="159">
        <v>4.297409</v>
      </c>
      <c r="H152" s="159">
        <v>7.5513079999999997</v>
      </c>
      <c r="I152" s="159">
        <v>9.2985229999999994</v>
      </c>
      <c r="J152" s="159">
        <v>13.297415000000001</v>
      </c>
      <c r="K152" s="159">
        <v>14.354066</v>
      </c>
      <c r="L152" s="159">
        <v>8.3629060000000006</v>
      </c>
      <c r="M152" s="159">
        <v>4.2989410000000001</v>
      </c>
      <c r="N152" s="159">
        <v>2.3515470000000001</v>
      </c>
      <c r="O152" s="159">
        <v>2.170312</v>
      </c>
      <c r="P152" s="11"/>
      <c r="Q152" s="29"/>
      <c r="R152" s="60"/>
    </row>
    <row r="153" spans="1:18" ht="12" customHeight="1">
      <c r="A153" s="10" t="s">
        <v>276</v>
      </c>
      <c r="B153" s="11" t="s">
        <v>277</v>
      </c>
      <c r="C153" s="155">
        <v>10.143980000000001</v>
      </c>
      <c r="D153" s="159">
        <v>0.35872300000000001</v>
      </c>
      <c r="E153" s="159">
        <v>0.35628700000000002</v>
      </c>
      <c r="F153" s="159">
        <v>0.42748599999999998</v>
      </c>
      <c r="G153" s="159">
        <v>0.47027099999999999</v>
      </c>
      <c r="H153" s="159">
        <v>0.94229600000000002</v>
      </c>
      <c r="I153" s="159">
        <v>1.276402</v>
      </c>
      <c r="J153" s="159">
        <v>1.9480599999999999</v>
      </c>
      <c r="K153" s="159">
        <v>2.1553399999999998</v>
      </c>
      <c r="L153" s="159">
        <v>1.049188</v>
      </c>
      <c r="M153" s="159">
        <v>0.47105999999999998</v>
      </c>
      <c r="N153" s="159">
        <v>0.32782</v>
      </c>
      <c r="O153" s="159">
        <v>0.36104700000000001</v>
      </c>
      <c r="P153" s="11"/>
      <c r="Q153" s="29"/>
      <c r="R153" s="60"/>
    </row>
    <row r="154" spans="1:18" ht="12" customHeight="1">
      <c r="A154" s="10" t="s">
        <v>278</v>
      </c>
      <c r="B154" s="11" t="s">
        <v>279</v>
      </c>
      <c r="C154" s="155">
        <v>40.782820000000001</v>
      </c>
      <c r="D154" s="159">
        <v>1.1918249999999999</v>
      </c>
      <c r="E154" s="159">
        <v>1.1460729999999999</v>
      </c>
      <c r="F154" s="159">
        <v>1.6992449999999999</v>
      </c>
      <c r="G154" s="159">
        <v>2.2790240000000002</v>
      </c>
      <c r="H154" s="159">
        <v>3.014672</v>
      </c>
      <c r="I154" s="159">
        <v>5.9632310000000004</v>
      </c>
      <c r="J154" s="159">
        <v>8.2382620000000006</v>
      </c>
      <c r="K154" s="159">
        <v>8.7663100000000007</v>
      </c>
      <c r="L154" s="159">
        <v>3.9741680000000001</v>
      </c>
      <c r="M154" s="159">
        <v>1.788964</v>
      </c>
      <c r="N154" s="159">
        <v>1.45211</v>
      </c>
      <c r="O154" s="159">
        <v>1.2689360000000001</v>
      </c>
      <c r="P154" s="11"/>
      <c r="Q154" s="29"/>
      <c r="R154" s="60"/>
    </row>
    <row r="155" spans="1:18" ht="12" customHeight="1">
      <c r="A155" s="10" t="s">
        <v>280</v>
      </c>
      <c r="B155" s="11" t="s">
        <v>281</v>
      </c>
      <c r="C155" s="155">
        <v>46.220821000000001</v>
      </c>
      <c r="D155" s="159">
        <v>1.2235590000000001</v>
      </c>
      <c r="E155" s="159">
        <v>1.2702</v>
      </c>
      <c r="F155" s="159">
        <v>2.0550440000000001</v>
      </c>
      <c r="G155" s="159">
        <v>3.0365470000000001</v>
      </c>
      <c r="H155" s="159">
        <v>4.5496270000000001</v>
      </c>
      <c r="I155" s="159">
        <v>5.6567910000000001</v>
      </c>
      <c r="J155" s="159">
        <v>7.9239709999999999</v>
      </c>
      <c r="K155" s="159">
        <v>8.7187889999999992</v>
      </c>
      <c r="L155" s="159">
        <v>5.4497429999999998</v>
      </c>
      <c r="M155" s="159">
        <v>3.2401589999999998</v>
      </c>
      <c r="N155" s="159">
        <v>1.6752320000000001</v>
      </c>
      <c r="O155" s="159">
        <v>1.4211590000000001</v>
      </c>
      <c r="P155" s="11"/>
      <c r="Q155" s="29"/>
      <c r="R155" s="60"/>
    </row>
    <row r="156" spans="1:18" ht="12" customHeight="1">
      <c r="A156" s="10" t="s">
        <v>282</v>
      </c>
      <c r="B156" s="11" t="s">
        <v>283</v>
      </c>
      <c r="C156" s="155">
        <v>6.751042</v>
      </c>
      <c r="D156" s="159">
        <v>0.262243</v>
      </c>
      <c r="E156" s="159">
        <v>0.216949</v>
      </c>
      <c r="F156" s="159">
        <v>0.377162</v>
      </c>
      <c r="G156" s="159">
        <v>0.56113400000000002</v>
      </c>
      <c r="H156" s="159">
        <v>0.62485800000000002</v>
      </c>
      <c r="I156" s="159">
        <v>0.66507000000000005</v>
      </c>
      <c r="J156" s="159">
        <v>0.85080900000000004</v>
      </c>
      <c r="K156" s="159">
        <v>1.1030979999999999</v>
      </c>
      <c r="L156" s="159">
        <v>0.68295099999999997</v>
      </c>
      <c r="M156" s="159">
        <v>0.59221100000000004</v>
      </c>
      <c r="N156" s="159">
        <v>0.42756499999999997</v>
      </c>
      <c r="O156" s="159">
        <v>0.386992</v>
      </c>
      <c r="P156" s="11"/>
      <c r="Q156" s="29"/>
      <c r="R156" s="60"/>
    </row>
    <row r="157" spans="1:18" ht="12" customHeight="1">
      <c r="A157" s="10" t="s">
        <v>284</v>
      </c>
      <c r="B157" s="11" t="s">
        <v>285</v>
      </c>
      <c r="C157" s="155">
        <v>10.481674</v>
      </c>
      <c r="D157" s="159">
        <v>0.24843599999999999</v>
      </c>
      <c r="E157" s="159">
        <v>0.240813</v>
      </c>
      <c r="F157" s="159">
        <v>0.328961</v>
      </c>
      <c r="G157" s="159">
        <v>0.43362699999999998</v>
      </c>
      <c r="H157" s="159">
        <v>0.61209999999999998</v>
      </c>
      <c r="I157" s="159">
        <v>1.466316</v>
      </c>
      <c r="J157" s="159">
        <v>2.279741</v>
      </c>
      <c r="K157" s="159">
        <v>2.6480769999999998</v>
      </c>
      <c r="L157" s="159">
        <v>1.0431569999999999</v>
      </c>
      <c r="M157" s="159">
        <v>0.44096600000000002</v>
      </c>
      <c r="N157" s="159">
        <v>0.37453799999999998</v>
      </c>
      <c r="O157" s="159">
        <v>0.36494199999999999</v>
      </c>
      <c r="P157" s="11"/>
      <c r="Q157" s="29"/>
      <c r="R157" s="60"/>
    </row>
    <row r="158" spans="1:18" ht="12" customHeight="1">
      <c r="A158" s="10" t="s">
        <v>286</v>
      </c>
      <c r="B158" s="11" t="s">
        <v>287</v>
      </c>
      <c r="C158" s="155">
        <v>51.753566999999997</v>
      </c>
      <c r="D158" s="159">
        <v>2.6371329999999999</v>
      </c>
      <c r="E158" s="159">
        <v>3.1744289999999999</v>
      </c>
      <c r="F158" s="159">
        <v>3.9730639999999999</v>
      </c>
      <c r="G158" s="159">
        <v>4.4776819999999997</v>
      </c>
      <c r="H158" s="159">
        <v>5.1209800000000003</v>
      </c>
      <c r="I158" s="159">
        <v>5.1377509999999997</v>
      </c>
      <c r="J158" s="159">
        <v>5.689076</v>
      </c>
      <c r="K158" s="159">
        <v>4.9817080000000002</v>
      </c>
      <c r="L158" s="159">
        <v>4.9003360000000002</v>
      </c>
      <c r="M158" s="159">
        <v>4.9692239999999996</v>
      </c>
      <c r="N158" s="159">
        <v>3.5809630000000001</v>
      </c>
      <c r="O158" s="159">
        <v>3.111221</v>
      </c>
      <c r="P158" s="11"/>
      <c r="Q158" s="29"/>
      <c r="R158" s="60"/>
    </row>
    <row r="159" spans="1:18" ht="12" customHeight="1">
      <c r="A159" s="10" t="s">
        <v>304</v>
      </c>
      <c r="B159" s="11" t="s">
        <v>3023</v>
      </c>
      <c r="C159" s="155">
        <v>17.909479000000001</v>
      </c>
      <c r="D159" s="159">
        <v>0.26011600000000001</v>
      </c>
      <c r="E159" s="159">
        <v>0.33188099999999998</v>
      </c>
      <c r="F159" s="159">
        <v>0.64066000000000001</v>
      </c>
      <c r="G159" s="159">
        <v>1.3274060000000001</v>
      </c>
      <c r="H159" s="159">
        <v>1.882247</v>
      </c>
      <c r="I159" s="159">
        <v>2.2059609999999998</v>
      </c>
      <c r="J159" s="159">
        <v>2.5905870000000002</v>
      </c>
      <c r="K159" s="159">
        <v>2.7944990000000001</v>
      </c>
      <c r="L159" s="159">
        <v>2.3654950000000001</v>
      </c>
      <c r="M159" s="159">
        <v>2.3088510000000002</v>
      </c>
      <c r="N159" s="159">
        <v>0.784246</v>
      </c>
      <c r="O159" s="159">
        <v>0.41753000000000001</v>
      </c>
      <c r="P159" s="11"/>
      <c r="Q159" s="29"/>
      <c r="R159" s="60"/>
    </row>
    <row r="160" spans="1:18" ht="12" customHeight="1">
      <c r="A160" s="10" t="s">
        <v>306</v>
      </c>
      <c r="B160" s="11" t="s">
        <v>305</v>
      </c>
      <c r="C160" s="155">
        <v>4.6922129999999997</v>
      </c>
      <c r="D160" s="159">
        <v>0.21762400000000001</v>
      </c>
      <c r="E160" s="159">
        <v>0.227077</v>
      </c>
      <c r="F160" s="159">
        <v>0.27979999999999999</v>
      </c>
      <c r="G160" s="159">
        <v>0.30536200000000002</v>
      </c>
      <c r="H160" s="159">
        <v>0.38549499999999998</v>
      </c>
      <c r="I160" s="159">
        <v>0.51325600000000005</v>
      </c>
      <c r="J160" s="159">
        <v>0.71914199999999995</v>
      </c>
      <c r="K160" s="159">
        <v>0.67627000000000004</v>
      </c>
      <c r="L160" s="159">
        <v>0.39335700000000001</v>
      </c>
      <c r="M160" s="159">
        <v>0.34493099999999999</v>
      </c>
      <c r="N160" s="159">
        <v>0.29953400000000002</v>
      </c>
      <c r="O160" s="159">
        <v>0.33036500000000002</v>
      </c>
      <c r="P160" s="11"/>
      <c r="Q160" s="29"/>
      <c r="R160" s="60"/>
    </row>
    <row r="161" spans="1:18" ht="12" customHeight="1">
      <c r="A161" s="10" t="s">
        <v>307</v>
      </c>
      <c r="B161" s="11" t="s">
        <v>19</v>
      </c>
      <c r="C161" s="155">
        <v>2.616927</v>
      </c>
      <c r="D161" s="159">
        <v>0.151389</v>
      </c>
      <c r="E161" s="159">
        <v>0.143705</v>
      </c>
      <c r="F161" s="159">
        <v>0.17777599999999999</v>
      </c>
      <c r="G161" s="159">
        <v>0.193851</v>
      </c>
      <c r="H161" s="159">
        <v>0.23811099999999999</v>
      </c>
      <c r="I161" s="159">
        <v>0.262216</v>
      </c>
      <c r="J161" s="159">
        <v>0.30164600000000003</v>
      </c>
      <c r="K161" s="159">
        <v>0.31925900000000001</v>
      </c>
      <c r="L161" s="159">
        <v>0.238152</v>
      </c>
      <c r="M161" s="159">
        <v>0.21157500000000001</v>
      </c>
      <c r="N161" s="159">
        <v>0.182085</v>
      </c>
      <c r="O161" s="159">
        <v>0.197162</v>
      </c>
      <c r="P161" s="11"/>
      <c r="Q161" s="29"/>
      <c r="R161" s="60"/>
    </row>
    <row r="162" spans="1:18" ht="12" customHeight="1">
      <c r="A162" s="10" t="s">
        <v>308</v>
      </c>
      <c r="B162" s="11" t="s">
        <v>2994</v>
      </c>
      <c r="C162" s="155">
        <v>6.0231969999999997</v>
      </c>
      <c r="D162" s="159">
        <v>0.31602999999999998</v>
      </c>
      <c r="E162" s="159">
        <v>0.326432</v>
      </c>
      <c r="F162" s="159">
        <v>0.37233899999999998</v>
      </c>
      <c r="G162" s="159">
        <v>0.38005499999999998</v>
      </c>
      <c r="H162" s="159">
        <v>0.470696</v>
      </c>
      <c r="I162" s="159">
        <v>0.66050900000000001</v>
      </c>
      <c r="J162" s="159">
        <v>0.89812499999999995</v>
      </c>
      <c r="K162" s="159">
        <v>0.90117999999999998</v>
      </c>
      <c r="L162" s="159">
        <v>0.51081600000000005</v>
      </c>
      <c r="M162" s="159">
        <v>0.42366999999999999</v>
      </c>
      <c r="N162" s="159">
        <v>0.37934800000000002</v>
      </c>
      <c r="O162" s="159">
        <v>0.38399699999999998</v>
      </c>
      <c r="P162" s="11"/>
      <c r="Q162" s="29"/>
      <c r="R162" s="60"/>
    </row>
    <row r="163" spans="1:18" ht="12" customHeight="1">
      <c r="A163" s="10" t="s">
        <v>310</v>
      </c>
      <c r="B163" s="11" t="s">
        <v>309</v>
      </c>
      <c r="C163" s="155">
        <v>3.684469</v>
      </c>
      <c r="D163" s="159">
        <v>0.12870599999999999</v>
      </c>
      <c r="E163" s="159">
        <v>0.145372</v>
      </c>
      <c r="F163" s="159">
        <v>0.17341599999999999</v>
      </c>
      <c r="G163" s="159">
        <v>0.27332299999999998</v>
      </c>
      <c r="H163" s="159">
        <v>0.42766300000000002</v>
      </c>
      <c r="I163" s="159">
        <v>0.40496900000000002</v>
      </c>
      <c r="J163" s="159">
        <v>0.55537499999999995</v>
      </c>
      <c r="K163" s="159">
        <v>0.631741</v>
      </c>
      <c r="L163" s="159">
        <v>0.31147399999999997</v>
      </c>
      <c r="M163" s="159">
        <v>0.24690799999999999</v>
      </c>
      <c r="N163" s="159">
        <v>0.19431899999999999</v>
      </c>
      <c r="O163" s="159">
        <v>0.19120300000000001</v>
      </c>
      <c r="P163" s="11"/>
      <c r="Q163" s="29"/>
      <c r="R163" s="60"/>
    </row>
    <row r="164" spans="1:18" ht="12" customHeight="1">
      <c r="A164" s="10" t="s">
        <v>311</v>
      </c>
      <c r="B164" s="11" t="s">
        <v>26</v>
      </c>
      <c r="C164" s="155">
        <v>10.922488</v>
      </c>
      <c r="D164" s="159">
        <v>0.62453400000000003</v>
      </c>
      <c r="E164" s="159">
        <v>0.663161</v>
      </c>
      <c r="F164" s="159">
        <v>0.81940000000000002</v>
      </c>
      <c r="G164" s="159">
        <v>0.86736999999999997</v>
      </c>
      <c r="H164" s="159">
        <v>0.99956199999999995</v>
      </c>
      <c r="I164" s="159">
        <v>0.95343800000000001</v>
      </c>
      <c r="J164" s="159">
        <v>1.0168330000000001</v>
      </c>
      <c r="K164" s="159">
        <v>1.114916</v>
      </c>
      <c r="L164" s="159">
        <v>0.96728599999999998</v>
      </c>
      <c r="M164" s="159">
        <v>0.97069899999999998</v>
      </c>
      <c r="N164" s="159">
        <v>0.89230799999999999</v>
      </c>
      <c r="O164" s="159">
        <v>1.0329809999999999</v>
      </c>
      <c r="P164" s="11"/>
      <c r="Q164" s="29"/>
      <c r="R164" s="60"/>
    </row>
    <row r="165" spans="1:18" ht="12" customHeight="1">
      <c r="A165" s="10" t="s">
        <v>312</v>
      </c>
      <c r="B165" s="11" t="s">
        <v>313</v>
      </c>
      <c r="C165" s="155">
        <v>1.408733</v>
      </c>
      <c r="D165" s="159">
        <v>7.9707E-2</v>
      </c>
      <c r="E165" s="159">
        <v>8.3385000000000001E-2</v>
      </c>
      <c r="F165" s="159">
        <v>9.5439999999999997E-2</v>
      </c>
      <c r="G165" s="159">
        <v>9.6425999999999998E-2</v>
      </c>
      <c r="H165" s="159">
        <v>0.121756</v>
      </c>
      <c r="I165" s="159">
        <v>0.13231899999999999</v>
      </c>
      <c r="J165" s="159">
        <v>0.185672</v>
      </c>
      <c r="K165" s="159">
        <v>0.186362</v>
      </c>
      <c r="L165" s="159">
        <v>0.115997</v>
      </c>
      <c r="M165" s="159">
        <v>0.119506</v>
      </c>
      <c r="N165" s="159">
        <v>9.8604999999999998E-2</v>
      </c>
      <c r="O165" s="159">
        <v>9.3558000000000002E-2</v>
      </c>
      <c r="P165" s="11"/>
      <c r="Q165" s="29"/>
      <c r="R165" s="60"/>
    </row>
    <row r="166" spans="1:18" ht="12" customHeight="1">
      <c r="A166" s="10" t="s">
        <v>314</v>
      </c>
      <c r="B166" s="11" t="s">
        <v>315</v>
      </c>
      <c r="C166" s="155">
        <v>3.9724919999999999</v>
      </c>
      <c r="D166" s="159">
        <v>0.139824</v>
      </c>
      <c r="E166" s="159">
        <v>0.14075799999999999</v>
      </c>
      <c r="F166" s="159">
        <v>0.186279</v>
      </c>
      <c r="G166" s="159">
        <v>0.21312800000000001</v>
      </c>
      <c r="H166" s="159">
        <v>0.32098500000000002</v>
      </c>
      <c r="I166" s="159">
        <v>0.450345</v>
      </c>
      <c r="J166" s="159">
        <v>0.83875100000000002</v>
      </c>
      <c r="K166" s="159">
        <v>0.82933900000000005</v>
      </c>
      <c r="L166" s="159">
        <v>0.31743700000000002</v>
      </c>
      <c r="M166" s="159">
        <v>0.218412</v>
      </c>
      <c r="N166" s="159">
        <v>0.16569900000000001</v>
      </c>
      <c r="O166" s="159">
        <v>0.151535</v>
      </c>
      <c r="P166" s="11"/>
      <c r="Q166" s="29"/>
      <c r="R166" s="60"/>
    </row>
    <row r="167" spans="1:18" ht="12" customHeight="1">
      <c r="A167" s="10" t="s">
        <v>316</v>
      </c>
      <c r="B167" s="11" t="s">
        <v>317</v>
      </c>
      <c r="C167" s="155">
        <v>5.5284610000000001</v>
      </c>
      <c r="D167" s="159">
        <v>0.28251999999999999</v>
      </c>
      <c r="E167" s="159">
        <v>0.33069100000000001</v>
      </c>
      <c r="F167" s="159">
        <v>0.40523199999999998</v>
      </c>
      <c r="G167" s="159">
        <v>0.38186199999999998</v>
      </c>
      <c r="H167" s="159">
        <v>0.47081600000000001</v>
      </c>
      <c r="I167" s="159">
        <v>0.49788500000000002</v>
      </c>
      <c r="J167" s="159">
        <v>0.73670999999999998</v>
      </c>
      <c r="K167" s="159">
        <v>0.76484799999999997</v>
      </c>
      <c r="L167" s="159">
        <v>0.45470300000000002</v>
      </c>
      <c r="M167" s="159">
        <v>0.48580400000000001</v>
      </c>
      <c r="N167" s="159">
        <v>0.38761000000000001</v>
      </c>
      <c r="O167" s="159">
        <v>0.32978000000000002</v>
      </c>
      <c r="P167" s="11"/>
      <c r="Q167" s="29"/>
      <c r="R167" s="60"/>
    </row>
    <row r="168" spans="1:18" ht="12" customHeight="1">
      <c r="A168" s="10" t="s">
        <v>318</v>
      </c>
      <c r="B168" s="11" t="s">
        <v>319</v>
      </c>
      <c r="C168" s="155">
        <v>2.7616830000000001</v>
      </c>
      <c r="D168" s="159">
        <v>7.5762999999999997E-2</v>
      </c>
      <c r="E168" s="159">
        <v>8.2118999999999998E-2</v>
      </c>
      <c r="F168" s="159">
        <v>0.106158</v>
      </c>
      <c r="G168" s="159">
        <v>0.116489</v>
      </c>
      <c r="H168" s="159">
        <v>0.190807</v>
      </c>
      <c r="I168" s="159">
        <v>0.34042499999999998</v>
      </c>
      <c r="J168" s="159">
        <v>0.67015800000000003</v>
      </c>
      <c r="K168" s="159">
        <v>0.66375300000000004</v>
      </c>
      <c r="L168" s="159">
        <v>0.18670300000000001</v>
      </c>
      <c r="M168" s="159">
        <v>0.13517699999999999</v>
      </c>
      <c r="N168" s="159">
        <v>0.10589999999999999</v>
      </c>
      <c r="O168" s="159">
        <v>8.8231000000000004E-2</v>
      </c>
      <c r="P168" s="11"/>
      <c r="Q168" s="29"/>
      <c r="R168" s="60"/>
    </row>
    <row r="169" spans="1:18" ht="12" customHeight="1">
      <c r="A169" s="10" t="s">
        <v>320</v>
      </c>
      <c r="B169" s="11" t="s">
        <v>321</v>
      </c>
      <c r="C169" s="155">
        <v>2.6127370000000001</v>
      </c>
      <c r="D169" s="159">
        <v>0.13780100000000001</v>
      </c>
      <c r="E169" s="159">
        <v>0.14063300000000001</v>
      </c>
      <c r="F169" s="159">
        <v>0.17588200000000001</v>
      </c>
      <c r="G169" s="159">
        <v>0.163745</v>
      </c>
      <c r="H169" s="159">
        <v>0.227408</v>
      </c>
      <c r="I169" s="159">
        <v>0.24682599999999999</v>
      </c>
      <c r="J169" s="159">
        <v>0.36870599999999998</v>
      </c>
      <c r="K169" s="159">
        <v>0.400227</v>
      </c>
      <c r="L169" s="159">
        <v>0.20380799999999999</v>
      </c>
      <c r="M169" s="159">
        <v>0.21429799999999999</v>
      </c>
      <c r="N169" s="159">
        <v>0.173094</v>
      </c>
      <c r="O169" s="159">
        <v>0.16030900000000001</v>
      </c>
      <c r="P169" s="11"/>
      <c r="Q169" s="29"/>
      <c r="R169" s="60"/>
    </row>
    <row r="170" spans="1:18" ht="12" customHeight="1">
      <c r="A170" s="10" t="s">
        <v>322</v>
      </c>
      <c r="B170" s="11" t="s">
        <v>323</v>
      </c>
      <c r="C170" s="155">
        <v>2.4703930000000001</v>
      </c>
      <c r="D170" s="159">
        <v>0.117372</v>
      </c>
      <c r="E170" s="159">
        <v>0.12814400000000001</v>
      </c>
      <c r="F170" s="159">
        <v>0.15133099999999999</v>
      </c>
      <c r="G170" s="159">
        <v>0.16228600000000001</v>
      </c>
      <c r="H170" s="159">
        <v>0.20662700000000001</v>
      </c>
      <c r="I170" s="159">
        <v>0.227524</v>
      </c>
      <c r="J170" s="159">
        <v>0.38017899999999999</v>
      </c>
      <c r="K170" s="159">
        <v>0.409084</v>
      </c>
      <c r="L170" s="159">
        <v>0.20289499999999999</v>
      </c>
      <c r="M170" s="159">
        <v>0.18551000000000001</v>
      </c>
      <c r="N170" s="159">
        <v>0.16250400000000001</v>
      </c>
      <c r="O170" s="159">
        <v>0.136937</v>
      </c>
      <c r="P170" s="11"/>
      <c r="Q170" s="29"/>
      <c r="R170" s="60"/>
    </row>
    <row r="171" spans="1:18" ht="12" customHeight="1">
      <c r="A171" s="10" t="s">
        <v>324</v>
      </c>
      <c r="B171" s="11" t="s">
        <v>325</v>
      </c>
      <c r="C171" s="155">
        <v>2.125823</v>
      </c>
      <c r="D171" s="159">
        <v>0.10201499999999999</v>
      </c>
      <c r="E171" s="159">
        <v>0.112752</v>
      </c>
      <c r="F171" s="159">
        <v>0.13202</v>
      </c>
      <c r="G171" s="159">
        <v>0.13982700000000001</v>
      </c>
      <c r="H171" s="159">
        <v>0.185171</v>
      </c>
      <c r="I171" s="159">
        <v>0.19955500000000001</v>
      </c>
      <c r="J171" s="159">
        <v>0.32814599999999999</v>
      </c>
      <c r="K171" s="159">
        <v>0.32743800000000001</v>
      </c>
      <c r="L171" s="159">
        <v>0.17737600000000001</v>
      </c>
      <c r="M171" s="159">
        <v>0.16864399999999999</v>
      </c>
      <c r="N171" s="159">
        <v>0.13247300000000001</v>
      </c>
      <c r="O171" s="159">
        <v>0.120406</v>
      </c>
      <c r="P171" s="11"/>
      <c r="Q171" s="29"/>
      <c r="R171" s="60"/>
    </row>
    <row r="172" spans="1:18" ht="12" customHeight="1">
      <c r="A172" s="10" t="s">
        <v>327</v>
      </c>
      <c r="B172" s="11" t="s">
        <v>326</v>
      </c>
      <c r="C172" s="155">
        <v>11.320179</v>
      </c>
      <c r="D172" s="159">
        <v>0.52955700000000006</v>
      </c>
      <c r="E172" s="159">
        <v>0.64738200000000001</v>
      </c>
      <c r="F172" s="159">
        <v>0.80946600000000002</v>
      </c>
      <c r="G172" s="159">
        <v>0.93420199999999998</v>
      </c>
      <c r="H172" s="159">
        <v>1.0343720000000001</v>
      </c>
      <c r="I172" s="159">
        <v>1.046824</v>
      </c>
      <c r="J172" s="159">
        <v>1.257738</v>
      </c>
      <c r="K172" s="159">
        <v>1.320338</v>
      </c>
      <c r="L172" s="159">
        <v>1.074009</v>
      </c>
      <c r="M172" s="159">
        <v>1.1084510000000001</v>
      </c>
      <c r="N172" s="159">
        <v>0.86983600000000005</v>
      </c>
      <c r="O172" s="159">
        <v>0.68800399999999995</v>
      </c>
      <c r="P172" s="11"/>
      <c r="Q172" s="29"/>
      <c r="R172" s="60"/>
    </row>
    <row r="173" spans="1:18" ht="12" customHeight="1">
      <c r="A173" s="10" t="s">
        <v>328</v>
      </c>
      <c r="B173" s="11" t="s">
        <v>329</v>
      </c>
      <c r="C173" s="155">
        <v>2.0106670000000002</v>
      </c>
      <c r="D173" s="159">
        <v>0.108888</v>
      </c>
      <c r="E173" s="159">
        <v>9.4829999999999998E-2</v>
      </c>
      <c r="F173" s="159">
        <v>0.12524199999999999</v>
      </c>
      <c r="G173" s="159">
        <v>0.13610800000000001</v>
      </c>
      <c r="H173" s="159">
        <v>0.22677900000000001</v>
      </c>
      <c r="I173" s="159">
        <v>0.19958400000000001</v>
      </c>
      <c r="J173" s="159">
        <v>0.23860899999999999</v>
      </c>
      <c r="K173" s="159">
        <v>0.30635200000000001</v>
      </c>
      <c r="L173" s="159">
        <v>0.19639999999999999</v>
      </c>
      <c r="M173" s="159">
        <v>0.16033800000000001</v>
      </c>
      <c r="N173" s="159">
        <v>0.11004899999999999</v>
      </c>
      <c r="O173" s="159">
        <v>0.107488</v>
      </c>
      <c r="P173" s="11"/>
      <c r="Q173" s="29"/>
      <c r="R173" s="60"/>
    </row>
    <row r="174" spans="1:18" ht="12" customHeight="1">
      <c r="A174" s="10" t="s">
        <v>330</v>
      </c>
      <c r="B174" s="11" t="s">
        <v>331</v>
      </c>
      <c r="C174" s="155">
        <v>7.0227519999999997</v>
      </c>
      <c r="D174" s="159">
        <v>0.22145699999999999</v>
      </c>
      <c r="E174" s="159">
        <v>0.226575</v>
      </c>
      <c r="F174" s="159">
        <v>0.317328</v>
      </c>
      <c r="G174" s="159">
        <v>0.42337599999999997</v>
      </c>
      <c r="H174" s="159">
        <v>0.85457499999999997</v>
      </c>
      <c r="I174" s="159">
        <v>0.81274000000000002</v>
      </c>
      <c r="J174" s="159">
        <v>1.1692130000000001</v>
      </c>
      <c r="K174" s="159">
        <v>1.3028299999999999</v>
      </c>
      <c r="L174" s="159">
        <v>0.69005300000000003</v>
      </c>
      <c r="M174" s="159">
        <v>0.49431599999999998</v>
      </c>
      <c r="N174" s="159">
        <v>0.28403299999999998</v>
      </c>
      <c r="O174" s="159">
        <v>0.22625600000000001</v>
      </c>
      <c r="P174" s="11"/>
      <c r="Q174" s="29"/>
      <c r="R174" s="60"/>
    </row>
    <row r="175" spans="1:18" ht="12" customHeight="1">
      <c r="A175" s="10" t="s">
        <v>332</v>
      </c>
      <c r="B175" s="11" t="s">
        <v>333</v>
      </c>
      <c r="C175" s="155">
        <v>7.6811629999999997</v>
      </c>
      <c r="D175" s="159">
        <v>0.40037800000000001</v>
      </c>
      <c r="E175" s="159">
        <v>0.42013499999999998</v>
      </c>
      <c r="F175" s="159">
        <v>0.47822599999999998</v>
      </c>
      <c r="G175" s="159">
        <v>0.49849399999999999</v>
      </c>
      <c r="H175" s="159">
        <v>0.89442299999999997</v>
      </c>
      <c r="I175" s="159">
        <v>0.71690100000000001</v>
      </c>
      <c r="J175" s="159">
        <v>1.0128250000000001</v>
      </c>
      <c r="K175" s="159">
        <v>1.246605</v>
      </c>
      <c r="L175" s="159">
        <v>0.71114699999999997</v>
      </c>
      <c r="M175" s="159">
        <v>0.572801</v>
      </c>
      <c r="N175" s="159">
        <v>0.33070899999999998</v>
      </c>
      <c r="O175" s="159">
        <v>0.39851900000000001</v>
      </c>
      <c r="P175" s="11"/>
      <c r="Q175" s="29"/>
      <c r="R175" s="60"/>
    </row>
    <row r="176" spans="1:18" ht="12" customHeight="1">
      <c r="A176" s="10" t="s">
        <v>334</v>
      </c>
      <c r="B176" s="11" t="s">
        <v>335</v>
      </c>
      <c r="C176" s="155">
        <v>8.3872780000000002</v>
      </c>
      <c r="D176" s="159">
        <v>0.27907700000000002</v>
      </c>
      <c r="E176" s="159">
        <v>0.27640500000000001</v>
      </c>
      <c r="F176" s="159">
        <v>0.33080399999999999</v>
      </c>
      <c r="G176" s="159">
        <v>0.61093699999999995</v>
      </c>
      <c r="H176" s="159">
        <v>1.0969169999999999</v>
      </c>
      <c r="I176" s="159">
        <v>0.84001199999999998</v>
      </c>
      <c r="J176" s="159">
        <v>1.174137</v>
      </c>
      <c r="K176" s="159">
        <v>1.6761820000000001</v>
      </c>
      <c r="L176" s="159">
        <v>0.80126500000000001</v>
      </c>
      <c r="M176" s="159">
        <v>0.63344900000000004</v>
      </c>
      <c r="N176" s="159">
        <v>0.33124500000000001</v>
      </c>
      <c r="O176" s="159">
        <v>0.33684799999999998</v>
      </c>
      <c r="P176" s="11"/>
      <c r="Q176" s="29"/>
      <c r="R176" s="60"/>
    </row>
    <row r="177" spans="1:18" ht="12" customHeight="1">
      <c r="A177" s="10" t="s">
        <v>336</v>
      </c>
      <c r="B177" s="11" t="s">
        <v>337</v>
      </c>
      <c r="C177" s="155">
        <v>15.220542</v>
      </c>
      <c r="D177" s="159">
        <v>0.65868199999999999</v>
      </c>
      <c r="E177" s="159">
        <v>0.66454000000000002</v>
      </c>
      <c r="F177" s="159">
        <v>0.74000100000000002</v>
      </c>
      <c r="G177" s="159">
        <v>1.081277</v>
      </c>
      <c r="H177" s="159">
        <v>1.813032</v>
      </c>
      <c r="I177" s="159">
        <v>1.5703309999999999</v>
      </c>
      <c r="J177" s="159">
        <v>2.1017809999999999</v>
      </c>
      <c r="K177" s="159">
        <v>2.5267110000000002</v>
      </c>
      <c r="L177" s="159">
        <v>1.4300930000000001</v>
      </c>
      <c r="M177" s="159">
        <v>1.2219709999999999</v>
      </c>
      <c r="N177" s="159">
        <v>0.73124</v>
      </c>
      <c r="O177" s="159">
        <v>0.68088300000000002</v>
      </c>
      <c r="P177" s="11"/>
      <c r="Q177" s="29"/>
      <c r="R177" s="60"/>
    </row>
    <row r="178" spans="1:18" ht="12" customHeight="1">
      <c r="A178" s="10" t="s">
        <v>338</v>
      </c>
      <c r="B178" s="11" t="s">
        <v>339</v>
      </c>
      <c r="C178" s="155">
        <v>2.825358</v>
      </c>
      <c r="D178" s="159">
        <v>0.174377</v>
      </c>
      <c r="E178" s="159">
        <v>0.15850900000000001</v>
      </c>
      <c r="F178" s="159">
        <v>0.185608</v>
      </c>
      <c r="G178" s="159">
        <v>0.18423400000000001</v>
      </c>
      <c r="H178" s="159">
        <v>0.31380599999999997</v>
      </c>
      <c r="I178" s="159">
        <v>0.20865600000000001</v>
      </c>
      <c r="J178" s="159">
        <v>0.328878</v>
      </c>
      <c r="K178" s="159">
        <v>0.424817</v>
      </c>
      <c r="L178" s="159">
        <v>0.28720000000000001</v>
      </c>
      <c r="M178" s="159">
        <v>0.24168999999999999</v>
      </c>
      <c r="N178" s="159">
        <v>0.15068899999999999</v>
      </c>
      <c r="O178" s="159">
        <v>0.16689399999999999</v>
      </c>
      <c r="P178" s="11"/>
      <c r="Q178" s="29"/>
      <c r="R178" s="60"/>
    </row>
    <row r="179" spans="1:18" ht="12" customHeight="1">
      <c r="A179" s="10" t="s">
        <v>341</v>
      </c>
      <c r="B179" s="11" t="s">
        <v>342</v>
      </c>
      <c r="C179" s="155">
        <v>40.156125000000003</v>
      </c>
      <c r="D179" s="159">
        <v>2.3315939999999999</v>
      </c>
      <c r="E179" s="159">
        <v>2.354641</v>
      </c>
      <c r="F179" s="159">
        <v>2.9540540000000002</v>
      </c>
      <c r="G179" s="159">
        <v>3.494421</v>
      </c>
      <c r="H179" s="159">
        <v>3.9382769999999998</v>
      </c>
      <c r="I179" s="159">
        <v>3.6468829999999999</v>
      </c>
      <c r="J179" s="159">
        <v>4.3926270000000001</v>
      </c>
      <c r="K179" s="159">
        <v>4.7482179999999996</v>
      </c>
      <c r="L179" s="159">
        <v>3.6610740000000002</v>
      </c>
      <c r="M179" s="159">
        <v>3.4841000000000002</v>
      </c>
      <c r="N179" s="159">
        <v>2.6392229999999999</v>
      </c>
      <c r="O179" s="159">
        <v>2.5110130000000002</v>
      </c>
      <c r="P179" s="11"/>
      <c r="Q179" s="29"/>
      <c r="R179" s="60"/>
    </row>
    <row r="180" spans="1:18" ht="12" customHeight="1">
      <c r="A180" s="10" t="s">
        <v>343</v>
      </c>
      <c r="B180" s="11" t="s">
        <v>344</v>
      </c>
      <c r="C180" s="155">
        <v>13.161737</v>
      </c>
      <c r="D180" s="159">
        <v>0.45170900000000003</v>
      </c>
      <c r="E180" s="159">
        <v>0.43891400000000003</v>
      </c>
      <c r="F180" s="159">
        <v>0.59079300000000001</v>
      </c>
      <c r="G180" s="159">
        <v>0.98933400000000005</v>
      </c>
      <c r="H180" s="159">
        <v>1.552254</v>
      </c>
      <c r="I180" s="159">
        <v>1.4494320000000001</v>
      </c>
      <c r="J180" s="159">
        <v>1.8988449999999999</v>
      </c>
      <c r="K180" s="159">
        <v>2.3031350000000002</v>
      </c>
      <c r="L180" s="159">
        <v>1.352185</v>
      </c>
      <c r="M180" s="159">
        <v>1.1969540000000001</v>
      </c>
      <c r="N180" s="159">
        <v>0.55051899999999998</v>
      </c>
      <c r="O180" s="159">
        <v>0.38766299999999998</v>
      </c>
      <c r="P180" s="11"/>
      <c r="Q180" s="29"/>
      <c r="R180" s="60"/>
    </row>
    <row r="181" spans="1:18" ht="12" customHeight="1">
      <c r="A181" s="10" t="s">
        <v>3126</v>
      </c>
      <c r="B181" s="11" t="s">
        <v>340</v>
      </c>
      <c r="C181" s="155">
        <v>4.6045790000000002</v>
      </c>
      <c r="D181" s="159">
        <v>0.24451700000000001</v>
      </c>
      <c r="E181" s="159">
        <v>0.247979</v>
      </c>
      <c r="F181" s="159">
        <v>0.30696499999999999</v>
      </c>
      <c r="G181" s="159">
        <v>0.37353199999999998</v>
      </c>
      <c r="H181" s="159">
        <v>0.53507300000000002</v>
      </c>
      <c r="I181" s="159">
        <v>0.43127900000000002</v>
      </c>
      <c r="J181" s="159">
        <v>0.53147200000000006</v>
      </c>
      <c r="K181" s="159">
        <v>0.560195</v>
      </c>
      <c r="L181" s="159">
        <v>0.438498</v>
      </c>
      <c r="M181" s="159">
        <v>0.36612299999999998</v>
      </c>
      <c r="N181" s="159">
        <v>0.30376399999999998</v>
      </c>
      <c r="O181" s="159">
        <v>0.26518199999999997</v>
      </c>
      <c r="P181" s="11"/>
      <c r="Q181" s="29"/>
      <c r="R181" s="60"/>
    </row>
    <row r="182" spans="1:18" ht="12" customHeight="1">
      <c r="A182" s="10" t="s">
        <v>3127</v>
      </c>
      <c r="B182" s="11" t="s">
        <v>3128</v>
      </c>
      <c r="C182" s="155">
        <v>16.495585999999999</v>
      </c>
      <c r="D182" s="159">
        <v>0.83626599999999995</v>
      </c>
      <c r="E182" s="159">
        <v>0.83697600000000005</v>
      </c>
      <c r="F182" s="159">
        <v>1.1144259999999999</v>
      </c>
      <c r="G182" s="159">
        <v>1.4871350000000001</v>
      </c>
      <c r="H182" s="159">
        <v>1.7054480000000001</v>
      </c>
      <c r="I182" s="159">
        <v>1.5389060000000001</v>
      </c>
      <c r="J182" s="159">
        <v>1.959819</v>
      </c>
      <c r="K182" s="159">
        <v>2.2016420000000001</v>
      </c>
      <c r="L182" s="159">
        <v>1.561132</v>
      </c>
      <c r="M182" s="159">
        <v>1.433613</v>
      </c>
      <c r="N182" s="159">
        <v>0.93251099999999998</v>
      </c>
      <c r="O182" s="159">
        <v>0.88771199999999995</v>
      </c>
      <c r="P182" s="11"/>
      <c r="Q182" s="29"/>
      <c r="R182" s="60"/>
    </row>
    <row r="183" spans="1:18" ht="12" customHeight="1">
      <c r="A183" s="10" t="s">
        <v>345</v>
      </c>
      <c r="B183" s="11" t="s">
        <v>346</v>
      </c>
      <c r="C183" s="155">
        <v>13.817463</v>
      </c>
      <c r="D183" s="159">
        <v>0.65620000000000001</v>
      </c>
      <c r="E183" s="159">
        <v>0.68648200000000004</v>
      </c>
      <c r="F183" s="159">
        <v>0.77446899999999996</v>
      </c>
      <c r="G183" s="159">
        <v>1.0478909999999999</v>
      </c>
      <c r="H183" s="159">
        <v>1.5535540000000001</v>
      </c>
      <c r="I183" s="159">
        <v>1.346087</v>
      </c>
      <c r="J183" s="159">
        <v>1.8610910000000001</v>
      </c>
      <c r="K183" s="159">
        <v>2.1081050000000001</v>
      </c>
      <c r="L183" s="159">
        <v>1.244486</v>
      </c>
      <c r="M183" s="159">
        <v>1.081089</v>
      </c>
      <c r="N183" s="159">
        <v>0.74932799999999999</v>
      </c>
      <c r="O183" s="159">
        <v>0.70868100000000001</v>
      </c>
      <c r="P183" s="11"/>
      <c r="Q183" s="29"/>
      <c r="R183" s="60"/>
    </row>
    <row r="184" spans="1:18" ht="12" customHeight="1">
      <c r="A184" s="10" t="s">
        <v>347</v>
      </c>
      <c r="B184" s="11" t="s">
        <v>348</v>
      </c>
      <c r="C184" s="155">
        <v>13.854739</v>
      </c>
      <c r="D184" s="159">
        <v>0.70433900000000005</v>
      </c>
      <c r="E184" s="159">
        <v>0.71211599999999997</v>
      </c>
      <c r="F184" s="159">
        <v>0.87207000000000001</v>
      </c>
      <c r="G184" s="159">
        <v>1.009387</v>
      </c>
      <c r="H184" s="159">
        <v>1.4110750000000001</v>
      </c>
      <c r="I184" s="159">
        <v>1.2305680000000001</v>
      </c>
      <c r="J184" s="159">
        <v>1.749814</v>
      </c>
      <c r="K184" s="159">
        <v>1.966674</v>
      </c>
      <c r="L184" s="159">
        <v>1.319645</v>
      </c>
      <c r="M184" s="159">
        <v>1.2096229999999999</v>
      </c>
      <c r="N184" s="159">
        <v>0.77419300000000002</v>
      </c>
      <c r="O184" s="159">
        <v>0.895235</v>
      </c>
      <c r="P184" s="11"/>
      <c r="Q184" s="29"/>
      <c r="R184" s="60"/>
    </row>
    <row r="185" spans="1:18" ht="12" customHeight="1">
      <c r="A185" s="10" t="s">
        <v>349</v>
      </c>
      <c r="B185" s="11" t="s">
        <v>529</v>
      </c>
      <c r="C185" s="155">
        <v>2.9837319999999998</v>
      </c>
      <c r="D185" s="159">
        <v>0.14480899999999999</v>
      </c>
      <c r="E185" s="159">
        <v>0.15317700000000001</v>
      </c>
      <c r="F185" s="159">
        <v>0.18204799999999999</v>
      </c>
      <c r="G185" s="159">
        <v>0.19275400000000001</v>
      </c>
      <c r="H185" s="159">
        <v>0.29491000000000001</v>
      </c>
      <c r="I185" s="159">
        <v>0.39138899999999999</v>
      </c>
      <c r="J185" s="159">
        <v>0.37819199999999997</v>
      </c>
      <c r="K185" s="159">
        <v>0.43413800000000002</v>
      </c>
      <c r="L185" s="159">
        <v>0.25589000000000001</v>
      </c>
      <c r="M185" s="159">
        <v>0.21702199999999999</v>
      </c>
      <c r="N185" s="159">
        <v>0.18471599999999999</v>
      </c>
      <c r="O185" s="159">
        <v>0.15468699999999999</v>
      </c>
      <c r="P185" s="11"/>
      <c r="Q185" s="29"/>
      <c r="R185" s="60"/>
    </row>
    <row r="186" spans="1:18" ht="12" customHeight="1">
      <c r="A186" s="10" t="s">
        <v>350</v>
      </c>
      <c r="B186" s="11" t="s">
        <v>351</v>
      </c>
      <c r="C186" s="155">
        <v>6.6047609999999999</v>
      </c>
      <c r="D186" s="159">
        <v>0.37160399999999999</v>
      </c>
      <c r="E186" s="159">
        <v>0.39265699999999998</v>
      </c>
      <c r="F186" s="159">
        <v>0.44082700000000002</v>
      </c>
      <c r="G186" s="159">
        <v>0.487232</v>
      </c>
      <c r="H186" s="159">
        <v>0.61965499999999996</v>
      </c>
      <c r="I186" s="159">
        <v>0.65596699999999997</v>
      </c>
      <c r="J186" s="159">
        <v>0.76481500000000002</v>
      </c>
      <c r="K186" s="159">
        <v>0.85198399999999996</v>
      </c>
      <c r="L186" s="159">
        <v>0.58383200000000002</v>
      </c>
      <c r="M186" s="159">
        <v>0.56816699999999998</v>
      </c>
      <c r="N186" s="159">
        <v>0.44750600000000001</v>
      </c>
      <c r="O186" s="159">
        <v>0.42051500000000003</v>
      </c>
      <c r="P186" s="11"/>
      <c r="Q186" s="29"/>
      <c r="R186" s="60"/>
    </row>
    <row r="187" spans="1:18" ht="12" customHeight="1">
      <c r="A187" s="10" t="s">
        <v>352</v>
      </c>
      <c r="B187" s="11" t="s">
        <v>353</v>
      </c>
      <c r="C187" s="155">
        <v>18.175943</v>
      </c>
      <c r="D187" s="159">
        <v>0.95913899999999996</v>
      </c>
      <c r="E187" s="159">
        <v>0.97834399999999999</v>
      </c>
      <c r="F187" s="159">
        <v>1.3010459999999999</v>
      </c>
      <c r="G187" s="159">
        <v>1.47224</v>
      </c>
      <c r="H187" s="159">
        <v>1.649904</v>
      </c>
      <c r="I187" s="159">
        <v>1.587178</v>
      </c>
      <c r="J187" s="159">
        <v>1.750559</v>
      </c>
      <c r="K187" s="159">
        <v>1.8753139999999999</v>
      </c>
      <c r="L187" s="159">
        <v>1.5092429999999999</v>
      </c>
      <c r="M187" s="159">
        <v>1.648018</v>
      </c>
      <c r="N187" s="159">
        <v>1.5065029999999999</v>
      </c>
      <c r="O187" s="159">
        <v>1.938455</v>
      </c>
      <c r="P187" s="11"/>
      <c r="Q187" s="29"/>
      <c r="R187" s="60"/>
    </row>
    <row r="188" spans="1:18" ht="12" customHeight="1">
      <c r="A188" s="10" t="s">
        <v>354</v>
      </c>
      <c r="B188" s="11" t="s">
        <v>355</v>
      </c>
      <c r="C188" s="155">
        <v>11.354343999999999</v>
      </c>
      <c r="D188" s="159">
        <v>0.72145899999999996</v>
      </c>
      <c r="E188" s="159">
        <v>0.87120399999999998</v>
      </c>
      <c r="F188" s="159">
        <v>0.53729300000000002</v>
      </c>
      <c r="G188" s="159">
        <v>0.26117600000000002</v>
      </c>
      <c r="H188" s="159">
        <v>0.77887700000000004</v>
      </c>
      <c r="I188" s="159">
        <v>1.232065</v>
      </c>
      <c r="J188" s="159">
        <v>2.2411759999999998</v>
      </c>
      <c r="K188" s="159">
        <v>2.5152220000000001</v>
      </c>
      <c r="L188" s="159">
        <v>1.026219</v>
      </c>
      <c r="M188" s="159">
        <v>0.44680999999999998</v>
      </c>
      <c r="N188" s="159">
        <v>0.21353900000000001</v>
      </c>
      <c r="O188" s="159">
        <v>0.50930399999999998</v>
      </c>
      <c r="P188" s="11"/>
      <c r="Q188" s="29"/>
      <c r="R188" s="60"/>
    </row>
    <row r="189" spans="1:18" ht="12" customHeight="1">
      <c r="A189" s="10" t="s">
        <v>356</v>
      </c>
      <c r="B189" s="11" t="s">
        <v>357</v>
      </c>
      <c r="C189" s="155">
        <v>11.961235</v>
      </c>
      <c r="D189" s="159">
        <v>1.0544690000000001</v>
      </c>
      <c r="E189" s="159">
        <v>1.2168749999999999</v>
      </c>
      <c r="F189" s="159">
        <v>0.94614100000000001</v>
      </c>
      <c r="G189" s="159">
        <v>0.557639</v>
      </c>
      <c r="H189" s="159">
        <v>0.84849399999999997</v>
      </c>
      <c r="I189" s="159">
        <v>1.100792</v>
      </c>
      <c r="J189" s="159">
        <v>1.4030659999999999</v>
      </c>
      <c r="K189" s="159">
        <v>1.620576</v>
      </c>
      <c r="L189" s="159">
        <v>0.96928000000000003</v>
      </c>
      <c r="M189" s="159">
        <v>0.84827799999999998</v>
      </c>
      <c r="N189" s="159">
        <v>0.53646899999999997</v>
      </c>
      <c r="O189" s="159">
        <v>0.85915600000000003</v>
      </c>
      <c r="P189" s="11"/>
      <c r="Q189" s="29"/>
      <c r="R189" s="60"/>
    </row>
    <row r="190" spans="1:18" ht="12" customHeight="1">
      <c r="A190" s="10" t="s">
        <v>358</v>
      </c>
      <c r="B190" s="11" t="s">
        <v>359</v>
      </c>
      <c r="C190" s="155">
        <v>7.9832359999999998</v>
      </c>
      <c r="D190" s="159">
        <v>0.46998299999999998</v>
      </c>
      <c r="E190" s="159">
        <v>0.51953199999999999</v>
      </c>
      <c r="F190" s="159">
        <v>0.53166199999999997</v>
      </c>
      <c r="G190" s="159">
        <v>0.51366699999999998</v>
      </c>
      <c r="H190" s="159">
        <v>0.70649799999999996</v>
      </c>
      <c r="I190" s="159">
        <v>0.81567699999999999</v>
      </c>
      <c r="J190" s="159">
        <v>1.039193</v>
      </c>
      <c r="K190" s="159">
        <v>1.090632</v>
      </c>
      <c r="L190" s="159">
        <v>0.7137</v>
      </c>
      <c r="M190" s="159">
        <v>0.63989700000000005</v>
      </c>
      <c r="N190" s="159">
        <v>0.46538299999999999</v>
      </c>
      <c r="O190" s="159">
        <v>0.477412</v>
      </c>
      <c r="P190" s="11"/>
      <c r="Q190" s="29"/>
      <c r="R190" s="60"/>
    </row>
    <row r="191" spans="1:18" ht="12" customHeight="1">
      <c r="A191" s="10" t="s">
        <v>360</v>
      </c>
      <c r="B191" s="11" t="s">
        <v>361</v>
      </c>
      <c r="C191" s="155">
        <v>25.220227000000001</v>
      </c>
      <c r="D191" s="159">
        <v>3.1592220000000002</v>
      </c>
      <c r="E191" s="159">
        <v>3.6703640000000002</v>
      </c>
      <c r="F191" s="159">
        <v>2.6122920000000001</v>
      </c>
      <c r="G191" s="159">
        <v>0.82529200000000003</v>
      </c>
      <c r="H191" s="159">
        <v>1.285593</v>
      </c>
      <c r="I191" s="159">
        <v>1.6506730000000001</v>
      </c>
      <c r="J191" s="159">
        <v>2.9802050000000002</v>
      </c>
      <c r="K191" s="159">
        <v>3.2700719999999999</v>
      </c>
      <c r="L191" s="159">
        <v>1.6193439999999999</v>
      </c>
      <c r="M191" s="159">
        <v>1.255789</v>
      </c>
      <c r="N191" s="159">
        <v>0.63941899999999996</v>
      </c>
      <c r="O191" s="159">
        <v>2.2519619999999998</v>
      </c>
      <c r="P191" s="11"/>
      <c r="Q191" s="29"/>
      <c r="R191" s="60"/>
    </row>
    <row r="192" spans="1:18" ht="12" customHeight="1">
      <c r="A192" s="10" t="s">
        <v>362</v>
      </c>
      <c r="B192" s="11" t="s">
        <v>363</v>
      </c>
      <c r="C192" s="155">
        <v>39.270166000000003</v>
      </c>
      <c r="D192" s="159">
        <v>4.8728020000000001</v>
      </c>
      <c r="E192" s="159">
        <v>5.7290890000000001</v>
      </c>
      <c r="F192" s="159">
        <v>4.2540760000000004</v>
      </c>
      <c r="G192" s="159">
        <v>1.333477</v>
      </c>
      <c r="H192" s="159">
        <v>1.7869930000000001</v>
      </c>
      <c r="I192" s="159">
        <v>2.4237150000000001</v>
      </c>
      <c r="J192" s="159">
        <v>4.4264029999999996</v>
      </c>
      <c r="K192" s="159">
        <v>5.0925739999999999</v>
      </c>
      <c r="L192" s="159">
        <v>2.7836080000000001</v>
      </c>
      <c r="M192" s="159">
        <v>2.0473140000000001</v>
      </c>
      <c r="N192" s="159">
        <v>0.97502900000000003</v>
      </c>
      <c r="O192" s="159">
        <v>3.545086</v>
      </c>
      <c r="P192" s="11"/>
      <c r="Q192" s="29"/>
      <c r="R192" s="60"/>
    </row>
    <row r="193" spans="1:18" ht="12" customHeight="1">
      <c r="A193" s="10" t="s">
        <v>364</v>
      </c>
      <c r="B193" s="11" t="s">
        <v>365</v>
      </c>
      <c r="C193" s="155">
        <v>7.647589</v>
      </c>
      <c r="D193" s="159">
        <v>0.95348100000000002</v>
      </c>
      <c r="E193" s="159">
        <v>1.136741</v>
      </c>
      <c r="F193" s="159">
        <v>0.88087599999999999</v>
      </c>
      <c r="G193" s="159">
        <v>0.255326</v>
      </c>
      <c r="H193" s="159">
        <v>0.39882000000000001</v>
      </c>
      <c r="I193" s="159">
        <v>0.47354499999999999</v>
      </c>
      <c r="J193" s="159">
        <v>0.781057</v>
      </c>
      <c r="K193" s="159">
        <v>0.96386799999999995</v>
      </c>
      <c r="L193" s="159">
        <v>0.54752900000000004</v>
      </c>
      <c r="M193" s="159">
        <v>0.46425699999999998</v>
      </c>
      <c r="N193" s="159">
        <v>0.17105400000000001</v>
      </c>
      <c r="O193" s="159">
        <v>0.621035</v>
      </c>
      <c r="P193" s="11"/>
      <c r="Q193" s="29"/>
      <c r="R193" s="60"/>
    </row>
    <row r="194" spans="1:18" ht="12" customHeight="1">
      <c r="A194" s="10" t="s">
        <v>366</v>
      </c>
      <c r="B194" s="11" t="s">
        <v>13</v>
      </c>
      <c r="C194" s="155">
        <v>15.506422000000001</v>
      </c>
      <c r="D194" s="159">
        <v>1.1419509999999999</v>
      </c>
      <c r="E194" s="159">
        <v>1.1730339999999999</v>
      </c>
      <c r="F194" s="159">
        <v>0.972499</v>
      </c>
      <c r="G194" s="159">
        <v>0.97838800000000004</v>
      </c>
      <c r="H194" s="159">
        <v>1.24899</v>
      </c>
      <c r="I194" s="159">
        <v>1.321704</v>
      </c>
      <c r="J194" s="159">
        <v>1.7669410000000001</v>
      </c>
      <c r="K194" s="159">
        <v>1.9280790000000001</v>
      </c>
      <c r="L194" s="159">
        <v>1.355378</v>
      </c>
      <c r="M194" s="159">
        <v>1.285663</v>
      </c>
      <c r="N194" s="159">
        <v>1.0519879999999999</v>
      </c>
      <c r="O194" s="159">
        <v>1.2818069999999999</v>
      </c>
      <c r="P194" s="11"/>
      <c r="Q194" s="29"/>
      <c r="R194" s="60"/>
    </row>
    <row r="195" spans="1:18" ht="12" customHeight="1">
      <c r="A195" s="10" t="s">
        <v>367</v>
      </c>
      <c r="B195" s="11" t="s">
        <v>530</v>
      </c>
      <c r="C195" s="155">
        <v>6.1583810000000003</v>
      </c>
      <c r="D195" s="159">
        <v>0.47463100000000003</v>
      </c>
      <c r="E195" s="159">
        <v>0.47079799999999999</v>
      </c>
      <c r="F195" s="159">
        <v>0.38338499999999998</v>
      </c>
      <c r="G195" s="159">
        <v>0.40994900000000001</v>
      </c>
      <c r="H195" s="159">
        <v>0.50527100000000003</v>
      </c>
      <c r="I195" s="159">
        <v>0.53787399999999996</v>
      </c>
      <c r="J195" s="159">
        <v>0.62550600000000001</v>
      </c>
      <c r="K195" s="159">
        <v>0.68884599999999996</v>
      </c>
      <c r="L195" s="159">
        <v>0.54585300000000003</v>
      </c>
      <c r="M195" s="159">
        <v>0.55152400000000001</v>
      </c>
      <c r="N195" s="159">
        <v>0.49705899999999997</v>
      </c>
      <c r="O195" s="159">
        <v>0.46768500000000002</v>
      </c>
      <c r="P195" s="11"/>
      <c r="Q195" s="29"/>
      <c r="R195" s="60"/>
    </row>
    <row r="196" spans="1:18" ht="12" customHeight="1">
      <c r="A196" s="10" t="s">
        <v>368</v>
      </c>
      <c r="B196" s="11" t="s">
        <v>369</v>
      </c>
      <c r="C196" s="155">
        <v>3.8523269999999998</v>
      </c>
      <c r="D196" s="159">
        <v>0.20299600000000001</v>
      </c>
      <c r="E196" s="159">
        <v>0.21755099999999999</v>
      </c>
      <c r="F196" s="159">
        <v>0.241282</v>
      </c>
      <c r="G196" s="159">
        <v>0.26389200000000002</v>
      </c>
      <c r="H196" s="159">
        <v>0.32900400000000002</v>
      </c>
      <c r="I196" s="159">
        <v>0.401111</v>
      </c>
      <c r="J196" s="159">
        <v>0.51051299999999999</v>
      </c>
      <c r="K196" s="159">
        <v>0.50162099999999998</v>
      </c>
      <c r="L196" s="159">
        <v>0.34579799999999999</v>
      </c>
      <c r="M196" s="159">
        <v>0.31751600000000002</v>
      </c>
      <c r="N196" s="159">
        <v>0.28563100000000002</v>
      </c>
      <c r="O196" s="159">
        <v>0.23541200000000001</v>
      </c>
      <c r="P196" s="11"/>
      <c r="Q196" s="29"/>
      <c r="R196" s="60"/>
    </row>
    <row r="197" spans="1:18" ht="12" customHeight="1">
      <c r="A197" s="10" t="s">
        <v>370</v>
      </c>
      <c r="B197" s="11" t="s">
        <v>371</v>
      </c>
      <c r="C197" s="155">
        <v>16.524806000000002</v>
      </c>
      <c r="D197" s="159">
        <v>0.62998900000000002</v>
      </c>
      <c r="E197" s="159">
        <v>0.80140299999999998</v>
      </c>
      <c r="F197" s="159">
        <v>0.86332299999999995</v>
      </c>
      <c r="G197" s="159">
        <v>0.92323599999999995</v>
      </c>
      <c r="H197" s="159">
        <v>1.4168689999999999</v>
      </c>
      <c r="I197" s="159">
        <v>1.905967</v>
      </c>
      <c r="J197" s="159">
        <v>2.8166709999999999</v>
      </c>
      <c r="K197" s="159">
        <v>2.8124660000000001</v>
      </c>
      <c r="L197" s="159">
        <v>1.6300460000000001</v>
      </c>
      <c r="M197" s="159">
        <v>1.176212</v>
      </c>
      <c r="N197" s="159">
        <v>0.84818099999999996</v>
      </c>
      <c r="O197" s="159">
        <v>0.70044300000000004</v>
      </c>
      <c r="P197" s="11"/>
      <c r="Q197" s="29"/>
      <c r="R197" s="60"/>
    </row>
    <row r="198" spans="1:18" ht="12" customHeight="1">
      <c r="A198" s="10" t="s">
        <v>372</v>
      </c>
      <c r="B198" s="11" t="s">
        <v>373</v>
      </c>
      <c r="C198" s="155">
        <v>1.4667749999999999</v>
      </c>
      <c r="D198" s="159">
        <v>6.1953000000000001E-2</v>
      </c>
      <c r="E198" s="159">
        <v>6.9060999999999997E-2</v>
      </c>
      <c r="F198" s="159">
        <v>7.6377E-2</v>
      </c>
      <c r="G198" s="159">
        <v>8.5462999999999997E-2</v>
      </c>
      <c r="H198" s="159">
        <v>0.12509500000000001</v>
      </c>
      <c r="I198" s="159">
        <v>0.14440600000000001</v>
      </c>
      <c r="J198" s="159">
        <v>0.26360800000000001</v>
      </c>
      <c r="K198" s="159">
        <v>0.24587500000000001</v>
      </c>
      <c r="L198" s="159">
        <v>0.123423</v>
      </c>
      <c r="M198" s="159">
        <v>0.105755</v>
      </c>
      <c r="N198" s="159">
        <v>9.0543999999999999E-2</v>
      </c>
      <c r="O198" s="159">
        <v>7.5215000000000004E-2</v>
      </c>
      <c r="P198" s="11"/>
      <c r="Q198" s="29"/>
      <c r="R198" s="60"/>
    </row>
    <row r="199" spans="1:18" ht="12" customHeight="1">
      <c r="A199" s="10" t="s">
        <v>374</v>
      </c>
      <c r="B199" s="11" t="s">
        <v>531</v>
      </c>
      <c r="C199" s="155">
        <v>11.256591999999999</v>
      </c>
      <c r="D199" s="159">
        <v>0.805751</v>
      </c>
      <c r="E199" s="159">
        <v>0.84018099999999996</v>
      </c>
      <c r="F199" s="159">
        <v>0.71018199999999998</v>
      </c>
      <c r="G199" s="159">
        <v>0.71748299999999998</v>
      </c>
      <c r="H199" s="159">
        <v>0.97615399999999997</v>
      </c>
      <c r="I199" s="159">
        <v>0.96787699999999999</v>
      </c>
      <c r="J199" s="159">
        <v>1.271331</v>
      </c>
      <c r="K199" s="159">
        <v>1.418439</v>
      </c>
      <c r="L199" s="159">
        <v>0.88525900000000002</v>
      </c>
      <c r="M199" s="159">
        <v>0.97997199999999995</v>
      </c>
      <c r="N199" s="159">
        <v>0.80774599999999996</v>
      </c>
      <c r="O199" s="159">
        <v>0.87621700000000002</v>
      </c>
      <c r="P199" s="11"/>
      <c r="Q199" s="29"/>
      <c r="R199" s="60"/>
    </row>
    <row r="200" spans="1:18" ht="12" customHeight="1">
      <c r="A200" s="10" t="s">
        <v>375</v>
      </c>
      <c r="B200" s="11" t="s">
        <v>376</v>
      </c>
      <c r="C200" s="155">
        <v>0.77219800000000005</v>
      </c>
      <c r="D200" s="159">
        <v>4.4623000000000003E-2</v>
      </c>
      <c r="E200" s="159">
        <v>5.0805000000000003E-2</v>
      </c>
      <c r="F200" s="159">
        <v>4.4840999999999999E-2</v>
      </c>
      <c r="G200" s="159">
        <v>4.8735000000000001E-2</v>
      </c>
      <c r="H200" s="159">
        <v>7.0998000000000006E-2</v>
      </c>
      <c r="I200" s="159">
        <v>7.8511999999999998E-2</v>
      </c>
      <c r="J200" s="159">
        <v>9.4764000000000001E-2</v>
      </c>
      <c r="K200" s="159">
        <v>0.10838200000000001</v>
      </c>
      <c r="L200" s="159">
        <v>6.1671999999999998E-2</v>
      </c>
      <c r="M200" s="159">
        <v>6.8701999999999999E-2</v>
      </c>
      <c r="N200" s="159">
        <v>5.4925000000000002E-2</v>
      </c>
      <c r="O200" s="159">
        <v>4.5239000000000001E-2</v>
      </c>
      <c r="P200" s="11"/>
      <c r="Q200" s="29"/>
      <c r="R200" s="60"/>
    </row>
    <row r="201" spans="1:18" ht="12" customHeight="1">
      <c r="A201" s="10" t="s">
        <v>377</v>
      </c>
      <c r="B201" s="11" t="s">
        <v>532</v>
      </c>
      <c r="C201" s="155">
        <v>4.7254690000000004</v>
      </c>
      <c r="D201" s="159">
        <v>0.28742299999999998</v>
      </c>
      <c r="E201" s="159">
        <v>0.31396600000000002</v>
      </c>
      <c r="F201" s="159">
        <v>0.344308</v>
      </c>
      <c r="G201" s="159">
        <v>0.35195599999999999</v>
      </c>
      <c r="H201" s="159">
        <v>0.42670000000000002</v>
      </c>
      <c r="I201" s="159">
        <v>0.44942900000000002</v>
      </c>
      <c r="J201" s="159">
        <v>0.51885099999999995</v>
      </c>
      <c r="K201" s="159">
        <v>0.51940699999999995</v>
      </c>
      <c r="L201" s="159">
        <v>0.43123499999999998</v>
      </c>
      <c r="M201" s="159">
        <v>0.41180099999999997</v>
      </c>
      <c r="N201" s="159">
        <v>0.36543300000000001</v>
      </c>
      <c r="O201" s="159">
        <v>0.30496000000000001</v>
      </c>
      <c r="P201" s="11"/>
      <c r="Q201" s="29"/>
      <c r="R201" s="60"/>
    </row>
    <row r="202" spans="1:18" ht="12" customHeight="1">
      <c r="A202" s="10" t="s">
        <v>378</v>
      </c>
      <c r="B202" s="11" t="s">
        <v>533</v>
      </c>
      <c r="C202" s="155">
        <v>3.4812970000000001</v>
      </c>
      <c r="D202" s="159">
        <v>0.14909600000000001</v>
      </c>
      <c r="E202" s="159">
        <v>0.13289100000000001</v>
      </c>
      <c r="F202" s="159">
        <v>0.15001600000000001</v>
      </c>
      <c r="G202" s="159">
        <v>0.15700900000000001</v>
      </c>
      <c r="H202" s="159">
        <v>0.318243</v>
      </c>
      <c r="I202" s="159">
        <v>0.40702700000000003</v>
      </c>
      <c r="J202" s="159">
        <v>0.68499200000000005</v>
      </c>
      <c r="K202" s="159">
        <v>0.69724900000000001</v>
      </c>
      <c r="L202" s="159">
        <v>0.28307100000000002</v>
      </c>
      <c r="M202" s="159">
        <v>0.18972700000000001</v>
      </c>
      <c r="N202" s="159">
        <v>0.16225400000000001</v>
      </c>
      <c r="O202" s="159">
        <v>0.14972199999999999</v>
      </c>
      <c r="P202" s="11"/>
      <c r="Q202" s="29"/>
      <c r="R202" s="60"/>
    </row>
    <row r="203" spans="1:18" ht="12" customHeight="1">
      <c r="A203" s="10" t="s">
        <v>379</v>
      </c>
      <c r="B203" s="11" t="s">
        <v>380</v>
      </c>
      <c r="C203" s="155">
        <v>10.915105000000001</v>
      </c>
      <c r="D203" s="159">
        <v>0.448515</v>
      </c>
      <c r="E203" s="159">
        <v>0.50257600000000002</v>
      </c>
      <c r="F203" s="159">
        <v>0.494614</v>
      </c>
      <c r="G203" s="159">
        <v>0.53722899999999996</v>
      </c>
      <c r="H203" s="159">
        <v>0.87846900000000006</v>
      </c>
      <c r="I203" s="159">
        <v>1.21326</v>
      </c>
      <c r="J203" s="159">
        <v>2.0803050000000001</v>
      </c>
      <c r="K203" s="159">
        <v>2.1066609999999999</v>
      </c>
      <c r="L203" s="159">
        <v>0.99568800000000002</v>
      </c>
      <c r="M203" s="159">
        <v>0.638374</v>
      </c>
      <c r="N203" s="159">
        <v>0.52666599999999997</v>
      </c>
      <c r="O203" s="159">
        <v>0.49274800000000002</v>
      </c>
      <c r="P203" s="11"/>
      <c r="Q203" s="29"/>
      <c r="R203" s="60"/>
    </row>
    <row r="204" spans="1:18" ht="12" customHeight="1">
      <c r="A204" s="10" t="s">
        <v>381</v>
      </c>
      <c r="B204" s="11" t="s">
        <v>534</v>
      </c>
      <c r="C204" s="155">
        <v>2.5670989999999998</v>
      </c>
      <c r="D204" s="159">
        <v>0.158889</v>
      </c>
      <c r="E204" s="159">
        <v>0.16852600000000001</v>
      </c>
      <c r="F204" s="159">
        <v>0.17307500000000001</v>
      </c>
      <c r="G204" s="159">
        <v>0.18293100000000001</v>
      </c>
      <c r="H204" s="159">
        <v>0.21084800000000001</v>
      </c>
      <c r="I204" s="159">
        <v>0.24438499999999999</v>
      </c>
      <c r="J204" s="159">
        <v>0.27234000000000003</v>
      </c>
      <c r="K204" s="159">
        <v>0.27617900000000001</v>
      </c>
      <c r="L204" s="159">
        <v>0.233851</v>
      </c>
      <c r="M204" s="159">
        <v>0.24643599999999999</v>
      </c>
      <c r="N204" s="159">
        <v>0.22129299999999999</v>
      </c>
      <c r="O204" s="159">
        <v>0.178346</v>
      </c>
      <c r="P204" s="11"/>
      <c r="Q204" s="29"/>
      <c r="R204" s="60"/>
    </row>
    <row r="205" spans="1:18" ht="12" customHeight="1">
      <c r="A205" s="10" t="s">
        <v>382</v>
      </c>
      <c r="B205" s="11" t="s">
        <v>535</v>
      </c>
      <c r="C205" s="155">
        <v>2.0445319999999998</v>
      </c>
      <c r="D205" s="159">
        <v>0.123056</v>
      </c>
      <c r="E205" s="159">
        <v>0.13256599999999999</v>
      </c>
      <c r="F205" s="159">
        <v>0.14369199999999999</v>
      </c>
      <c r="G205" s="159">
        <v>0.14224500000000001</v>
      </c>
      <c r="H205" s="159">
        <v>0.18640999999999999</v>
      </c>
      <c r="I205" s="159">
        <v>0.18446299999999999</v>
      </c>
      <c r="J205" s="159">
        <v>0.221</v>
      </c>
      <c r="K205" s="159">
        <v>0.236098</v>
      </c>
      <c r="L205" s="159">
        <v>0.198515</v>
      </c>
      <c r="M205" s="159">
        <v>0.17688100000000001</v>
      </c>
      <c r="N205" s="159">
        <v>0.16383</v>
      </c>
      <c r="O205" s="159">
        <v>0.13577600000000001</v>
      </c>
      <c r="P205" s="11"/>
      <c r="Q205" s="29"/>
      <c r="R205" s="60"/>
    </row>
    <row r="206" spans="1:18" ht="12" customHeight="1">
      <c r="A206" s="10" t="s">
        <v>383</v>
      </c>
      <c r="B206" s="11" t="s">
        <v>384</v>
      </c>
      <c r="C206" s="155">
        <v>2.382609</v>
      </c>
      <c r="D206" s="159">
        <v>0.12334000000000001</v>
      </c>
      <c r="E206" s="159">
        <v>0.120819</v>
      </c>
      <c r="F206" s="159">
        <v>0.13803199999999999</v>
      </c>
      <c r="G206" s="159">
        <v>0.165856</v>
      </c>
      <c r="H206" s="159">
        <v>0.207736</v>
      </c>
      <c r="I206" s="159">
        <v>0.223802</v>
      </c>
      <c r="J206" s="159">
        <v>0.32931700000000003</v>
      </c>
      <c r="K206" s="159">
        <v>0.341972</v>
      </c>
      <c r="L206" s="159">
        <v>0.21654499999999999</v>
      </c>
      <c r="M206" s="159">
        <v>0.19522800000000001</v>
      </c>
      <c r="N206" s="159">
        <v>0.17388899999999999</v>
      </c>
      <c r="O206" s="159">
        <v>0.14607300000000001</v>
      </c>
      <c r="P206" s="11"/>
      <c r="Q206" s="29"/>
      <c r="R206" s="60"/>
    </row>
    <row r="207" spans="1:18" ht="12" customHeight="1">
      <c r="A207" s="10" t="s">
        <v>385</v>
      </c>
      <c r="B207" s="11" t="s">
        <v>386</v>
      </c>
      <c r="C207" s="155">
        <v>3.569858</v>
      </c>
      <c r="D207" s="159">
        <v>0.23324600000000001</v>
      </c>
      <c r="E207" s="159">
        <v>0.217613</v>
      </c>
      <c r="F207" s="159">
        <v>0.21709800000000001</v>
      </c>
      <c r="G207" s="159">
        <v>0.23508699999999999</v>
      </c>
      <c r="H207" s="159">
        <v>0.31202299999999999</v>
      </c>
      <c r="I207" s="159">
        <v>0.34015099999999998</v>
      </c>
      <c r="J207" s="159">
        <v>0.453125</v>
      </c>
      <c r="K207" s="159">
        <v>0.48335400000000001</v>
      </c>
      <c r="L207" s="159">
        <v>0.32317099999999999</v>
      </c>
      <c r="M207" s="159">
        <v>0.30689300000000003</v>
      </c>
      <c r="N207" s="159">
        <v>0.24046799999999999</v>
      </c>
      <c r="O207" s="159">
        <v>0.20762900000000001</v>
      </c>
      <c r="P207" s="11"/>
      <c r="Q207" s="29"/>
      <c r="R207" s="60"/>
    </row>
    <row r="208" spans="1:18" ht="12" customHeight="1">
      <c r="A208" s="10" t="s">
        <v>387</v>
      </c>
      <c r="B208" s="11" t="s">
        <v>388</v>
      </c>
      <c r="C208" s="155">
        <v>1.2798160000000001</v>
      </c>
      <c r="D208" s="159">
        <v>6.3409999999999994E-2</v>
      </c>
      <c r="E208" s="159">
        <v>6.2398000000000002E-2</v>
      </c>
      <c r="F208" s="159">
        <v>6.4030000000000004E-2</v>
      </c>
      <c r="G208" s="159">
        <v>7.4818999999999997E-2</v>
      </c>
      <c r="H208" s="159">
        <v>0.112542</v>
      </c>
      <c r="I208" s="159">
        <v>0.12710099999999999</v>
      </c>
      <c r="J208" s="159">
        <v>0.184837</v>
      </c>
      <c r="K208" s="159">
        <v>0.203879</v>
      </c>
      <c r="L208" s="159">
        <v>0.133991</v>
      </c>
      <c r="M208" s="159">
        <v>0.101064</v>
      </c>
      <c r="N208" s="159">
        <v>7.9716999999999996E-2</v>
      </c>
      <c r="O208" s="159">
        <v>7.2027999999999995E-2</v>
      </c>
      <c r="P208" s="11"/>
      <c r="Q208" s="29"/>
      <c r="R208" s="60"/>
    </row>
    <row r="209" spans="1:18" ht="12" customHeight="1">
      <c r="A209" s="10" t="s">
        <v>389</v>
      </c>
      <c r="B209" s="11" t="s">
        <v>536</v>
      </c>
      <c r="C209" s="155">
        <v>9.5457509999999992</v>
      </c>
      <c r="D209" s="159">
        <v>0.58738699999999999</v>
      </c>
      <c r="E209" s="159">
        <v>0.64105900000000005</v>
      </c>
      <c r="F209" s="159">
        <v>0.68449499999999996</v>
      </c>
      <c r="G209" s="159">
        <v>0.72057800000000005</v>
      </c>
      <c r="H209" s="159">
        <v>0.80600799999999995</v>
      </c>
      <c r="I209" s="159">
        <v>0.83685500000000002</v>
      </c>
      <c r="J209" s="159">
        <v>0.88662799999999997</v>
      </c>
      <c r="K209" s="159">
        <v>0.95379700000000001</v>
      </c>
      <c r="L209" s="159">
        <v>0.89305900000000005</v>
      </c>
      <c r="M209" s="159">
        <v>0.91879200000000005</v>
      </c>
      <c r="N209" s="159">
        <v>0.833843</v>
      </c>
      <c r="O209" s="159">
        <v>0.78325</v>
      </c>
      <c r="P209" s="11"/>
      <c r="Q209" s="29"/>
      <c r="R209" s="60"/>
    </row>
    <row r="210" spans="1:18" ht="12" customHeight="1">
      <c r="A210" s="10" t="s">
        <v>390</v>
      </c>
      <c r="B210" s="11" t="s">
        <v>391</v>
      </c>
      <c r="C210" s="155">
        <v>1.5991059999999999</v>
      </c>
      <c r="D210" s="159">
        <v>9.6755999999999995E-2</v>
      </c>
      <c r="E210" s="159">
        <v>9.1180999999999998E-2</v>
      </c>
      <c r="F210" s="159">
        <v>9.9622000000000002E-2</v>
      </c>
      <c r="G210" s="159">
        <v>0.110237</v>
      </c>
      <c r="H210" s="159">
        <v>0.12848799999999999</v>
      </c>
      <c r="I210" s="159">
        <v>0.15153800000000001</v>
      </c>
      <c r="J210" s="159">
        <v>0.176039</v>
      </c>
      <c r="K210" s="159">
        <v>0.17966399999999999</v>
      </c>
      <c r="L210" s="159">
        <v>0.15359400000000001</v>
      </c>
      <c r="M210" s="159">
        <v>0.146285</v>
      </c>
      <c r="N210" s="159">
        <v>0.139907</v>
      </c>
      <c r="O210" s="159">
        <v>0.12579499999999999</v>
      </c>
      <c r="P210" s="11"/>
      <c r="Q210" s="29"/>
      <c r="R210" s="60"/>
    </row>
    <row r="211" spans="1:18" ht="12" customHeight="1">
      <c r="A211" s="10" t="s">
        <v>392</v>
      </c>
      <c r="B211" s="11" t="s">
        <v>393</v>
      </c>
      <c r="C211" s="155">
        <v>15.212239</v>
      </c>
      <c r="D211" s="159">
        <v>0.65080899999999997</v>
      </c>
      <c r="E211" s="159">
        <v>0.77499799999999996</v>
      </c>
      <c r="F211" s="159">
        <v>1.036332</v>
      </c>
      <c r="G211" s="159">
        <v>1.193988</v>
      </c>
      <c r="H211" s="159">
        <v>1.4331449999999999</v>
      </c>
      <c r="I211" s="159">
        <v>1.417146</v>
      </c>
      <c r="J211" s="159">
        <v>1.703192</v>
      </c>
      <c r="K211" s="159">
        <v>2.1853829999999999</v>
      </c>
      <c r="L211" s="159">
        <v>1.601451</v>
      </c>
      <c r="M211" s="159">
        <v>1.367734</v>
      </c>
      <c r="N211" s="159">
        <v>0.98341999999999996</v>
      </c>
      <c r="O211" s="159">
        <v>0.86464099999999999</v>
      </c>
      <c r="P211" s="11"/>
      <c r="Q211" s="29"/>
      <c r="R211" s="60"/>
    </row>
    <row r="212" spans="1:18" ht="12" customHeight="1">
      <c r="A212" s="10" t="s">
        <v>394</v>
      </c>
      <c r="B212" s="11" t="s">
        <v>395</v>
      </c>
      <c r="C212" s="155">
        <v>22.98359</v>
      </c>
      <c r="D212" s="159">
        <v>0.703793</v>
      </c>
      <c r="E212" s="159">
        <v>0.96012900000000001</v>
      </c>
      <c r="F212" s="159">
        <v>1.392433</v>
      </c>
      <c r="G212" s="159">
        <v>1.7978879999999999</v>
      </c>
      <c r="H212" s="159">
        <v>2.2239309999999999</v>
      </c>
      <c r="I212" s="159">
        <v>2.492985</v>
      </c>
      <c r="J212" s="159">
        <v>3.1516790000000001</v>
      </c>
      <c r="K212" s="159">
        <v>3.7288960000000002</v>
      </c>
      <c r="L212" s="159">
        <v>2.6165639999999999</v>
      </c>
      <c r="M212" s="159">
        <v>2.2156889999999998</v>
      </c>
      <c r="N212" s="159">
        <v>0.951067</v>
      </c>
      <c r="O212" s="159">
        <v>0.74853599999999998</v>
      </c>
      <c r="P212" s="11"/>
      <c r="Q212" s="29"/>
      <c r="R212" s="60"/>
    </row>
    <row r="213" spans="1:18" ht="12" customHeight="1">
      <c r="A213" s="10" t="s">
        <v>3111</v>
      </c>
      <c r="B213" s="11" t="s">
        <v>3112</v>
      </c>
      <c r="C213" s="155">
        <v>6.1914040000000004</v>
      </c>
      <c r="D213" s="159">
        <v>0.28562900000000002</v>
      </c>
      <c r="E213" s="159">
        <v>0.32267600000000002</v>
      </c>
      <c r="F213" s="159">
        <v>0.40501700000000002</v>
      </c>
      <c r="G213" s="159">
        <v>0.42783500000000002</v>
      </c>
      <c r="H213" s="159">
        <v>0.507378</v>
      </c>
      <c r="I213" s="159">
        <v>0.53148300000000004</v>
      </c>
      <c r="J213" s="159">
        <v>0.72175299999999998</v>
      </c>
      <c r="K213" s="159">
        <v>1.155178</v>
      </c>
      <c r="L213" s="159">
        <v>0.61708399999999997</v>
      </c>
      <c r="M213" s="159">
        <v>0.46959600000000001</v>
      </c>
      <c r="N213" s="159">
        <v>0.38786599999999999</v>
      </c>
      <c r="O213" s="159">
        <v>0.35990899999999998</v>
      </c>
      <c r="P213" s="11"/>
      <c r="Q213" s="29"/>
      <c r="R213" s="60"/>
    </row>
    <row r="214" spans="1:18" ht="12" customHeight="1">
      <c r="A214" s="10" t="s">
        <v>3113</v>
      </c>
      <c r="B214" s="11" t="s">
        <v>3057</v>
      </c>
      <c r="C214" s="155">
        <v>19.894190999999999</v>
      </c>
      <c r="D214" s="159">
        <v>1.0305979999999999</v>
      </c>
      <c r="E214" s="159">
        <v>1.257403</v>
      </c>
      <c r="F214" s="159">
        <v>1.634037</v>
      </c>
      <c r="G214" s="159">
        <v>1.713851</v>
      </c>
      <c r="H214" s="159">
        <v>1.9332510000000001</v>
      </c>
      <c r="I214" s="159">
        <v>1.805707</v>
      </c>
      <c r="J214" s="159">
        <v>1.939797</v>
      </c>
      <c r="K214" s="159">
        <v>2.100867</v>
      </c>
      <c r="L214" s="159">
        <v>1.908064</v>
      </c>
      <c r="M214" s="159">
        <v>1.8883749999999999</v>
      </c>
      <c r="N214" s="159">
        <v>1.4656899999999999</v>
      </c>
      <c r="O214" s="159">
        <v>1.2165509999999999</v>
      </c>
      <c r="P214" s="11"/>
      <c r="Q214" s="29"/>
      <c r="R214" s="60"/>
    </row>
    <row r="215" spans="1:18" ht="12" customHeight="1">
      <c r="A215" s="10" t="s">
        <v>3114</v>
      </c>
      <c r="B215" s="11" t="s">
        <v>3059</v>
      </c>
      <c r="C215" s="155">
        <v>2.5141559999999998</v>
      </c>
      <c r="D215" s="159">
        <v>9.5072000000000004E-2</v>
      </c>
      <c r="E215" s="159">
        <v>0.113799</v>
      </c>
      <c r="F215" s="159">
        <v>0.15509100000000001</v>
      </c>
      <c r="G215" s="159">
        <v>0.18065600000000001</v>
      </c>
      <c r="H215" s="159">
        <v>0.20932899999999999</v>
      </c>
      <c r="I215" s="159">
        <v>0.24590000000000001</v>
      </c>
      <c r="J215" s="159">
        <v>0.34266099999999999</v>
      </c>
      <c r="K215" s="159">
        <v>0.43719999999999998</v>
      </c>
      <c r="L215" s="159">
        <v>0.28153299999999998</v>
      </c>
      <c r="M215" s="159">
        <v>0.20447100000000001</v>
      </c>
      <c r="N215" s="159">
        <v>0.13459499999999999</v>
      </c>
      <c r="O215" s="159">
        <v>0.11384900000000001</v>
      </c>
      <c r="P215" s="11"/>
      <c r="Q215" s="29"/>
      <c r="R215" s="60"/>
    </row>
    <row r="216" spans="1:18" ht="12" customHeight="1">
      <c r="A216" s="10" t="s">
        <v>3115</v>
      </c>
      <c r="B216" s="11" t="s">
        <v>396</v>
      </c>
      <c r="C216" s="155">
        <v>4.4396459999999998</v>
      </c>
      <c r="D216" s="159">
        <v>0.144485</v>
      </c>
      <c r="E216" s="159">
        <v>0.19686100000000001</v>
      </c>
      <c r="F216" s="159">
        <v>0.265712</v>
      </c>
      <c r="G216" s="159">
        <v>0.31825399999999998</v>
      </c>
      <c r="H216" s="159">
        <v>0.39095800000000003</v>
      </c>
      <c r="I216" s="159">
        <v>0.42149399999999998</v>
      </c>
      <c r="J216" s="159">
        <v>0.58519600000000005</v>
      </c>
      <c r="K216" s="159">
        <v>0.86314800000000003</v>
      </c>
      <c r="L216" s="159">
        <v>0.48650599999999999</v>
      </c>
      <c r="M216" s="159">
        <v>0.32969900000000002</v>
      </c>
      <c r="N216" s="159">
        <v>0.23887700000000001</v>
      </c>
      <c r="O216" s="159">
        <v>0.19845599999999999</v>
      </c>
      <c r="P216" s="11"/>
      <c r="Q216" s="29"/>
      <c r="R216" s="60"/>
    </row>
    <row r="217" spans="1:18" ht="12" customHeight="1">
      <c r="A217" s="10" t="s">
        <v>3116</v>
      </c>
      <c r="B217" s="11" t="s">
        <v>3117</v>
      </c>
      <c r="C217" s="155">
        <v>4.199357</v>
      </c>
      <c r="D217" s="159">
        <v>0.14233299999999999</v>
      </c>
      <c r="E217" s="159">
        <v>0.18274199999999999</v>
      </c>
      <c r="F217" s="159">
        <v>0.26294499999999998</v>
      </c>
      <c r="G217" s="159">
        <v>0.31866899999999998</v>
      </c>
      <c r="H217" s="159">
        <v>0.38416400000000001</v>
      </c>
      <c r="I217" s="159">
        <v>0.38418099999999999</v>
      </c>
      <c r="J217" s="159">
        <v>0.53351199999999999</v>
      </c>
      <c r="K217" s="159">
        <v>0.705071</v>
      </c>
      <c r="L217" s="159">
        <v>0.45331399999999999</v>
      </c>
      <c r="M217" s="159">
        <v>0.37321199999999999</v>
      </c>
      <c r="N217" s="159">
        <v>0.26410699999999998</v>
      </c>
      <c r="O217" s="159">
        <v>0.195107</v>
      </c>
      <c r="P217" s="11"/>
      <c r="Q217" s="29"/>
      <c r="R217" s="60"/>
    </row>
    <row r="218" spans="1:18" ht="12" customHeight="1">
      <c r="A218" s="10" t="s">
        <v>397</v>
      </c>
      <c r="B218" s="11" t="s">
        <v>537</v>
      </c>
      <c r="C218" s="155">
        <v>3.0618189999999998</v>
      </c>
      <c r="D218" s="159">
        <v>8.9722999999999997E-2</v>
      </c>
      <c r="E218" s="159">
        <v>0.12045</v>
      </c>
      <c r="F218" s="159">
        <v>0.183115</v>
      </c>
      <c r="G218" s="159">
        <v>0.23844199999999999</v>
      </c>
      <c r="H218" s="159">
        <v>0.30417</v>
      </c>
      <c r="I218" s="159">
        <v>0.34416999999999998</v>
      </c>
      <c r="J218" s="159">
        <v>0.41998600000000003</v>
      </c>
      <c r="K218" s="159">
        <v>0.46359</v>
      </c>
      <c r="L218" s="159">
        <v>0.37089299999999997</v>
      </c>
      <c r="M218" s="159">
        <v>0.27394200000000002</v>
      </c>
      <c r="N218" s="159">
        <v>0.15498999999999999</v>
      </c>
      <c r="O218" s="159">
        <v>9.8348000000000005E-2</v>
      </c>
      <c r="P218" s="11"/>
      <c r="Q218" s="29"/>
      <c r="R218" s="60"/>
    </row>
    <row r="219" spans="1:18" ht="12" customHeight="1">
      <c r="A219" s="10" t="s">
        <v>398</v>
      </c>
      <c r="B219" s="11" t="s">
        <v>538</v>
      </c>
      <c r="C219" s="155">
        <v>9.5771809999999995</v>
      </c>
      <c r="D219" s="159">
        <v>0.58291499999999996</v>
      </c>
      <c r="E219" s="159">
        <v>0.65204300000000004</v>
      </c>
      <c r="F219" s="159">
        <v>0.76597400000000004</v>
      </c>
      <c r="G219" s="159">
        <v>0.79048099999999999</v>
      </c>
      <c r="H219" s="159">
        <v>0.87096099999999999</v>
      </c>
      <c r="I219" s="159">
        <v>0.86505100000000001</v>
      </c>
      <c r="J219" s="159">
        <v>0.94366799999999995</v>
      </c>
      <c r="K219" s="159">
        <v>0.98943999999999999</v>
      </c>
      <c r="L219" s="159">
        <v>0.88900400000000002</v>
      </c>
      <c r="M219" s="159">
        <v>0.85395600000000005</v>
      </c>
      <c r="N219" s="159">
        <v>0.73165899999999995</v>
      </c>
      <c r="O219" s="159">
        <v>0.64202899999999996</v>
      </c>
      <c r="P219" s="11"/>
      <c r="Q219" s="29"/>
      <c r="R219" s="60"/>
    </row>
    <row r="220" spans="1:18" ht="12" customHeight="1">
      <c r="A220" s="10" t="s">
        <v>399</v>
      </c>
      <c r="B220" s="11" t="s">
        <v>400</v>
      </c>
      <c r="C220" s="155">
        <v>3.7412740000000002</v>
      </c>
      <c r="D220" s="159">
        <v>0.19411200000000001</v>
      </c>
      <c r="E220" s="159">
        <v>0.22287499999999999</v>
      </c>
      <c r="F220" s="159">
        <v>0.21843899999999999</v>
      </c>
      <c r="G220" s="159">
        <v>0.238565</v>
      </c>
      <c r="H220" s="159">
        <v>0.30400500000000003</v>
      </c>
      <c r="I220" s="159">
        <v>0.35810599999999998</v>
      </c>
      <c r="J220" s="159">
        <v>0.45674999999999999</v>
      </c>
      <c r="K220" s="159">
        <v>0.521594</v>
      </c>
      <c r="L220" s="159">
        <v>0.35461399999999998</v>
      </c>
      <c r="M220" s="159">
        <v>0.34348899999999999</v>
      </c>
      <c r="N220" s="159">
        <v>0.28153400000000001</v>
      </c>
      <c r="O220" s="159">
        <v>0.24719099999999999</v>
      </c>
      <c r="P220" s="11"/>
      <c r="Q220" s="29"/>
      <c r="R220" s="60"/>
    </row>
    <row r="221" spans="1:18" ht="12" customHeight="1">
      <c r="A221" s="10" t="s">
        <v>401</v>
      </c>
      <c r="B221" s="11" t="s">
        <v>402</v>
      </c>
      <c r="C221" s="155">
        <v>6.1793490000000002</v>
      </c>
      <c r="D221" s="159">
        <v>0.38494899999999999</v>
      </c>
      <c r="E221" s="159">
        <v>0.445934</v>
      </c>
      <c r="F221" s="159">
        <v>0.37747599999999998</v>
      </c>
      <c r="G221" s="159">
        <v>0.39196599999999998</v>
      </c>
      <c r="H221" s="159">
        <v>0.49322500000000002</v>
      </c>
      <c r="I221" s="159">
        <v>0.53017599999999998</v>
      </c>
      <c r="J221" s="159">
        <v>0.70721400000000001</v>
      </c>
      <c r="K221" s="159">
        <v>0.80646300000000004</v>
      </c>
      <c r="L221" s="159">
        <v>0.56749400000000005</v>
      </c>
      <c r="M221" s="159">
        <v>0.54836700000000005</v>
      </c>
      <c r="N221" s="159">
        <v>0.44720799999999999</v>
      </c>
      <c r="O221" s="159">
        <v>0.478877</v>
      </c>
      <c r="P221" s="11"/>
      <c r="Q221" s="29"/>
      <c r="R221" s="60"/>
    </row>
    <row r="222" spans="1:18" ht="12" customHeight="1">
      <c r="A222" s="10" t="s">
        <v>403</v>
      </c>
      <c r="B222" s="11" t="s">
        <v>269</v>
      </c>
      <c r="C222" s="155">
        <v>2.8148840000000002</v>
      </c>
      <c r="D222" s="159">
        <v>0.15570899999999999</v>
      </c>
      <c r="E222" s="159">
        <v>0.154975</v>
      </c>
      <c r="F222" s="159">
        <v>0.160774</v>
      </c>
      <c r="G222" s="159">
        <v>0.17985899999999999</v>
      </c>
      <c r="H222" s="159">
        <v>0.22717200000000001</v>
      </c>
      <c r="I222" s="159">
        <v>0.25733299999999998</v>
      </c>
      <c r="J222" s="159">
        <v>0.34387099999999998</v>
      </c>
      <c r="K222" s="159">
        <v>0.41302800000000001</v>
      </c>
      <c r="L222" s="159">
        <v>0.25877800000000001</v>
      </c>
      <c r="M222" s="159">
        <v>0.26290599999999997</v>
      </c>
      <c r="N222" s="159">
        <v>0.199272</v>
      </c>
      <c r="O222" s="159">
        <v>0.201207</v>
      </c>
      <c r="P222" s="11"/>
      <c r="Q222" s="29"/>
      <c r="R222" s="60"/>
    </row>
    <row r="223" spans="1:18" ht="12" customHeight="1">
      <c r="A223" s="10" t="s">
        <v>404</v>
      </c>
      <c r="B223" s="11" t="s">
        <v>405</v>
      </c>
      <c r="C223" s="155">
        <v>6.6383330000000003</v>
      </c>
      <c r="D223" s="159">
        <v>7.7395000000000005E-2</v>
      </c>
      <c r="E223" s="159">
        <v>9.9971000000000004E-2</v>
      </c>
      <c r="F223" s="159">
        <v>0.10986</v>
      </c>
      <c r="G223" s="159">
        <v>0.13469100000000001</v>
      </c>
      <c r="H223" s="159">
        <v>0.20838799999999999</v>
      </c>
      <c r="I223" s="159">
        <v>0.68745900000000004</v>
      </c>
      <c r="J223" s="159">
        <v>2.0252919999999999</v>
      </c>
      <c r="K223" s="159">
        <v>2.3536980000000001</v>
      </c>
      <c r="L223" s="159">
        <v>0.54233699999999996</v>
      </c>
      <c r="M223" s="159">
        <v>0.170711</v>
      </c>
      <c r="N223" s="159">
        <v>0.133576</v>
      </c>
      <c r="O223" s="159">
        <v>9.4954999999999998E-2</v>
      </c>
      <c r="P223" s="11"/>
      <c r="Q223" s="29"/>
      <c r="R223" s="60"/>
    </row>
    <row r="224" spans="1:18" ht="12" customHeight="1">
      <c r="A224" s="10" t="s">
        <v>406</v>
      </c>
      <c r="B224" s="11" t="s">
        <v>23</v>
      </c>
      <c r="C224" s="155">
        <v>2.3731089999999999</v>
      </c>
      <c r="D224" s="159">
        <v>0.14399200000000001</v>
      </c>
      <c r="E224" s="159">
        <v>0.163383</v>
      </c>
      <c r="F224" s="159">
        <v>0.14069499999999999</v>
      </c>
      <c r="G224" s="159">
        <v>0.14540900000000001</v>
      </c>
      <c r="H224" s="159">
        <v>0.18465400000000001</v>
      </c>
      <c r="I224" s="159">
        <v>0.22157199999999999</v>
      </c>
      <c r="J224" s="159">
        <v>0.28551100000000001</v>
      </c>
      <c r="K224" s="159">
        <v>0.31759100000000001</v>
      </c>
      <c r="L224" s="159">
        <v>0.22370899999999999</v>
      </c>
      <c r="M224" s="159">
        <v>0.19380900000000001</v>
      </c>
      <c r="N224" s="159">
        <v>0.18251899999999999</v>
      </c>
      <c r="O224" s="159">
        <v>0.170265</v>
      </c>
      <c r="P224" s="11"/>
      <c r="Q224" s="29"/>
      <c r="R224" s="60"/>
    </row>
    <row r="225" spans="1:18" ht="12" customHeight="1">
      <c r="A225" s="10" t="s">
        <v>407</v>
      </c>
      <c r="B225" s="11" t="s">
        <v>22</v>
      </c>
      <c r="C225" s="155">
        <v>4.2187900000000003</v>
      </c>
      <c r="D225" s="159">
        <v>0.26252999999999999</v>
      </c>
      <c r="E225" s="159">
        <v>0.30174200000000001</v>
      </c>
      <c r="F225" s="159">
        <v>0.34837499999999999</v>
      </c>
      <c r="G225" s="159">
        <v>0.349854</v>
      </c>
      <c r="H225" s="159">
        <v>0.37133899999999997</v>
      </c>
      <c r="I225" s="159">
        <v>0.37231900000000001</v>
      </c>
      <c r="J225" s="159">
        <v>0.35122700000000001</v>
      </c>
      <c r="K225" s="159">
        <v>0.35316799999999998</v>
      </c>
      <c r="L225" s="159">
        <v>0.39078499999999999</v>
      </c>
      <c r="M225" s="159">
        <v>0.41022500000000001</v>
      </c>
      <c r="N225" s="159">
        <v>0.37158200000000002</v>
      </c>
      <c r="O225" s="159">
        <v>0.335644</v>
      </c>
      <c r="P225" s="11"/>
      <c r="Q225" s="29"/>
      <c r="R225" s="60"/>
    </row>
    <row r="226" spans="1:18" ht="12" customHeight="1">
      <c r="A226" s="10" t="s">
        <v>408</v>
      </c>
      <c r="B226" s="11" t="s">
        <v>21</v>
      </c>
      <c r="C226" s="155">
        <v>2.2539060000000002</v>
      </c>
      <c r="D226" s="159">
        <v>0.126691</v>
      </c>
      <c r="E226" s="159">
        <v>0.13269400000000001</v>
      </c>
      <c r="F226" s="159">
        <v>0.12731600000000001</v>
      </c>
      <c r="G226" s="159">
        <v>0.12631300000000001</v>
      </c>
      <c r="H226" s="159">
        <v>0.16517399999999999</v>
      </c>
      <c r="I226" s="159">
        <v>0.21896299999999999</v>
      </c>
      <c r="J226" s="159">
        <v>0.26805699999999999</v>
      </c>
      <c r="K226" s="159">
        <v>0.31686900000000001</v>
      </c>
      <c r="L226" s="159">
        <v>0.22509399999999999</v>
      </c>
      <c r="M226" s="159">
        <v>0.209957</v>
      </c>
      <c r="N226" s="159">
        <v>0.17707400000000001</v>
      </c>
      <c r="O226" s="159">
        <v>0.15970400000000001</v>
      </c>
      <c r="P226" s="11"/>
      <c r="Q226" s="29"/>
      <c r="R226" s="60"/>
    </row>
    <row r="227" spans="1:18" ht="12" customHeight="1">
      <c r="A227" s="10" t="s">
        <v>409</v>
      </c>
      <c r="B227" s="11" t="s">
        <v>410</v>
      </c>
      <c r="C227" s="155">
        <v>1.971408</v>
      </c>
      <c r="D227" s="159">
        <v>9.5852999999999994E-2</v>
      </c>
      <c r="E227" s="159">
        <v>0.108088</v>
      </c>
      <c r="F227" s="159">
        <v>0.118017</v>
      </c>
      <c r="G227" s="159">
        <v>0.13130800000000001</v>
      </c>
      <c r="H227" s="159">
        <v>0.161972</v>
      </c>
      <c r="I227" s="159">
        <v>0.184364</v>
      </c>
      <c r="J227" s="159">
        <v>0.221827</v>
      </c>
      <c r="K227" s="159">
        <v>0.26379799999999998</v>
      </c>
      <c r="L227" s="159">
        <v>0.214805</v>
      </c>
      <c r="M227" s="159">
        <v>0.18362700000000001</v>
      </c>
      <c r="N227" s="159">
        <v>0.15554100000000001</v>
      </c>
      <c r="O227" s="159">
        <v>0.13220799999999999</v>
      </c>
      <c r="P227" s="11"/>
      <c r="Q227" s="29"/>
      <c r="R227" s="60"/>
    </row>
    <row r="228" spans="1:18" ht="12" customHeight="1">
      <c r="A228" s="10" t="s">
        <v>411</v>
      </c>
      <c r="B228" s="11" t="s">
        <v>412</v>
      </c>
      <c r="C228" s="155">
        <v>5.3039990000000001</v>
      </c>
      <c r="D228" s="159">
        <v>0.35202899999999998</v>
      </c>
      <c r="E228" s="159">
        <v>0.38055899999999998</v>
      </c>
      <c r="F228" s="159">
        <v>0.34233400000000003</v>
      </c>
      <c r="G228" s="159">
        <v>0.32865699999999998</v>
      </c>
      <c r="H228" s="159">
        <v>0.41933700000000002</v>
      </c>
      <c r="I228" s="159">
        <v>0.44606200000000001</v>
      </c>
      <c r="J228" s="159">
        <v>0.69523199999999996</v>
      </c>
      <c r="K228" s="159">
        <v>0.82426900000000003</v>
      </c>
      <c r="L228" s="159">
        <v>0.41505900000000001</v>
      </c>
      <c r="M228" s="159">
        <v>0.41133500000000001</v>
      </c>
      <c r="N228" s="159">
        <v>0.34252100000000002</v>
      </c>
      <c r="O228" s="159">
        <v>0.346605</v>
      </c>
      <c r="P228" s="11"/>
      <c r="Q228" s="29"/>
      <c r="R228" s="60"/>
    </row>
    <row r="229" spans="1:18" ht="12" customHeight="1">
      <c r="A229" s="10" t="s">
        <v>413</v>
      </c>
      <c r="B229" s="11" t="s">
        <v>414</v>
      </c>
      <c r="C229" s="155">
        <v>11.531404</v>
      </c>
      <c r="D229" s="159">
        <v>0.39655699999999999</v>
      </c>
      <c r="E229" s="159">
        <v>0.447519</v>
      </c>
      <c r="F229" s="159">
        <v>0.49834099999999998</v>
      </c>
      <c r="G229" s="159">
        <v>0.60773200000000005</v>
      </c>
      <c r="H229" s="159">
        <v>0.97336199999999995</v>
      </c>
      <c r="I229" s="159">
        <v>1.2006540000000001</v>
      </c>
      <c r="J229" s="159">
        <v>2.1788979999999998</v>
      </c>
      <c r="K229" s="159">
        <v>2.43764</v>
      </c>
      <c r="L229" s="159">
        <v>1.1844809999999999</v>
      </c>
      <c r="M229" s="159">
        <v>0.70969000000000004</v>
      </c>
      <c r="N229" s="159">
        <v>0.41350599999999998</v>
      </c>
      <c r="O229" s="159">
        <v>0.48302400000000001</v>
      </c>
      <c r="P229" s="11"/>
      <c r="Q229" s="29"/>
      <c r="R229" s="60"/>
    </row>
    <row r="230" spans="1:18" ht="12" customHeight="1">
      <c r="A230" s="10" t="s">
        <v>415</v>
      </c>
      <c r="B230" s="11" t="s">
        <v>416</v>
      </c>
      <c r="C230" s="155">
        <v>2.6072109999999999</v>
      </c>
      <c r="D230" s="159">
        <v>0.132636</v>
      </c>
      <c r="E230" s="159">
        <v>0.13903299999999999</v>
      </c>
      <c r="F230" s="159">
        <v>0.18163599999999999</v>
      </c>
      <c r="G230" s="159">
        <v>0.19084300000000001</v>
      </c>
      <c r="H230" s="159">
        <v>0.23247599999999999</v>
      </c>
      <c r="I230" s="159">
        <v>0.233432</v>
      </c>
      <c r="J230" s="159">
        <v>0.33110400000000001</v>
      </c>
      <c r="K230" s="159">
        <v>0.31528299999999998</v>
      </c>
      <c r="L230" s="159">
        <v>0.217996</v>
      </c>
      <c r="M230" s="159">
        <v>0.22805300000000001</v>
      </c>
      <c r="N230" s="159">
        <v>0.201928</v>
      </c>
      <c r="O230" s="159">
        <v>0.202791</v>
      </c>
      <c r="P230" s="11"/>
      <c r="Q230" s="29"/>
      <c r="R230" s="60"/>
    </row>
    <row r="231" spans="1:18" ht="12" customHeight="1">
      <c r="A231" s="10" t="s">
        <v>417</v>
      </c>
      <c r="B231" s="11" t="s">
        <v>418</v>
      </c>
      <c r="C231" s="155">
        <v>3.3036129999999999</v>
      </c>
      <c r="D231" s="159">
        <v>0.13234499999999999</v>
      </c>
      <c r="E231" s="159">
        <v>0.17924499999999999</v>
      </c>
      <c r="F231" s="159">
        <v>0.215973</v>
      </c>
      <c r="G231" s="159">
        <v>0.22602700000000001</v>
      </c>
      <c r="H231" s="159">
        <v>0.308425</v>
      </c>
      <c r="I231" s="159">
        <v>0.35396100000000003</v>
      </c>
      <c r="J231" s="159">
        <v>0.48253800000000002</v>
      </c>
      <c r="K231" s="159">
        <v>0.46788999999999997</v>
      </c>
      <c r="L231" s="159">
        <v>0.28700999999999999</v>
      </c>
      <c r="M231" s="159">
        <v>0.27605099999999999</v>
      </c>
      <c r="N231" s="159">
        <v>0.23727599999999999</v>
      </c>
      <c r="O231" s="159">
        <v>0.13687199999999999</v>
      </c>
      <c r="P231" s="11"/>
      <c r="Q231" s="29"/>
      <c r="R231" s="60"/>
    </row>
    <row r="232" spans="1:18" ht="12" customHeight="1">
      <c r="A232" s="10" t="s">
        <v>419</v>
      </c>
      <c r="B232" s="11" t="s">
        <v>420</v>
      </c>
      <c r="C232" s="155">
        <v>4.9653660000000004</v>
      </c>
      <c r="D232" s="159">
        <v>0.39776899999999998</v>
      </c>
      <c r="E232" s="159">
        <v>0.47703200000000001</v>
      </c>
      <c r="F232" s="159">
        <v>0.36499100000000001</v>
      </c>
      <c r="G232" s="159">
        <v>0.259546</v>
      </c>
      <c r="H232" s="159">
        <v>0.35642600000000002</v>
      </c>
      <c r="I232" s="159">
        <v>0.39784700000000001</v>
      </c>
      <c r="J232" s="159">
        <v>0.64146700000000001</v>
      </c>
      <c r="K232" s="159">
        <v>0.70267999999999997</v>
      </c>
      <c r="L232" s="159">
        <v>0.36672900000000003</v>
      </c>
      <c r="M232" s="159">
        <v>0.37657000000000002</v>
      </c>
      <c r="N232" s="159">
        <v>0.31353199999999998</v>
      </c>
      <c r="O232" s="159">
        <v>0.31077700000000003</v>
      </c>
      <c r="P232" s="11"/>
      <c r="Q232" s="29"/>
      <c r="R232" s="60"/>
    </row>
    <row r="233" spans="1:18" ht="12" customHeight="1">
      <c r="A233" s="10" t="s">
        <v>421</v>
      </c>
      <c r="B233" s="11" t="s">
        <v>422</v>
      </c>
      <c r="C233" s="155">
        <v>3.7906740000000001</v>
      </c>
      <c r="D233" s="159">
        <v>0.25326599999999999</v>
      </c>
      <c r="E233" s="159">
        <v>0.29990499999999998</v>
      </c>
      <c r="F233" s="159">
        <v>0.262019</v>
      </c>
      <c r="G233" s="159">
        <v>0.21102000000000001</v>
      </c>
      <c r="H233" s="159">
        <v>0.29374699999999998</v>
      </c>
      <c r="I233" s="159">
        <v>0.33080799999999999</v>
      </c>
      <c r="J233" s="159">
        <v>0.47250799999999998</v>
      </c>
      <c r="K233" s="159">
        <v>0.52889799999999998</v>
      </c>
      <c r="L233" s="159">
        <v>0.32445099999999999</v>
      </c>
      <c r="M233" s="159">
        <v>0.326652</v>
      </c>
      <c r="N233" s="159">
        <v>0.247446</v>
      </c>
      <c r="O233" s="159">
        <v>0.239954</v>
      </c>
      <c r="P233" s="11"/>
      <c r="Q233" s="29"/>
      <c r="R233" s="60"/>
    </row>
    <row r="234" spans="1:18" ht="12" customHeight="1">
      <c r="A234" s="10" t="s">
        <v>423</v>
      </c>
      <c r="B234" s="11" t="s">
        <v>424</v>
      </c>
      <c r="C234" s="155">
        <v>4.4036650000000002</v>
      </c>
      <c r="D234" s="159">
        <v>0.24546100000000001</v>
      </c>
      <c r="E234" s="159">
        <v>0.32488699999999998</v>
      </c>
      <c r="F234" s="159">
        <v>0.33168500000000001</v>
      </c>
      <c r="G234" s="159">
        <v>0.288993</v>
      </c>
      <c r="H234" s="159">
        <v>0.32087399999999999</v>
      </c>
      <c r="I234" s="159">
        <v>0.48389599999999999</v>
      </c>
      <c r="J234" s="159">
        <v>0.74104700000000001</v>
      </c>
      <c r="K234" s="159">
        <v>0.45958500000000002</v>
      </c>
      <c r="L234" s="159">
        <v>0.31662699999999999</v>
      </c>
      <c r="M234" s="159">
        <v>0.34417300000000001</v>
      </c>
      <c r="N234" s="159">
        <v>0.29065000000000002</v>
      </c>
      <c r="O234" s="159">
        <v>0.25578699999999999</v>
      </c>
      <c r="P234" s="11"/>
      <c r="Q234" s="29"/>
      <c r="R234" s="60"/>
    </row>
    <row r="235" spans="1:18" ht="12" customHeight="1">
      <c r="A235" s="10" t="s">
        <v>425</v>
      </c>
      <c r="B235" s="11" t="s">
        <v>426</v>
      </c>
      <c r="C235" s="155">
        <v>6.8066329999999997</v>
      </c>
      <c r="D235" s="159">
        <v>0.39738200000000001</v>
      </c>
      <c r="E235" s="159">
        <v>0.42558400000000002</v>
      </c>
      <c r="F235" s="159">
        <v>0.45889600000000003</v>
      </c>
      <c r="G235" s="159">
        <v>0.46497100000000002</v>
      </c>
      <c r="H235" s="159">
        <v>0.55867100000000003</v>
      </c>
      <c r="I235" s="159">
        <v>0.71632700000000005</v>
      </c>
      <c r="J235" s="159">
        <v>0.79652800000000001</v>
      </c>
      <c r="K235" s="159">
        <v>0.76050600000000002</v>
      </c>
      <c r="L235" s="159">
        <v>0.56644499999999998</v>
      </c>
      <c r="M235" s="159">
        <v>0.58798099999999998</v>
      </c>
      <c r="N235" s="159">
        <v>0.56041200000000002</v>
      </c>
      <c r="O235" s="159">
        <v>0.51293</v>
      </c>
      <c r="P235" s="11"/>
      <c r="Q235" s="29"/>
      <c r="R235" s="60"/>
    </row>
    <row r="236" spans="1:18" ht="12" customHeight="1">
      <c r="A236" s="10" t="s">
        <v>427</v>
      </c>
      <c r="B236" s="11" t="s">
        <v>428</v>
      </c>
      <c r="C236" s="155">
        <v>3.1267</v>
      </c>
      <c r="D236" s="159">
        <v>0.15926799999999999</v>
      </c>
      <c r="E236" s="159">
        <v>0.20371300000000001</v>
      </c>
      <c r="F236" s="159">
        <v>0.21468899999999999</v>
      </c>
      <c r="G236" s="159">
        <v>0.190058</v>
      </c>
      <c r="H236" s="159">
        <v>0.247006</v>
      </c>
      <c r="I236" s="159">
        <v>0.36454700000000001</v>
      </c>
      <c r="J236" s="159">
        <v>0.526833</v>
      </c>
      <c r="K236" s="159">
        <v>0.36844100000000002</v>
      </c>
      <c r="L236" s="159">
        <v>0.229571</v>
      </c>
      <c r="M236" s="159">
        <v>0.25120500000000001</v>
      </c>
      <c r="N236" s="159">
        <v>0.20116500000000001</v>
      </c>
      <c r="O236" s="159">
        <v>0.17020399999999999</v>
      </c>
      <c r="P236" s="11"/>
      <c r="Q236" s="29"/>
      <c r="R236" s="60"/>
    </row>
    <row r="237" spans="1:18" ht="12" customHeight="1">
      <c r="A237" s="10" t="s">
        <v>429</v>
      </c>
      <c r="B237" s="11" t="s">
        <v>430</v>
      </c>
      <c r="C237" s="155">
        <v>7.9214779999999996</v>
      </c>
      <c r="D237" s="159">
        <v>0.68874599999999997</v>
      </c>
      <c r="E237" s="159">
        <v>0.83462000000000003</v>
      </c>
      <c r="F237" s="159">
        <v>0.85303600000000002</v>
      </c>
      <c r="G237" s="159">
        <v>0.46657199999999999</v>
      </c>
      <c r="H237" s="159">
        <v>0.31872099999999998</v>
      </c>
      <c r="I237" s="159">
        <v>0.64594799999999997</v>
      </c>
      <c r="J237" s="159">
        <v>1.0047410000000001</v>
      </c>
      <c r="K237" s="159">
        <v>0.66340900000000003</v>
      </c>
      <c r="L237" s="159">
        <v>0.57752700000000001</v>
      </c>
      <c r="M237" s="159">
        <v>0.44606000000000001</v>
      </c>
      <c r="N237" s="159">
        <v>0.48626599999999998</v>
      </c>
      <c r="O237" s="159">
        <v>0.935832</v>
      </c>
      <c r="P237" s="11"/>
      <c r="Q237" s="29"/>
      <c r="R237" s="60"/>
    </row>
    <row r="238" spans="1:18" ht="12" customHeight="1">
      <c r="A238" s="10" t="s">
        <v>432</v>
      </c>
      <c r="B238" s="11" t="s">
        <v>431</v>
      </c>
      <c r="C238" s="155">
        <v>0.41988199999999998</v>
      </c>
      <c r="D238" s="159">
        <v>6.9179999999999997E-3</v>
      </c>
      <c r="E238" s="159">
        <v>7.1469999999999997E-3</v>
      </c>
      <c r="F238" s="159">
        <v>9.214E-3</v>
      </c>
      <c r="G238" s="159">
        <v>1.4668E-2</v>
      </c>
      <c r="H238" s="159">
        <v>4.2748000000000001E-2</v>
      </c>
      <c r="I238" s="159">
        <v>7.5967999999999994E-2</v>
      </c>
      <c r="J238" s="159">
        <v>0.12836900000000001</v>
      </c>
      <c r="K238" s="159">
        <v>7.2190000000000004E-2</v>
      </c>
      <c r="L238" s="159">
        <v>3.0609000000000001E-2</v>
      </c>
      <c r="M238" s="159">
        <v>1.6590000000000001E-2</v>
      </c>
      <c r="N238" s="159">
        <v>9.0290000000000006E-3</v>
      </c>
      <c r="O238" s="159">
        <v>6.4320000000000002E-3</v>
      </c>
      <c r="P238" s="11"/>
      <c r="Q238" s="29"/>
      <c r="R238" s="60"/>
    </row>
    <row r="239" spans="1:18" ht="12" customHeight="1">
      <c r="A239" s="10" t="s">
        <v>433</v>
      </c>
      <c r="B239" s="11" t="s">
        <v>434</v>
      </c>
      <c r="C239" s="155">
        <v>15.307719000000001</v>
      </c>
      <c r="D239" s="159">
        <v>0.87992599999999999</v>
      </c>
      <c r="E239" s="159">
        <v>0.93960600000000005</v>
      </c>
      <c r="F239" s="159">
        <v>1.102592</v>
      </c>
      <c r="G239" s="159">
        <v>1.1107929999999999</v>
      </c>
      <c r="H239" s="159">
        <v>1.4565650000000001</v>
      </c>
      <c r="I239" s="159">
        <v>1.4324410000000001</v>
      </c>
      <c r="J239" s="159">
        <v>1.8106070000000001</v>
      </c>
      <c r="K239" s="159">
        <v>1.747657</v>
      </c>
      <c r="L239" s="159">
        <v>1.337996</v>
      </c>
      <c r="M239" s="159">
        <v>1.2914369999999999</v>
      </c>
      <c r="N239" s="159">
        <v>1.171168</v>
      </c>
      <c r="O239" s="159">
        <v>1.026931</v>
      </c>
      <c r="P239" s="11"/>
      <c r="Q239" s="29"/>
      <c r="R239" s="60"/>
    </row>
    <row r="240" spans="1:18" ht="12" customHeight="1">
      <c r="A240" s="10" t="s">
        <v>435</v>
      </c>
      <c r="B240" s="11" t="s">
        <v>436</v>
      </c>
      <c r="C240" s="155">
        <v>6.5196610000000002</v>
      </c>
      <c r="D240" s="159">
        <v>0.29516900000000001</v>
      </c>
      <c r="E240" s="159">
        <v>0.32078699999999999</v>
      </c>
      <c r="F240" s="159">
        <v>0.371448</v>
      </c>
      <c r="G240" s="159">
        <v>0.41046899999999997</v>
      </c>
      <c r="H240" s="159">
        <v>0.61049399999999998</v>
      </c>
      <c r="I240" s="159">
        <v>0.76386200000000004</v>
      </c>
      <c r="J240" s="159">
        <v>1.2604489999999999</v>
      </c>
      <c r="K240" s="159">
        <v>0.86510100000000001</v>
      </c>
      <c r="L240" s="159">
        <v>0.492311</v>
      </c>
      <c r="M240" s="159">
        <v>0.45209899999999997</v>
      </c>
      <c r="N240" s="159">
        <v>0.38649099999999997</v>
      </c>
      <c r="O240" s="159">
        <v>0.29098099999999999</v>
      </c>
      <c r="P240" s="11"/>
      <c r="Q240" s="29"/>
      <c r="R240" s="60"/>
    </row>
    <row r="241" spans="1:18" ht="12" customHeight="1">
      <c r="A241" s="10" t="s">
        <v>437</v>
      </c>
      <c r="B241" s="11" t="s">
        <v>438</v>
      </c>
      <c r="C241" s="155">
        <v>6.6718000000000002</v>
      </c>
      <c r="D241" s="159">
        <v>0.175342</v>
      </c>
      <c r="E241" s="159">
        <v>0.18587000000000001</v>
      </c>
      <c r="F241" s="159">
        <v>0.22764400000000001</v>
      </c>
      <c r="G241" s="159">
        <v>0.23405300000000001</v>
      </c>
      <c r="H241" s="159">
        <v>0.53486999999999996</v>
      </c>
      <c r="I241" s="159">
        <v>0.93196800000000002</v>
      </c>
      <c r="J241" s="159">
        <v>2.1328529999999999</v>
      </c>
      <c r="K241" s="159">
        <v>1.193384</v>
      </c>
      <c r="L241" s="159">
        <v>0.39818100000000001</v>
      </c>
      <c r="M241" s="159">
        <v>0.28315899999999999</v>
      </c>
      <c r="N241" s="159">
        <v>0.213786</v>
      </c>
      <c r="O241" s="159">
        <v>0.16069</v>
      </c>
      <c r="P241" s="11"/>
      <c r="Q241" s="29"/>
      <c r="R241" s="60"/>
    </row>
    <row r="242" spans="1:18" ht="12" customHeight="1">
      <c r="A242" s="10" t="s">
        <v>439</v>
      </c>
      <c r="B242" s="11" t="s">
        <v>440</v>
      </c>
      <c r="C242" s="155">
        <v>7.6502049999999997</v>
      </c>
      <c r="D242" s="159">
        <v>0.28607199999999999</v>
      </c>
      <c r="E242" s="159">
        <v>0.34876299999999999</v>
      </c>
      <c r="F242" s="159">
        <v>0.41599799999999998</v>
      </c>
      <c r="G242" s="159">
        <v>0.44000099999999998</v>
      </c>
      <c r="H242" s="159">
        <v>0.71873399999999998</v>
      </c>
      <c r="I242" s="159">
        <v>0.88407999999999998</v>
      </c>
      <c r="J242" s="159">
        <v>1.5730930000000001</v>
      </c>
      <c r="K242" s="159">
        <v>1.1510769999999999</v>
      </c>
      <c r="L242" s="159">
        <v>0.58428599999999997</v>
      </c>
      <c r="M242" s="159">
        <v>0.470134</v>
      </c>
      <c r="N242" s="159">
        <v>0.41055199999999997</v>
      </c>
      <c r="O242" s="159">
        <v>0.36741499999999999</v>
      </c>
      <c r="P242" s="11"/>
      <c r="Q242" s="29"/>
      <c r="R242" s="60"/>
    </row>
    <row r="243" spans="1:18" ht="12" customHeight="1">
      <c r="A243" s="10" t="s">
        <v>441</v>
      </c>
      <c r="B243" s="11" t="s">
        <v>442</v>
      </c>
      <c r="C243" s="155">
        <v>13.771355</v>
      </c>
      <c r="D243" s="159">
        <v>0.53097499999999997</v>
      </c>
      <c r="E243" s="159">
        <v>0.60285</v>
      </c>
      <c r="F243" s="159">
        <v>0.73640000000000005</v>
      </c>
      <c r="G243" s="159">
        <v>0.72040099999999996</v>
      </c>
      <c r="H243" s="159">
        <v>1.274133</v>
      </c>
      <c r="I243" s="159">
        <v>1.558565</v>
      </c>
      <c r="J243" s="159">
        <v>3.1667969999999999</v>
      </c>
      <c r="K243" s="159">
        <v>2.0299260000000001</v>
      </c>
      <c r="L243" s="159">
        <v>0.92830199999999996</v>
      </c>
      <c r="M243" s="159">
        <v>0.84883399999999998</v>
      </c>
      <c r="N243" s="159">
        <v>0.776509</v>
      </c>
      <c r="O243" s="159">
        <v>0.59766300000000006</v>
      </c>
      <c r="P243" s="11"/>
      <c r="Q243" s="29"/>
      <c r="R243" s="60"/>
    </row>
    <row r="244" spans="1:18" ht="12" customHeight="1">
      <c r="A244" s="10" t="s">
        <v>443</v>
      </c>
      <c r="B244" s="11" t="s">
        <v>444</v>
      </c>
      <c r="C244" s="155">
        <v>6.3379180000000002</v>
      </c>
      <c r="D244" s="159">
        <v>0.45796399999999998</v>
      </c>
      <c r="E244" s="159">
        <v>0.54420400000000002</v>
      </c>
      <c r="F244" s="159">
        <v>0.52492399999999995</v>
      </c>
      <c r="G244" s="159">
        <v>0.33263700000000002</v>
      </c>
      <c r="H244" s="159">
        <v>0.38972299999999999</v>
      </c>
      <c r="I244" s="159">
        <v>0.674512</v>
      </c>
      <c r="J244" s="159">
        <v>1.337818</v>
      </c>
      <c r="K244" s="159">
        <v>0.80303400000000003</v>
      </c>
      <c r="L244" s="159">
        <v>0.36863899999999999</v>
      </c>
      <c r="M244" s="159">
        <v>0.299147</v>
      </c>
      <c r="N244" s="159">
        <v>0.26175300000000001</v>
      </c>
      <c r="O244" s="159">
        <v>0.34356300000000001</v>
      </c>
      <c r="P244" s="11"/>
      <c r="Q244" s="29"/>
      <c r="R244" s="60"/>
    </row>
    <row r="245" spans="1:18" ht="12" customHeight="1">
      <c r="A245" s="10" t="s">
        <v>445</v>
      </c>
      <c r="B245" s="11" t="s">
        <v>446</v>
      </c>
      <c r="C245" s="155">
        <v>3.0931000000000002</v>
      </c>
      <c r="D245" s="159">
        <v>0.19803399999999999</v>
      </c>
      <c r="E245" s="159">
        <v>0.259552</v>
      </c>
      <c r="F245" s="159">
        <v>0.277974</v>
      </c>
      <c r="G245" s="159">
        <v>0.192298</v>
      </c>
      <c r="H245" s="159">
        <v>0.184832</v>
      </c>
      <c r="I245" s="159">
        <v>0.27973599999999998</v>
      </c>
      <c r="J245" s="159">
        <v>0.62173699999999998</v>
      </c>
      <c r="K245" s="159">
        <v>0.36538999999999999</v>
      </c>
      <c r="L245" s="159">
        <v>0.20785500000000001</v>
      </c>
      <c r="M245" s="159">
        <v>0.16733600000000001</v>
      </c>
      <c r="N245" s="159">
        <v>0.14698900000000001</v>
      </c>
      <c r="O245" s="159">
        <v>0.19136700000000001</v>
      </c>
      <c r="P245" s="11"/>
      <c r="Q245" s="29"/>
      <c r="R245" s="60"/>
    </row>
    <row r="246" spans="1:18" ht="12" customHeight="1">
      <c r="A246" s="10" t="s">
        <v>447</v>
      </c>
      <c r="B246" s="11" t="s">
        <v>448</v>
      </c>
      <c r="C246" s="155">
        <v>4.7643269999999998</v>
      </c>
      <c r="D246" s="159">
        <v>0.30018400000000001</v>
      </c>
      <c r="E246" s="159">
        <v>0.35398299999999999</v>
      </c>
      <c r="F246" s="159">
        <v>0.365232</v>
      </c>
      <c r="G246" s="159">
        <v>0.280968</v>
      </c>
      <c r="H246" s="159">
        <v>0.31566100000000002</v>
      </c>
      <c r="I246" s="159">
        <v>0.51008600000000004</v>
      </c>
      <c r="J246" s="159">
        <v>0.96439799999999998</v>
      </c>
      <c r="K246" s="159">
        <v>0.53964299999999998</v>
      </c>
      <c r="L246" s="159">
        <v>0.32950600000000002</v>
      </c>
      <c r="M246" s="159">
        <v>0.26593099999999997</v>
      </c>
      <c r="N246" s="159">
        <v>0.25651800000000002</v>
      </c>
      <c r="O246" s="159">
        <v>0.282217</v>
      </c>
      <c r="P246" s="11"/>
      <c r="Q246" s="29"/>
      <c r="R246" s="60"/>
    </row>
    <row r="247" spans="1:18" ht="12" customHeight="1">
      <c r="A247" s="10" t="s">
        <v>452</v>
      </c>
      <c r="B247" s="11" t="s">
        <v>451</v>
      </c>
      <c r="C247" s="155">
        <v>9.3126479999999994</v>
      </c>
      <c r="D247" s="159">
        <v>0.38328000000000001</v>
      </c>
      <c r="E247" s="159">
        <v>0.54159100000000004</v>
      </c>
      <c r="F247" s="159">
        <v>0.64342999999999995</v>
      </c>
      <c r="G247" s="159">
        <v>0.485238</v>
      </c>
      <c r="H247" s="159">
        <v>0.66098599999999996</v>
      </c>
      <c r="I247" s="159">
        <v>0.99684399999999995</v>
      </c>
      <c r="J247" s="159">
        <v>1.559123</v>
      </c>
      <c r="K247" s="159">
        <v>1.37155</v>
      </c>
      <c r="L247" s="159">
        <v>0.91280700000000004</v>
      </c>
      <c r="M247" s="159">
        <v>0.777092</v>
      </c>
      <c r="N247" s="159">
        <v>0.538323</v>
      </c>
      <c r="O247" s="159">
        <v>0.442384</v>
      </c>
      <c r="P247" s="11"/>
      <c r="Q247" s="29"/>
      <c r="R247" s="60"/>
    </row>
    <row r="248" spans="1:18" ht="12" customHeight="1">
      <c r="A248" s="10" t="s">
        <v>454</v>
      </c>
      <c r="B248" s="11" t="s">
        <v>453</v>
      </c>
      <c r="C248" s="155">
        <v>0.228579</v>
      </c>
      <c r="D248" s="159">
        <v>1.6330999999999998E-2</v>
      </c>
      <c r="E248" s="159">
        <v>2.0080000000000001E-2</v>
      </c>
      <c r="F248" s="159">
        <v>1.7611000000000002E-2</v>
      </c>
      <c r="G248" s="159">
        <v>1.2179000000000001E-2</v>
      </c>
      <c r="H248" s="159">
        <v>1.7628999999999999E-2</v>
      </c>
      <c r="I248" s="159">
        <v>2.0334999999999999E-2</v>
      </c>
      <c r="J248" s="159">
        <v>2.9430999999999999E-2</v>
      </c>
      <c r="K248" s="159">
        <v>3.0186999999999999E-2</v>
      </c>
      <c r="L248" s="159">
        <v>2.0111E-2</v>
      </c>
      <c r="M248" s="159">
        <v>1.9103999999999999E-2</v>
      </c>
      <c r="N248" s="159">
        <v>1.1228E-2</v>
      </c>
      <c r="O248" s="159">
        <v>1.4352999999999999E-2</v>
      </c>
      <c r="P248" s="11"/>
      <c r="Q248" s="29"/>
      <c r="R248" s="60"/>
    </row>
    <row r="249" spans="1:18" ht="12" customHeight="1">
      <c r="A249" s="10" t="s">
        <v>455</v>
      </c>
      <c r="B249" s="11" t="s">
        <v>456</v>
      </c>
      <c r="C249" s="155">
        <v>3.63313</v>
      </c>
      <c r="D249" s="159">
        <v>0.187029</v>
      </c>
      <c r="E249" s="159">
        <v>0.284883</v>
      </c>
      <c r="F249" s="159">
        <v>0.30347299999999999</v>
      </c>
      <c r="G249" s="159">
        <v>0.15547800000000001</v>
      </c>
      <c r="H249" s="159">
        <v>0.21298300000000001</v>
      </c>
      <c r="I249" s="159">
        <v>0.43151099999999998</v>
      </c>
      <c r="J249" s="159">
        <v>0.73616300000000001</v>
      </c>
      <c r="K249" s="159">
        <v>0.529034</v>
      </c>
      <c r="L249" s="159">
        <v>0.29042499999999999</v>
      </c>
      <c r="M249" s="159">
        <v>0.17821899999999999</v>
      </c>
      <c r="N249" s="159">
        <v>0.15018500000000001</v>
      </c>
      <c r="O249" s="159">
        <v>0.17374700000000001</v>
      </c>
      <c r="P249" s="11"/>
      <c r="Q249" s="29"/>
      <c r="R249" s="60"/>
    </row>
    <row r="250" spans="1:18" ht="12" customHeight="1">
      <c r="A250" s="10" t="s">
        <v>457</v>
      </c>
      <c r="B250" s="11" t="s">
        <v>3026</v>
      </c>
      <c r="C250" s="155">
        <v>2.8790650000000002</v>
      </c>
      <c r="D250" s="159">
        <v>0.13244300000000001</v>
      </c>
      <c r="E250" s="159">
        <v>0.178318</v>
      </c>
      <c r="F250" s="159">
        <v>0.19378400000000001</v>
      </c>
      <c r="G250" s="159">
        <v>0.18546000000000001</v>
      </c>
      <c r="H250" s="159">
        <v>0.24322199999999999</v>
      </c>
      <c r="I250" s="159">
        <v>0.35309800000000002</v>
      </c>
      <c r="J250" s="159">
        <v>0.451347</v>
      </c>
      <c r="K250" s="159">
        <v>0.36466900000000002</v>
      </c>
      <c r="L250" s="159">
        <v>0.25019400000000003</v>
      </c>
      <c r="M250" s="159">
        <v>0.20428499999999999</v>
      </c>
      <c r="N250" s="159">
        <v>0.19250600000000001</v>
      </c>
      <c r="O250" s="159">
        <v>0.12973899999999999</v>
      </c>
      <c r="P250" s="11"/>
      <c r="Q250" s="29"/>
      <c r="R250" s="60"/>
    </row>
    <row r="251" spans="1:18" ht="12" customHeight="1">
      <c r="A251" s="10" t="s">
        <v>458</v>
      </c>
      <c r="B251" s="11" t="s">
        <v>459</v>
      </c>
      <c r="C251" s="155">
        <v>5.2781929999999999</v>
      </c>
      <c r="D251" s="159">
        <v>0.25792799999999999</v>
      </c>
      <c r="E251" s="159">
        <v>0.34318300000000002</v>
      </c>
      <c r="F251" s="159">
        <v>0.36873099999999998</v>
      </c>
      <c r="G251" s="159">
        <v>0.26213900000000001</v>
      </c>
      <c r="H251" s="159">
        <v>0.32700200000000001</v>
      </c>
      <c r="I251" s="159">
        <v>0.67857800000000001</v>
      </c>
      <c r="J251" s="159">
        <v>0.91264100000000004</v>
      </c>
      <c r="K251" s="159">
        <v>0.70357899999999995</v>
      </c>
      <c r="L251" s="159">
        <v>0.43741799999999997</v>
      </c>
      <c r="M251" s="159">
        <v>0.349601</v>
      </c>
      <c r="N251" s="159">
        <v>0.32710699999999998</v>
      </c>
      <c r="O251" s="159">
        <v>0.31028600000000001</v>
      </c>
      <c r="P251" s="11"/>
      <c r="Q251" s="29"/>
      <c r="R251" s="60"/>
    </row>
    <row r="252" spans="1:18" ht="12" customHeight="1">
      <c r="A252" s="10" t="s">
        <v>549</v>
      </c>
      <c r="B252" s="11" t="s">
        <v>550</v>
      </c>
      <c r="C252" s="155">
        <v>11.904456</v>
      </c>
      <c r="D252" s="159">
        <v>0.74260000000000004</v>
      </c>
      <c r="E252" s="159">
        <v>0.79915700000000001</v>
      </c>
      <c r="F252" s="159">
        <v>0.87588500000000002</v>
      </c>
      <c r="G252" s="159">
        <v>0.80321600000000004</v>
      </c>
      <c r="H252" s="159">
        <v>0.95563600000000004</v>
      </c>
      <c r="I252" s="159">
        <v>1.2177249999999999</v>
      </c>
      <c r="J252" s="159">
        <v>1.4897279999999999</v>
      </c>
      <c r="K252" s="159">
        <v>1.397478</v>
      </c>
      <c r="L252" s="159">
        <v>1.047847</v>
      </c>
      <c r="M252" s="159">
        <v>0.95054099999999997</v>
      </c>
      <c r="N252" s="159">
        <v>0.87690000000000001</v>
      </c>
      <c r="O252" s="159">
        <v>0.74774300000000005</v>
      </c>
      <c r="P252" s="11"/>
      <c r="Q252" s="29"/>
      <c r="R252" s="60"/>
    </row>
    <row r="253" spans="1:18" ht="12" customHeight="1">
      <c r="A253" s="10" t="s">
        <v>551</v>
      </c>
      <c r="B253" s="11" t="s">
        <v>552</v>
      </c>
      <c r="C253" s="155">
        <v>4.6526149999999999</v>
      </c>
      <c r="D253" s="159">
        <v>0.136821</v>
      </c>
      <c r="E253" s="159">
        <v>0.176482</v>
      </c>
      <c r="F253" s="159">
        <v>0.23916000000000001</v>
      </c>
      <c r="G253" s="159">
        <v>0.18521599999999999</v>
      </c>
      <c r="H253" s="159">
        <v>0.40835100000000002</v>
      </c>
      <c r="I253" s="159">
        <v>0.61296499999999998</v>
      </c>
      <c r="J253" s="159">
        <v>1.357229</v>
      </c>
      <c r="K253" s="159">
        <v>0.69889299999999999</v>
      </c>
      <c r="L253" s="159">
        <v>0.29101399999999999</v>
      </c>
      <c r="M253" s="159">
        <v>0.21960199999999999</v>
      </c>
      <c r="N253" s="159">
        <v>0.18231</v>
      </c>
      <c r="O253" s="159">
        <v>0.14457200000000001</v>
      </c>
      <c r="P253" s="11"/>
      <c r="Q253" s="29"/>
      <c r="R253" s="60"/>
    </row>
    <row r="254" spans="1:18" ht="12" customHeight="1">
      <c r="A254" s="10" t="s">
        <v>553</v>
      </c>
      <c r="B254" s="11" t="s">
        <v>554</v>
      </c>
      <c r="C254" s="155">
        <v>10.066420000000001</v>
      </c>
      <c r="D254" s="159">
        <v>0.38323400000000002</v>
      </c>
      <c r="E254" s="159">
        <v>0.453762</v>
      </c>
      <c r="F254" s="159">
        <v>0.52948799999999996</v>
      </c>
      <c r="G254" s="159">
        <v>0.57359000000000004</v>
      </c>
      <c r="H254" s="159">
        <v>0.960345</v>
      </c>
      <c r="I254" s="159">
        <v>1.34406</v>
      </c>
      <c r="J254" s="159">
        <v>1.806403</v>
      </c>
      <c r="K254" s="159">
        <v>1.556969</v>
      </c>
      <c r="L254" s="159">
        <v>0.91357200000000005</v>
      </c>
      <c r="M254" s="159">
        <v>0.61366799999999999</v>
      </c>
      <c r="N254" s="159">
        <v>0.53708900000000004</v>
      </c>
      <c r="O254" s="159">
        <v>0.39423999999999998</v>
      </c>
      <c r="P254" s="11"/>
      <c r="Q254" s="29"/>
      <c r="R254" s="60"/>
    </row>
    <row r="255" spans="1:18" ht="12" customHeight="1">
      <c r="A255" s="10" t="s">
        <v>555</v>
      </c>
      <c r="B255" s="11" t="s">
        <v>556</v>
      </c>
      <c r="C255" s="155">
        <v>0.17405100000000001</v>
      </c>
      <c r="D255" s="159">
        <v>9.6259999999999991E-3</v>
      </c>
      <c r="E255" s="159">
        <v>1.6066E-2</v>
      </c>
      <c r="F255" s="159">
        <v>1.7423000000000001E-2</v>
      </c>
      <c r="G255" s="159">
        <v>1.6955999999999999E-2</v>
      </c>
      <c r="H255" s="159">
        <v>1.6140999999999999E-2</v>
      </c>
      <c r="I255" s="159">
        <v>1.5275E-2</v>
      </c>
      <c r="J255" s="159">
        <v>1.9973000000000001E-2</v>
      </c>
      <c r="K255" s="159">
        <v>1.9637999999999999E-2</v>
      </c>
      <c r="L255" s="159">
        <v>1.3611E-2</v>
      </c>
      <c r="M255" s="159">
        <v>1.1875E-2</v>
      </c>
      <c r="N255" s="159">
        <v>8.371E-3</v>
      </c>
      <c r="O255" s="159">
        <v>9.0959999999999999E-3</v>
      </c>
      <c r="P255" s="11"/>
      <c r="Q255" s="29"/>
      <c r="R255" s="60"/>
    </row>
    <row r="256" spans="1:18" ht="12" customHeight="1">
      <c r="A256" s="10" t="s">
        <v>460</v>
      </c>
      <c r="B256" s="11" t="s">
        <v>461</v>
      </c>
      <c r="C256" s="155">
        <v>16.048992999999999</v>
      </c>
      <c r="D256" s="159">
        <v>1.4215199999999999</v>
      </c>
      <c r="E256" s="159">
        <v>1.8193569999999999</v>
      </c>
      <c r="F256" s="159">
        <v>1.4561200000000001</v>
      </c>
      <c r="G256" s="159">
        <v>0.94207600000000002</v>
      </c>
      <c r="H256" s="159">
        <v>1.040473</v>
      </c>
      <c r="I256" s="159">
        <v>1.276435</v>
      </c>
      <c r="J256" s="159">
        <v>1.9347270000000001</v>
      </c>
      <c r="K256" s="159">
        <v>1.957471</v>
      </c>
      <c r="L256" s="159">
        <v>1.3081149999999999</v>
      </c>
      <c r="M256" s="159">
        <v>0.96612699999999996</v>
      </c>
      <c r="N256" s="159">
        <v>0.67637899999999995</v>
      </c>
      <c r="O256" s="159">
        <v>1.2501930000000001</v>
      </c>
      <c r="P256" s="11"/>
      <c r="Q256" s="29"/>
      <c r="R256" s="60"/>
    </row>
    <row r="257" spans="1:18" ht="12" customHeight="1">
      <c r="A257" s="10" t="s">
        <v>462</v>
      </c>
      <c r="B257" s="11" t="s">
        <v>463</v>
      </c>
      <c r="C257" s="155">
        <v>11.421220999999999</v>
      </c>
      <c r="D257" s="159">
        <v>0.68045699999999998</v>
      </c>
      <c r="E257" s="159">
        <v>0.83081400000000005</v>
      </c>
      <c r="F257" s="159">
        <v>0.68023500000000003</v>
      </c>
      <c r="G257" s="159">
        <v>0.65766100000000005</v>
      </c>
      <c r="H257" s="159">
        <v>1.0274970000000001</v>
      </c>
      <c r="I257" s="159">
        <v>1.2076439999999999</v>
      </c>
      <c r="J257" s="159">
        <v>1.65611</v>
      </c>
      <c r="K257" s="159">
        <v>1.6372679999999999</v>
      </c>
      <c r="L257" s="159">
        <v>1.1204000000000001</v>
      </c>
      <c r="M257" s="159">
        <v>0.85551699999999997</v>
      </c>
      <c r="N257" s="159">
        <v>0.46684100000000001</v>
      </c>
      <c r="O257" s="159">
        <v>0.60077700000000001</v>
      </c>
      <c r="P257" s="11"/>
      <c r="Q257" s="29"/>
      <c r="R257" s="60"/>
    </row>
    <row r="258" spans="1:18" ht="12" customHeight="1">
      <c r="A258" s="10" t="s">
        <v>464</v>
      </c>
      <c r="B258" s="11" t="s">
        <v>465</v>
      </c>
      <c r="C258" s="155">
        <v>2.9559319999999998</v>
      </c>
      <c r="D258" s="159">
        <v>0.15812599999999999</v>
      </c>
      <c r="E258" s="159">
        <v>0.16958300000000001</v>
      </c>
      <c r="F258" s="159">
        <v>0.20217099999999999</v>
      </c>
      <c r="G258" s="159">
        <v>0.21904899999999999</v>
      </c>
      <c r="H258" s="159">
        <v>0.27884399999999998</v>
      </c>
      <c r="I258" s="159">
        <v>0.29698400000000003</v>
      </c>
      <c r="J258" s="159">
        <v>0.29364600000000002</v>
      </c>
      <c r="K258" s="159">
        <v>0.28875600000000001</v>
      </c>
      <c r="L258" s="159">
        <v>0.27390599999999998</v>
      </c>
      <c r="M258" s="159">
        <v>0.26474799999999998</v>
      </c>
      <c r="N258" s="159">
        <v>0.243921</v>
      </c>
      <c r="O258" s="159">
        <v>0.26619799999999999</v>
      </c>
      <c r="P258" s="11"/>
      <c r="Q258" s="29"/>
      <c r="R258" s="60"/>
    </row>
    <row r="259" spans="1:18" ht="12" customHeight="1">
      <c r="A259" s="10" t="s">
        <v>466</v>
      </c>
      <c r="B259" s="11" t="s">
        <v>467</v>
      </c>
      <c r="C259" s="155">
        <v>7.0936620000000001</v>
      </c>
      <c r="D259" s="159">
        <v>0.40621499999999999</v>
      </c>
      <c r="E259" s="159">
        <v>0.38800400000000002</v>
      </c>
      <c r="F259" s="159">
        <v>0.48838199999999998</v>
      </c>
      <c r="G259" s="159">
        <v>0.54248499999999999</v>
      </c>
      <c r="H259" s="159">
        <v>0.66156800000000004</v>
      </c>
      <c r="I259" s="159">
        <v>0.72520799999999996</v>
      </c>
      <c r="J259" s="159">
        <v>0.77090599999999998</v>
      </c>
      <c r="K259" s="159">
        <v>0.73516999999999999</v>
      </c>
      <c r="L259" s="159">
        <v>0.67747999999999997</v>
      </c>
      <c r="M259" s="159">
        <v>0.59777599999999997</v>
      </c>
      <c r="N259" s="159">
        <v>0.51198999999999995</v>
      </c>
      <c r="O259" s="159">
        <v>0.58847799999999995</v>
      </c>
      <c r="P259" s="11"/>
      <c r="Q259" s="29"/>
      <c r="R259" s="60"/>
    </row>
    <row r="260" spans="1:18" ht="12" customHeight="1">
      <c r="A260" s="10" t="s">
        <v>468</v>
      </c>
      <c r="B260" s="11" t="s">
        <v>469</v>
      </c>
      <c r="C260" s="155">
        <v>12.136041000000001</v>
      </c>
      <c r="D260" s="159">
        <v>1.330891</v>
      </c>
      <c r="E260" s="159">
        <v>1.70509</v>
      </c>
      <c r="F260" s="159">
        <v>1.184887</v>
      </c>
      <c r="G260" s="159">
        <v>0.46002799999999999</v>
      </c>
      <c r="H260" s="159">
        <v>0.56003999999999998</v>
      </c>
      <c r="I260" s="159">
        <v>0.83235400000000004</v>
      </c>
      <c r="J260" s="159">
        <v>1.5246690000000001</v>
      </c>
      <c r="K260" s="159">
        <v>1.5799339999999999</v>
      </c>
      <c r="L260" s="159">
        <v>0.95425099999999996</v>
      </c>
      <c r="M260" s="159">
        <v>0.76592700000000002</v>
      </c>
      <c r="N260" s="159">
        <v>0.31133499999999997</v>
      </c>
      <c r="O260" s="159">
        <v>0.92663499999999999</v>
      </c>
      <c r="P260" s="11"/>
      <c r="Q260" s="29"/>
      <c r="R260" s="60"/>
    </row>
    <row r="261" spans="1:18" ht="12" customHeight="1">
      <c r="A261" s="10" t="s">
        <v>470</v>
      </c>
      <c r="B261" s="11" t="s">
        <v>471</v>
      </c>
      <c r="C261" s="155">
        <v>6.1347670000000001</v>
      </c>
      <c r="D261" s="159">
        <v>0.34120899999999998</v>
      </c>
      <c r="E261" s="159">
        <v>0.41620099999999999</v>
      </c>
      <c r="F261" s="159">
        <v>0.404142</v>
      </c>
      <c r="G261" s="159">
        <v>0.39743099999999998</v>
      </c>
      <c r="H261" s="159">
        <v>0.56625000000000003</v>
      </c>
      <c r="I261" s="159">
        <v>0.64205900000000005</v>
      </c>
      <c r="J261" s="159">
        <v>0.82415300000000002</v>
      </c>
      <c r="K261" s="159">
        <v>0.80040299999999998</v>
      </c>
      <c r="L261" s="159">
        <v>0.59638400000000003</v>
      </c>
      <c r="M261" s="159">
        <v>0.48264299999999999</v>
      </c>
      <c r="N261" s="159">
        <v>0.29897400000000002</v>
      </c>
      <c r="O261" s="159">
        <v>0.36491699999999999</v>
      </c>
      <c r="P261" s="11"/>
      <c r="Q261" s="29"/>
      <c r="R261" s="60"/>
    </row>
    <row r="262" spans="1:18" ht="12" customHeight="1">
      <c r="A262" s="10" t="s">
        <v>472</v>
      </c>
      <c r="B262" s="11" t="s">
        <v>473</v>
      </c>
      <c r="C262" s="155">
        <v>4.3256779999999999</v>
      </c>
      <c r="D262" s="159">
        <v>8.4291000000000005E-2</v>
      </c>
      <c r="E262" s="159">
        <v>0.10577499999999999</v>
      </c>
      <c r="F262" s="159">
        <v>0.19931299999999999</v>
      </c>
      <c r="G262" s="159">
        <v>0.39104</v>
      </c>
      <c r="H262" s="159">
        <v>0.44962800000000003</v>
      </c>
      <c r="I262" s="159">
        <v>0.47592600000000002</v>
      </c>
      <c r="J262" s="159">
        <v>0.74918399999999996</v>
      </c>
      <c r="K262" s="159">
        <v>0.70953200000000005</v>
      </c>
      <c r="L262" s="159">
        <v>0.529999</v>
      </c>
      <c r="M262" s="159">
        <v>0.38273400000000002</v>
      </c>
      <c r="N262" s="159">
        <v>0.13245699999999999</v>
      </c>
      <c r="O262" s="159">
        <v>0.1158</v>
      </c>
      <c r="P262" s="11"/>
      <c r="Q262" s="29"/>
      <c r="R262" s="60"/>
    </row>
    <row r="263" spans="1:18" ht="12" customHeight="1">
      <c r="A263" s="10" t="s">
        <v>2996</v>
      </c>
      <c r="B263" s="11" t="s">
        <v>2997</v>
      </c>
      <c r="C263" s="155" t="s">
        <v>546</v>
      </c>
      <c r="D263" s="155" t="s">
        <v>546</v>
      </c>
      <c r="E263" s="155" t="s">
        <v>546</v>
      </c>
      <c r="F263" s="155" t="s">
        <v>546</v>
      </c>
      <c r="G263" s="155" t="s">
        <v>546</v>
      </c>
      <c r="H263" s="155" t="s">
        <v>546</v>
      </c>
      <c r="I263" s="155" t="s">
        <v>546</v>
      </c>
      <c r="J263" s="155" t="s">
        <v>546</v>
      </c>
      <c r="K263" s="155" t="s">
        <v>546</v>
      </c>
      <c r="L263" s="155" t="s">
        <v>546</v>
      </c>
      <c r="M263" s="155" t="s">
        <v>546</v>
      </c>
      <c r="N263" s="155" t="s">
        <v>546</v>
      </c>
      <c r="O263" s="155" t="s">
        <v>546</v>
      </c>
      <c r="P263" s="11"/>
      <c r="Q263" s="29"/>
      <c r="R263" s="60"/>
    </row>
    <row r="264" spans="1:18" ht="12" customHeight="1">
      <c r="A264" s="10" t="s">
        <v>3190</v>
      </c>
      <c r="B264" s="11" t="s">
        <v>3110</v>
      </c>
      <c r="C264" s="155">
        <v>5.2005759999999999</v>
      </c>
      <c r="D264" s="159">
        <v>6.9583000000000006E-2</v>
      </c>
      <c r="E264" s="159">
        <v>9.0907000000000002E-2</v>
      </c>
      <c r="F264" s="159">
        <v>0.13943700000000001</v>
      </c>
      <c r="G264" s="159">
        <v>0.31775599999999998</v>
      </c>
      <c r="H264" s="159">
        <v>0.49932199999999999</v>
      </c>
      <c r="I264" s="159">
        <v>0.73358400000000001</v>
      </c>
      <c r="J264" s="159">
        <v>1.0362070000000001</v>
      </c>
      <c r="K264" s="159">
        <v>1.086368</v>
      </c>
      <c r="L264" s="159">
        <v>0.66265600000000002</v>
      </c>
      <c r="M264" s="159">
        <v>0.34876200000000002</v>
      </c>
      <c r="N264" s="159">
        <v>0.134573</v>
      </c>
      <c r="O264" s="159">
        <v>8.1420999999999993E-2</v>
      </c>
      <c r="P264" s="11"/>
      <c r="Q264" s="29"/>
      <c r="R264" s="60"/>
    </row>
    <row r="265" spans="1:18" ht="12" customHeight="1">
      <c r="A265" s="10" t="s">
        <v>2990</v>
      </c>
      <c r="B265" s="11" t="s">
        <v>2991</v>
      </c>
      <c r="C265" s="155" t="s">
        <v>546</v>
      </c>
      <c r="D265" s="155" t="s">
        <v>546</v>
      </c>
      <c r="E265" s="155" t="s">
        <v>546</v>
      </c>
      <c r="F265" s="155" t="s">
        <v>546</v>
      </c>
      <c r="G265" s="155" t="s">
        <v>546</v>
      </c>
      <c r="H265" s="155" t="s">
        <v>546</v>
      </c>
      <c r="I265" s="155" t="s">
        <v>546</v>
      </c>
      <c r="J265" s="155" t="s">
        <v>546</v>
      </c>
      <c r="K265" s="155" t="s">
        <v>546</v>
      </c>
      <c r="L265" s="155" t="s">
        <v>546</v>
      </c>
      <c r="M265" s="155" t="s">
        <v>546</v>
      </c>
      <c r="N265" s="155" t="s">
        <v>546</v>
      </c>
      <c r="O265" s="155" t="s">
        <v>546</v>
      </c>
      <c r="P265" s="11"/>
      <c r="Q265" s="29"/>
      <c r="R265" s="60"/>
    </row>
    <row r="266" spans="1:18" ht="12" customHeight="1">
      <c r="A266" s="10" t="s">
        <v>475</v>
      </c>
      <c r="B266" s="11" t="s">
        <v>474</v>
      </c>
      <c r="C266" s="155">
        <v>2.1805099999999999</v>
      </c>
      <c r="D266" s="159">
        <v>9.5273999999999998E-2</v>
      </c>
      <c r="E266" s="159">
        <v>8.4651000000000004E-2</v>
      </c>
      <c r="F266" s="159">
        <v>0.110113</v>
      </c>
      <c r="G266" s="159">
        <v>0.15037700000000001</v>
      </c>
      <c r="H266" s="159">
        <v>0.19775100000000001</v>
      </c>
      <c r="I266" s="159">
        <v>0.24135400000000001</v>
      </c>
      <c r="J266" s="159">
        <v>0.30921500000000002</v>
      </c>
      <c r="K266" s="159">
        <v>0.32729999999999998</v>
      </c>
      <c r="L266" s="159">
        <v>0.231076</v>
      </c>
      <c r="M266" s="159">
        <v>0.198573</v>
      </c>
      <c r="N266" s="159">
        <v>0.131412</v>
      </c>
      <c r="O266" s="159">
        <v>0.10341400000000001</v>
      </c>
      <c r="P266" s="11"/>
      <c r="Q266" s="29"/>
      <c r="R266" s="60"/>
    </row>
    <row r="267" spans="1:18" ht="12" customHeight="1">
      <c r="A267" s="10" t="s">
        <v>3017</v>
      </c>
      <c r="B267" s="11" t="s">
        <v>3018</v>
      </c>
      <c r="C267" s="155" t="s">
        <v>546</v>
      </c>
      <c r="D267" s="155" t="s">
        <v>546</v>
      </c>
      <c r="E267" s="155" t="s">
        <v>546</v>
      </c>
      <c r="F267" s="155" t="s">
        <v>546</v>
      </c>
      <c r="G267" s="155" t="s">
        <v>546</v>
      </c>
      <c r="H267" s="155" t="s">
        <v>546</v>
      </c>
      <c r="I267" s="155" t="s">
        <v>546</v>
      </c>
      <c r="J267" s="155" t="s">
        <v>546</v>
      </c>
      <c r="K267" s="155" t="s">
        <v>546</v>
      </c>
      <c r="L267" s="155" t="s">
        <v>546</v>
      </c>
      <c r="M267" s="155" t="s">
        <v>546</v>
      </c>
      <c r="N267" s="155" t="s">
        <v>546</v>
      </c>
      <c r="O267" s="155" t="s">
        <v>546</v>
      </c>
      <c r="P267" s="11"/>
      <c r="Q267" s="29"/>
      <c r="R267" s="60"/>
    </row>
    <row r="268" spans="1:18" ht="12" customHeight="1">
      <c r="A268" s="10" t="s">
        <v>2849</v>
      </c>
      <c r="B268" s="11" t="s">
        <v>2850</v>
      </c>
      <c r="C268" s="155">
        <v>1.671619</v>
      </c>
      <c r="D268" s="159">
        <v>2.5838E-2</v>
      </c>
      <c r="E268" s="159">
        <v>2.4664999999999999E-2</v>
      </c>
      <c r="F268" s="159">
        <v>3.7234000000000003E-2</v>
      </c>
      <c r="G268" s="159">
        <v>4.9845E-2</v>
      </c>
      <c r="H268" s="159">
        <v>7.3371000000000006E-2</v>
      </c>
      <c r="I268" s="159">
        <v>0.19318399999999999</v>
      </c>
      <c r="J268" s="159">
        <v>0.38637199999999999</v>
      </c>
      <c r="K268" s="159">
        <v>0.47628999999999999</v>
      </c>
      <c r="L268" s="159">
        <v>0.21057000000000001</v>
      </c>
      <c r="M268" s="159">
        <v>9.3606999999999996E-2</v>
      </c>
      <c r="N268" s="159">
        <v>5.3825999999999999E-2</v>
      </c>
      <c r="O268" s="159">
        <v>4.6816999999999998E-2</v>
      </c>
      <c r="P268" s="11"/>
      <c r="Q268" s="29"/>
      <c r="R268" s="60"/>
    </row>
    <row r="269" spans="1:18" ht="12" customHeight="1">
      <c r="A269" s="10" t="s">
        <v>2851</v>
      </c>
      <c r="B269" s="11" t="s">
        <v>2852</v>
      </c>
      <c r="C269" s="155">
        <v>3.1484779999999999</v>
      </c>
      <c r="D269" s="159">
        <v>0.107223</v>
      </c>
      <c r="E269" s="159">
        <v>0.113576</v>
      </c>
      <c r="F269" s="159">
        <v>0.14610000000000001</v>
      </c>
      <c r="G269" s="159">
        <v>0.25570799999999999</v>
      </c>
      <c r="H269" s="159">
        <v>0.28064600000000001</v>
      </c>
      <c r="I269" s="159">
        <v>0.33300299999999999</v>
      </c>
      <c r="J269" s="159">
        <v>0.45080100000000001</v>
      </c>
      <c r="K269" s="159">
        <v>0.51872600000000002</v>
      </c>
      <c r="L269" s="159">
        <v>0.38889099999999999</v>
      </c>
      <c r="M269" s="159">
        <v>0.23918700000000001</v>
      </c>
      <c r="N269" s="159">
        <v>0.17639199999999999</v>
      </c>
      <c r="O269" s="159">
        <v>0.13822499999999999</v>
      </c>
      <c r="P269" s="11"/>
      <c r="Q269" s="29"/>
      <c r="R269" s="60"/>
    </row>
    <row r="270" spans="1:18" ht="12" customHeight="1">
      <c r="A270" s="10" t="s">
        <v>2853</v>
      </c>
      <c r="B270" s="11" t="s">
        <v>2854</v>
      </c>
      <c r="C270" s="155">
        <v>2.6256170000000001</v>
      </c>
      <c r="D270" s="159">
        <v>3.6652999999999998E-2</v>
      </c>
      <c r="E270" s="159">
        <v>3.0515E-2</v>
      </c>
      <c r="F270" s="159">
        <v>4.1534000000000001E-2</v>
      </c>
      <c r="G270" s="159">
        <v>8.6282999999999999E-2</v>
      </c>
      <c r="H270" s="159">
        <v>0.15626799999999999</v>
      </c>
      <c r="I270" s="159">
        <v>0.34288600000000002</v>
      </c>
      <c r="J270" s="159">
        <v>0.54112300000000002</v>
      </c>
      <c r="K270" s="159">
        <v>0.70266499999999998</v>
      </c>
      <c r="L270" s="159">
        <v>0.39547100000000002</v>
      </c>
      <c r="M270" s="159">
        <v>0.15559400000000001</v>
      </c>
      <c r="N270" s="159">
        <v>8.1044000000000005E-2</v>
      </c>
      <c r="O270" s="159">
        <v>5.5580999999999998E-2</v>
      </c>
      <c r="P270" s="11"/>
      <c r="Q270" s="29"/>
      <c r="R270" s="60"/>
    </row>
    <row r="271" spans="1:18" ht="12" customHeight="1">
      <c r="A271" s="10" t="s">
        <v>557</v>
      </c>
      <c r="B271" s="11" t="s">
        <v>558</v>
      </c>
      <c r="C271" s="155">
        <v>3.7120380000000002</v>
      </c>
      <c r="D271" s="159">
        <v>0.20721200000000001</v>
      </c>
      <c r="E271" s="159">
        <v>0.209477</v>
      </c>
      <c r="F271" s="159">
        <v>0.28128700000000001</v>
      </c>
      <c r="G271" s="159">
        <v>0.32046999999999998</v>
      </c>
      <c r="H271" s="159">
        <v>0.35814699999999999</v>
      </c>
      <c r="I271" s="159">
        <v>0.33016099999999998</v>
      </c>
      <c r="J271" s="159">
        <v>0.35011300000000001</v>
      </c>
      <c r="K271" s="159">
        <v>0.344416</v>
      </c>
      <c r="L271" s="159">
        <v>0.33108100000000001</v>
      </c>
      <c r="M271" s="159">
        <v>0.36474000000000001</v>
      </c>
      <c r="N271" s="159">
        <v>0.30203400000000002</v>
      </c>
      <c r="O271" s="159">
        <v>0.31290000000000001</v>
      </c>
      <c r="P271" s="11"/>
      <c r="Q271" s="29"/>
      <c r="R271" s="60"/>
    </row>
    <row r="272" spans="1:18" ht="12" customHeight="1">
      <c r="A272" s="10" t="s">
        <v>559</v>
      </c>
      <c r="B272" s="11" t="s">
        <v>3197</v>
      </c>
      <c r="C272" s="155">
        <v>1.9932669999999999</v>
      </c>
      <c r="D272" s="159">
        <v>0.106091</v>
      </c>
      <c r="E272" s="159">
        <v>0.11656</v>
      </c>
      <c r="F272" s="159">
        <v>0.15010100000000001</v>
      </c>
      <c r="G272" s="159">
        <v>0.16697200000000001</v>
      </c>
      <c r="H272" s="159">
        <v>0.198239</v>
      </c>
      <c r="I272" s="159">
        <v>0.17932200000000001</v>
      </c>
      <c r="J272" s="159">
        <v>0.221748</v>
      </c>
      <c r="K272" s="159">
        <v>0.21812400000000001</v>
      </c>
      <c r="L272" s="159">
        <v>0.16628899999999999</v>
      </c>
      <c r="M272" s="159">
        <v>0.182696</v>
      </c>
      <c r="N272" s="159">
        <v>0.15190400000000001</v>
      </c>
      <c r="O272" s="159">
        <v>0.13522100000000001</v>
      </c>
      <c r="P272" s="11"/>
      <c r="Q272" s="29"/>
      <c r="R272" s="60"/>
    </row>
    <row r="273" spans="1:18" ht="12" customHeight="1">
      <c r="A273" s="10" t="s">
        <v>560</v>
      </c>
      <c r="B273" s="11" t="s">
        <v>3198</v>
      </c>
      <c r="C273" s="155">
        <v>4.7843349999999996</v>
      </c>
      <c r="D273" s="159">
        <v>0.41464200000000001</v>
      </c>
      <c r="E273" s="159">
        <v>0.38128200000000001</v>
      </c>
      <c r="F273" s="159">
        <v>0.34942099999999998</v>
      </c>
      <c r="G273" s="159">
        <v>0.37185499999999999</v>
      </c>
      <c r="H273" s="159">
        <v>0.43974800000000003</v>
      </c>
      <c r="I273" s="159">
        <v>0.42183599999999999</v>
      </c>
      <c r="J273" s="159">
        <v>0.53284699999999996</v>
      </c>
      <c r="K273" s="159">
        <v>0.601715</v>
      </c>
      <c r="L273" s="159">
        <v>0.34750199999999998</v>
      </c>
      <c r="M273" s="159">
        <v>0.33696999999999999</v>
      </c>
      <c r="N273" s="159">
        <v>0.27192100000000002</v>
      </c>
      <c r="O273" s="159">
        <v>0.31459599999999999</v>
      </c>
      <c r="P273" s="11"/>
      <c r="Q273" s="29"/>
      <c r="R273" s="60"/>
    </row>
    <row r="274" spans="1:18" ht="12" customHeight="1">
      <c r="A274" s="10" t="s">
        <v>561</v>
      </c>
      <c r="B274" s="11" t="s">
        <v>3199</v>
      </c>
      <c r="C274" s="155">
        <v>2.1725110000000001</v>
      </c>
      <c r="D274" s="159">
        <v>9.6315999999999999E-2</v>
      </c>
      <c r="E274" s="159">
        <v>0.109819</v>
      </c>
      <c r="F274" s="159">
        <v>0.139597</v>
      </c>
      <c r="G274" s="159">
        <v>0.16584499999999999</v>
      </c>
      <c r="H274" s="159">
        <v>0.21226600000000001</v>
      </c>
      <c r="I274" s="159">
        <v>0.21992500000000001</v>
      </c>
      <c r="J274" s="159">
        <v>0.27970099999999998</v>
      </c>
      <c r="K274" s="159">
        <v>0.31383</v>
      </c>
      <c r="L274" s="159">
        <v>0.20224700000000001</v>
      </c>
      <c r="M274" s="159">
        <v>0.17306199999999999</v>
      </c>
      <c r="N274" s="159">
        <v>0.13958300000000001</v>
      </c>
      <c r="O274" s="159">
        <v>0.12032</v>
      </c>
      <c r="P274" s="11"/>
      <c r="Q274" s="29"/>
      <c r="R274" s="60"/>
    </row>
    <row r="275" spans="1:18" ht="12" customHeight="1">
      <c r="A275" s="10" t="s">
        <v>478</v>
      </c>
      <c r="B275" s="11" t="s">
        <v>2855</v>
      </c>
      <c r="C275" s="155" t="s">
        <v>546</v>
      </c>
      <c r="D275" s="155" t="s">
        <v>546</v>
      </c>
      <c r="E275" s="155" t="s">
        <v>546</v>
      </c>
      <c r="F275" s="155" t="s">
        <v>546</v>
      </c>
      <c r="G275" s="155" t="s">
        <v>546</v>
      </c>
      <c r="H275" s="155" t="s">
        <v>546</v>
      </c>
      <c r="I275" s="155" t="s">
        <v>546</v>
      </c>
      <c r="J275" s="155" t="s">
        <v>546</v>
      </c>
      <c r="K275" s="155" t="s">
        <v>546</v>
      </c>
      <c r="L275" s="155" t="s">
        <v>546</v>
      </c>
      <c r="M275" s="155" t="s">
        <v>546</v>
      </c>
      <c r="N275" s="155" t="s">
        <v>546</v>
      </c>
      <c r="O275" s="155" t="s">
        <v>546</v>
      </c>
      <c r="P275" s="11"/>
      <c r="Q275" s="29"/>
      <c r="R275" s="60"/>
    </row>
    <row r="276" spans="1:18" ht="12" customHeight="1">
      <c r="A276" s="10" t="s">
        <v>2992</v>
      </c>
      <c r="B276" s="11" t="s">
        <v>2993</v>
      </c>
      <c r="C276" s="155" t="s">
        <v>546</v>
      </c>
      <c r="D276" s="155" t="s">
        <v>546</v>
      </c>
      <c r="E276" s="155" t="s">
        <v>546</v>
      </c>
      <c r="F276" s="155" t="s">
        <v>546</v>
      </c>
      <c r="G276" s="155" t="s">
        <v>546</v>
      </c>
      <c r="H276" s="155" t="s">
        <v>546</v>
      </c>
      <c r="I276" s="155" t="s">
        <v>546</v>
      </c>
      <c r="J276" s="155" t="s">
        <v>546</v>
      </c>
      <c r="K276" s="155" t="s">
        <v>546</v>
      </c>
      <c r="L276" s="155" t="s">
        <v>546</v>
      </c>
      <c r="M276" s="155" t="s">
        <v>546</v>
      </c>
      <c r="N276" s="155" t="s">
        <v>546</v>
      </c>
      <c r="O276" s="155" t="s">
        <v>546</v>
      </c>
      <c r="P276" s="11"/>
      <c r="Q276" s="29"/>
      <c r="R276" s="60"/>
    </row>
    <row r="277" spans="1:18" ht="12" customHeight="1">
      <c r="A277" s="10" t="s">
        <v>3231</v>
      </c>
      <c r="B277" s="11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1"/>
      <c r="Q277" s="29"/>
      <c r="R277" s="60"/>
    </row>
    <row r="278" spans="1:18" ht="12" customHeight="1">
      <c r="A278" s="10" t="s">
        <v>29</v>
      </c>
      <c r="B278" s="11" t="s">
        <v>3139</v>
      </c>
      <c r="D278" s="153">
        <v>9.8699999999999996E-2</v>
      </c>
      <c r="E278" s="153">
        <v>0.116259</v>
      </c>
      <c r="F278" s="153">
        <v>0.12876199999999999</v>
      </c>
      <c r="G278" s="153">
        <v>0.14253299999999999</v>
      </c>
      <c r="H278" s="153">
        <v>0.14638399999999999</v>
      </c>
      <c r="I278" s="153">
        <v>0.137852</v>
      </c>
      <c r="J278" s="153">
        <v>0.16676199999999999</v>
      </c>
      <c r="K278" s="153">
        <v>0.12531500000000001</v>
      </c>
      <c r="L278" s="153">
        <v>0.13678299999999999</v>
      </c>
      <c r="M278" s="153">
        <v>0.15348400000000001</v>
      </c>
      <c r="N278" s="153">
        <v>0.14357400000000001</v>
      </c>
      <c r="O278" s="153">
        <v>0.14433399999999999</v>
      </c>
      <c r="P278" s="11"/>
      <c r="Q278" s="29"/>
      <c r="R278" s="60"/>
    </row>
    <row r="279" spans="1:18" ht="12" customHeight="1">
      <c r="A279" s="10" t="s">
        <v>30</v>
      </c>
      <c r="B279" s="11" t="s">
        <v>31</v>
      </c>
      <c r="D279" s="153">
        <v>0.116814</v>
      </c>
      <c r="E279" s="153">
        <v>0.15557099999999999</v>
      </c>
      <c r="F279" s="153">
        <v>0.18959599999999999</v>
      </c>
      <c r="G279" s="153">
        <v>0.21263299999999999</v>
      </c>
      <c r="H279" s="153">
        <v>0.22855300000000001</v>
      </c>
      <c r="I279" s="153">
        <v>0.19803999999999999</v>
      </c>
      <c r="J279" s="153">
        <v>0.47047299999999997</v>
      </c>
      <c r="K279" s="153">
        <v>0.33537600000000001</v>
      </c>
      <c r="L279" s="153">
        <v>0.18373700000000001</v>
      </c>
      <c r="M279" s="153">
        <v>0.21423</v>
      </c>
      <c r="N279" s="153">
        <v>0.17702599999999999</v>
      </c>
      <c r="O279" s="153">
        <v>0.14765700000000001</v>
      </c>
      <c r="P279" s="11"/>
      <c r="Q279" s="29"/>
      <c r="R279" s="60"/>
    </row>
    <row r="280" spans="1:18" ht="12" customHeight="1">
      <c r="A280" s="10" t="s">
        <v>32</v>
      </c>
      <c r="B280" s="11" t="s">
        <v>33</v>
      </c>
      <c r="D280" s="153">
        <v>0.11781</v>
      </c>
      <c r="E280" s="153">
        <v>0.15059500000000001</v>
      </c>
      <c r="F280" s="153">
        <v>0.18335899999999999</v>
      </c>
      <c r="G280" s="153">
        <v>0.25524799999999997</v>
      </c>
      <c r="H280" s="153">
        <v>0.25334000000000001</v>
      </c>
      <c r="I280" s="153">
        <v>0.19225900000000001</v>
      </c>
      <c r="J280" s="153">
        <v>0.51931300000000002</v>
      </c>
      <c r="K280" s="153">
        <v>0.403779</v>
      </c>
      <c r="L280" s="153">
        <v>0.198161</v>
      </c>
      <c r="M280" s="153">
        <v>0.20064499999999999</v>
      </c>
      <c r="N280" s="153">
        <v>0.18520200000000001</v>
      </c>
      <c r="O280" s="153">
        <v>0.15690699999999999</v>
      </c>
      <c r="P280" s="11"/>
      <c r="Q280" s="29"/>
      <c r="R280" s="60"/>
    </row>
    <row r="281" spans="1:18" ht="12" customHeight="1">
      <c r="A281" s="10" t="s">
        <v>34</v>
      </c>
      <c r="B281" s="11" t="s">
        <v>35</v>
      </c>
      <c r="D281" s="153">
        <v>5.7903000000000003E-2</v>
      </c>
      <c r="E281" s="153">
        <v>8.6154999999999995E-2</v>
      </c>
      <c r="F281" s="153">
        <v>0.113328</v>
      </c>
      <c r="G281" s="153">
        <v>0.119015</v>
      </c>
      <c r="H281" s="153">
        <v>0.12968199999999999</v>
      </c>
      <c r="I281" s="153">
        <v>0.109975</v>
      </c>
      <c r="J281" s="153">
        <v>0.207482</v>
      </c>
      <c r="K281" s="153">
        <v>0.14908099999999999</v>
      </c>
      <c r="L281" s="153">
        <v>0.112549</v>
      </c>
      <c r="M281" s="153">
        <v>0.115477</v>
      </c>
      <c r="N281" s="153">
        <v>9.7058000000000005E-2</v>
      </c>
      <c r="O281" s="153">
        <v>7.5523000000000007E-2</v>
      </c>
      <c r="P281" s="11"/>
      <c r="Q281" s="29"/>
      <c r="R281" s="60"/>
    </row>
    <row r="282" spans="1:18" ht="12" customHeight="1">
      <c r="A282" s="10" t="s">
        <v>36</v>
      </c>
      <c r="B282" s="11" t="s">
        <v>37</v>
      </c>
      <c r="D282" s="153">
        <v>5.7751999999999998E-2</v>
      </c>
      <c r="E282" s="153">
        <v>7.5048000000000004E-2</v>
      </c>
      <c r="F282" s="153">
        <v>8.8748999999999995E-2</v>
      </c>
      <c r="G282" s="153">
        <v>9.6872E-2</v>
      </c>
      <c r="H282" s="153">
        <v>9.8646999999999999E-2</v>
      </c>
      <c r="I282" s="153">
        <v>8.7286000000000002E-2</v>
      </c>
      <c r="J282" s="153">
        <v>0.187616</v>
      </c>
      <c r="K282" s="153">
        <v>0.12224599999999999</v>
      </c>
      <c r="L282" s="153">
        <v>9.4502000000000003E-2</v>
      </c>
      <c r="M282" s="153">
        <v>9.9037E-2</v>
      </c>
      <c r="N282" s="153">
        <v>8.8493000000000002E-2</v>
      </c>
      <c r="O282" s="153">
        <v>7.4286000000000005E-2</v>
      </c>
      <c r="P282" s="11"/>
      <c r="Q282" s="29"/>
      <c r="R282" s="60"/>
    </row>
    <row r="283" spans="1:18" ht="12" customHeight="1">
      <c r="A283" s="10" t="s">
        <v>38</v>
      </c>
      <c r="B283" s="11" t="s">
        <v>39</v>
      </c>
      <c r="D283" s="153">
        <v>0.19958100000000001</v>
      </c>
      <c r="E283" s="153">
        <v>0.28555999999999998</v>
      </c>
      <c r="F283" s="153">
        <v>0.45412599999999997</v>
      </c>
      <c r="G283" s="153">
        <v>0.58210899999999999</v>
      </c>
      <c r="H283" s="153">
        <v>0.77499200000000001</v>
      </c>
      <c r="I283" s="153">
        <v>0.74388299999999996</v>
      </c>
      <c r="J283" s="153">
        <v>1.2332399999999999</v>
      </c>
      <c r="K283" s="153">
        <v>1.285364</v>
      </c>
      <c r="L283" s="153">
        <v>0.77086200000000005</v>
      </c>
      <c r="M283" s="153">
        <v>0.55973099999999998</v>
      </c>
      <c r="N283" s="153">
        <v>0.35689900000000002</v>
      </c>
      <c r="O283" s="153">
        <v>0.39941500000000002</v>
      </c>
      <c r="P283" s="11"/>
      <c r="Q283" s="29"/>
      <c r="R283" s="60"/>
    </row>
    <row r="284" spans="1:18" ht="12" customHeight="1">
      <c r="A284" s="10" t="s">
        <v>40</v>
      </c>
      <c r="B284" s="11" t="s">
        <v>41</v>
      </c>
      <c r="D284" s="153">
        <v>1.9570000000000001E-2</v>
      </c>
      <c r="E284" s="153">
        <v>2.3275000000000001E-2</v>
      </c>
      <c r="F284" s="153">
        <v>2.4081000000000002E-2</v>
      </c>
      <c r="G284" s="153">
        <v>2.3883999999999999E-2</v>
      </c>
      <c r="H284" s="153">
        <v>2.9475000000000001E-2</v>
      </c>
      <c r="I284" s="153">
        <v>2.6721999999999999E-2</v>
      </c>
      <c r="J284" s="153">
        <v>2.5166000000000001E-2</v>
      </c>
      <c r="K284" s="153">
        <v>2.5590000000000002E-2</v>
      </c>
      <c r="L284" s="153">
        <v>2.6409999999999999E-2</v>
      </c>
      <c r="M284" s="153">
        <v>2.6956999999999998E-2</v>
      </c>
      <c r="N284" s="153">
        <v>2.4666E-2</v>
      </c>
      <c r="O284" s="153">
        <v>1.9687E-2</v>
      </c>
      <c r="P284" s="11"/>
      <c r="Q284" s="29"/>
      <c r="R284" s="60"/>
    </row>
    <row r="285" spans="1:18" ht="12" customHeight="1">
      <c r="A285" s="10" t="s">
        <v>42</v>
      </c>
      <c r="B285" s="11" t="s">
        <v>43</v>
      </c>
      <c r="D285" s="153">
        <v>3.4271999999999997E-2</v>
      </c>
      <c r="E285" s="153">
        <v>4.2039E-2</v>
      </c>
      <c r="F285" s="153">
        <v>5.5222E-2</v>
      </c>
      <c r="G285" s="153">
        <v>6.2724000000000002E-2</v>
      </c>
      <c r="H285" s="153">
        <v>7.3582999999999996E-2</v>
      </c>
      <c r="I285" s="153">
        <v>5.4911000000000001E-2</v>
      </c>
      <c r="J285" s="153">
        <v>8.8372999999999993E-2</v>
      </c>
      <c r="K285" s="153">
        <v>7.2517999999999999E-2</v>
      </c>
      <c r="L285" s="153">
        <v>6.0178000000000002E-2</v>
      </c>
      <c r="M285" s="153">
        <v>6.4963000000000007E-2</v>
      </c>
      <c r="N285" s="153">
        <v>5.0469E-2</v>
      </c>
      <c r="O285" s="153">
        <v>4.9353000000000001E-2</v>
      </c>
      <c r="P285" s="11"/>
      <c r="Q285" s="29"/>
      <c r="R285" s="60"/>
    </row>
    <row r="286" spans="1:18" ht="12" customHeight="1">
      <c r="A286" s="10" t="s">
        <v>44</v>
      </c>
      <c r="B286" s="11" t="s">
        <v>45</v>
      </c>
      <c r="D286" s="153">
        <v>8.0512E-2</v>
      </c>
      <c r="E286" s="153">
        <v>9.0511999999999995E-2</v>
      </c>
      <c r="F286" s="153">
        <v>0.10432</v>
      </c>
      <c r="G286" s="153">
        <v>0.12399399999999999</v>
      </c>
      <c r="H286" s="153">
        <v>0.13167200000000001</v>
      </c>
      <c r="I286" s="153">
        <v>0.107261</v>
      </c>
      <c r="J286" s="153">
        <v>0.192332</v>
      </c>
      <c r="K286" s="153">
        <v>0.174737</v>
      </c>
      <c r="L286" s="153">
        <v>0.11040999999999999</v>
      </c>
      <c r="M286" s="153">
        <v>0.131963</v>
      </c>
      <c r="N286" s="153">
        <v>0.110668</v>
      </c>
      <c r="O286" s="153">
        <v>0.103904</v>
      </c>
      <c r="P286" s="11"/>
      <c r="Q286" s="29"/>
      <c r="R286" s="60"/>
    </row>
    <row r="287" spans="1:18" ht="12" customHeight="1">
      <c r="A287" s="10" t="s">
        <v>46</v>
      </c>
      <c r="B287" s="11" t="s">
        <v>47</v>
      </c>
      <c r="D287" s="153">
        <v>8.2566000000000001E-2</v>
      </c>
      <c r="E287" s="153">
        <v>9.2632999999999993E-2</v>
      </c>
      <c r="F287" s="153">
        <v>0.10860499999999999</v>
      </c>
      <c r="G287" s="153">
        <v>0.13986499999999999</v>
      </c>
      <c r="H287" s="153">
        <v>0.181612</v>
      </c>
      <c r="I287" s="153">
        <v>0.13339100000000001</v>
      </c>
      <c r="J287" s="153">
        <v>0.28596199999999999</v>
      </c>
      <c r="K287" s="153">
        <v>0.26752900000000002</v>
      </c>
      <c r="L287" s="153">
        <v>0.13190299999999999</v>
      </c>
      <c r="M287" s="153">
        <v>0.13735700000000001</v>
      </c>
      <c r="N287" s="153">
        <v>0.13172300000000001</v>
      </c>
      <c r="O287" s="153">
        <v>0.115176</v>
      </c>
      <c r="P287" s="11"/>
      <c r="Q287" s="29"/>
      <c r="R287" s="60"/>
    </row>
    <row r="288" spans="1:18" s="44" customFormat="1" ht="12" customHeight="1">
      <c r="A288" s="10" t="s">
        <v>48</v>
      </c>
      <c r="B288" s="11" t="s">
        <v>49</v>
      </c>
      <c r="D288" s="153">
        <v>3.8399000000000003E-2</v>
      </c>
      <c r="E288" s="153">
        <v>5.1769000000000003E-2</v>
      </c>
      <c r="F288" s="153">
        <v>6.5771999999999997E-2</v>
      </c>
      <c r="G288" s="153">
        <v>8.6221000000000006E-2</v>
      </c>
      <c r="H288" s="153">
        <v>9.9325999999999998E-2</v>
      </c>
      <c r="I288" s="153">
        <v>7.7562999999999993E-2</v>
      </c>
      <c r="J288" s="153">
        <v>0.16225300000000001</v>
      </c>
      <c r="K288" s="153">
        <v>0.13717499999999999</v>
      </c>
      <c r="L288" s="153">
        <v>8.4473999999999994E-2</v>
      </c>
      <c r="M288" s="153">
        <v>8.3139000000000005E-2</v>
      </c>
      <c r="N288" s="153">
        <v>7.0098999999999995E-2</v>
      </c>
      <c r="O288" s="153">
        <v>5.6334000000000002E-2</v>
      </c>
      <c r="P288" s="11"/>
      <c r="Q288" s="29"/>
      <c r="R288" s="60"/>
    </row>
    <row r="289" spans="1:18" s="44" customFormat="1" ht="12" customHeight="1">
      <c r="A289" s="10" t="s">
        <v>50</v>
      </c>
      <c r="B289" s="11" t="s">
        <v>27</v>
      </c>
      <c r="D289" s="153">
        <v>3.3947999999999999E-2</v>
      </c>
      <c r="E289" s="153">
        <v>4.4024000000000001E-2</v>
      </c>
      <c r="F289" s="153">
        <v>4.8197999999999998E-2</v>
      </c>
      <c r="G289" s="153">
        <v>5.5638E-2</v>
      </c>
      <c r="H289" s="153">
        <v>5.7091999999999997E-2</v>
      </c>
      <c r="I289" s="153">
        <v>6.2800999999999996E-2</v>
      </c>
      <c r="J289" s="153">
        <v>7.2040999999999994E-2</v>
      </c>
      <c r="K289" s="153">
        <v>8.1740999999999994E-2</v>
      </c>
      <c r="L289" s="153">
        <v>5.7384999999999999E-2</v>
      </c>
      <c r="M289" s="153">
        <v>5.4954000000000003E-2</v>
      </c>
      <c r="N289" s="153">
        <v>4.8543999999999997E-2</v>
      </c>
      <c r="O289" s="153">
        <v>4.7137999999999999E-2</v>
      </c>
      <c r="P289" s="11"/>
      <c r="Q289" s="29"/>
      <c r="R289" s="60"/>
    </row>
    <row r="290" spans="1:18" s="44" customFormat="1" ht="12" customHeight="1">
      <c r="A290" s="10" t="s">
        <v>51</v>
      </c>
      <c r="B290" s="11" t="s">
        <v>52</v>
      </c>
      <c r="D290" s="153">
        <v>3.1371000000000003E-2</v>
      </c>
      <c r="E290" s="153">
        <v>3.8005999999999998E-2</v>
      </c>
      <c r="F290" s="153">
        <v>5.1286999999999999E-2</v>
      </c>
      <c r="G290" s="153">
        <v>5.8792999999999998E-2</v>
      </c>
      <c r="H290" s="153">
        <v>6.0937999999999999E-2</v>
      </c>
      <c r="I290" s="153">
        <v>6.5101999999999993E-2</v>
      </c>
      <c r="J290" s="153">
        <v>6.8642999999999996E-2</v>
      </c>
      <c r="K290" s="153">
        <v>7.3254E-2</v>
      </c>
      <c r="L290" s="153">
        <v>6.2003999999999997E-2</v>
      </c>
      <c r="M290" s="153">
        <v>5.3187999999999999E-2</v>
      </c>
      <c r="N290" s="153">
        <v>5.2400000000000002E-2</v>
      </c>
      <c r="O290" s="153">
        <v>4.4270999999999998E-2</v>
      </c>
      <c r="P290" s="11"/>
      <c r="Q290" s="29"/>
      <c r="R290" s="60"/>
    </row>
    <row r="291" spans="1:18" s="44" customFormat="1" ht="12" customHeight="1">
      <c r="A291" s="10" t="s">
        <v>53</v>
      </c>
      <c r="B291" s="11" t="s">
        <v>54</v>
      </c>
      <c r="D291" s="153">
        <v>3.9106000000000002E-2</v>
      </c>
      <c r="E291" s="153">
        <v>5.3136999999999997E-2</v>
      </c>
      <c r="F291" s="153">
        <v>5.5067999999999999E-2</v>
      </c>
      <c r="G291" s="153">
        <v>7.1212999999999999E-2</v>
      </c>
      <c r="H291" s="153">
        <v>9.0463000000000002E-2</v>
      </c>
      <c r="I291" s="153">
        <v>0.18690100000000001</v>
      </c>
      <c r="J291" s="153">
        <v>0.39375599999999999</v>
      </c>
      <c r="K291" s="153">
        <v>0.40715699999999999</v>
      </c>
      <c r="L291" s="153">
        <v>0.20569799999999999</v>
      </c>
      <c r="M291" s="153">
        <v>6.8602999999999997E-2</v>
      </c>
      <c r="N291" s="153">
        <v>5.8368999999999997E-2</v>
      </c>
      <c r="O291" s="153">
        <v>5.3934999999999997E-2</v>
      </c>
      <c r="P291" s="11"/>
      <c r="Q291" s="29"/>
      <c r="R291" s="60"/>
    </row>
    <row r="292" spans="1:18" s="44" customFormat="1" ht="12" customHeight="1">
      <c r="A292" s="10" t="s">
        <v>55</v>
      </c>
      <c r="B292" s="11" t="s">
        <v>24</v>
      </c>
      <c r="D292" s="153">
        <v>7.4582999999999997E-2</v>
      </c>
      <c r="E292" s="153">
        <v>7.8380000000000005E-2</v>
      </c>
      <c r="F292" s="153">
        <v>8.6927000000000004E-2</v>
      </c>
      <c r="G292" s="153">
        <v>8.9604000000000003E-2</v>
      </c>
      <c r="H292" s="153">
        <v>0.137041</v>
      </c>
      <c r="I292" s="153">
        <v>0.47721799999999998</v>
      </c>
      <c r="J292" s="153">
        <v>1.035766</v>
      </c>
      <c r="K292" s="153">
        <v>1.06609</v>
      </c>
      <c r="L292" s="153">
        <v>0.44467200000000001</v>
      </c>
      <c r="M292" s="153">
        <v>0.102865</v>
      </c>
      <c r="N292" s="153">
        <v>0.1053</v>
      </c>
      <c r="O292" s="153">
        <v>8.7679999999999994E-2</v>
      </c>
      <c r="P292" s="11"/>
      <c r="Q292" s="29"/>
      <c r="R292" s="60"/>
    </row>
    <row r="293" spans="1:18" s="44" customFormat="1" ht="12" customHeight="1">
      <c r="A293" s="10" t="s">
        <v>56</v>
      </c>
      <c r="B293" s="11" t="s">
        <v>57</v>
      </c>
      <c r="D293" s="153">
        <v>0.195331</v>
      </c>
      <c r="E293" s="153">
        <v>0.22881199999999999</v>
      </c>
      <c r="F293" s="153">
        <v>0.22367000000000001</v>
      </c>
      <c r="G293" s="153">
        <v>0.21295700000000001</v>
      </c>
      <c r="H293" s="153">
        <v>0.18221499999999999</v>
      </c>
      <c r="I293" s="153">
        <v>0.19933999999999999</v>
      </c>
      <c r="J293" s="153">
        <v>0.243007</v>
      </c>
      <c r="K293" s="153">
        <v>0.29883300000000002</v>
      </c>
      <c r="L293" s="153">
        <v>0.21906700000000001</v>
      </c>
      <c r="M293" s="153">
        <v>0.20063300000000001</v>
      </c>
      <c r="N293" s="153">
        <v>0.21166299999999999</v>
      </c>
      <c r="O293" s="153">
        <v>0.226857</v>
      </c>
      <c r="P293" s="11"/>
      <c r="Q293" s="29"/>
      <c r="R293" s="60"/>
    </row>
    <row r="294" spans="1:18" s="44" customFormat="1" ht="12" customHeight="1">
      <c r="A294" s="10" t="s">
        <v>58</v>
      </c>
      <c r="B294" s="11" t="s">
        <v>59</v>
      </c>
      <c r="D294" s="153">
        <v>0.234655</v>
      </c>
      <c r="E294" s="153">
        <v>0.29945300000000002</v>
      </c>
      <c r="F294" s="153">
        <v>0.267814</v>
      </c>
      <c r="G294" s="153">
        <v>0.23925299999999999</v>
      </c>
      <c r="H294" s="153">
        <v>0.212896</v>
      </c>
      <c r="I294" s="153">
        <v>0.236597</v>
      </c>
      <c r="J294" s="153">
        <v>0.31314999999999998</v>
      </c>
      <c r="K294" s="153">
        <v>0.366033</v>
      </c>
      <c r="L294" s="153">
        <v>0.25782100000000002</v>
      </c>
      <c r="M294" s="153">
        <v>0.23683499999999999</v>
      </c>
      <c r="N294" s="153">
        <v>0.23494799999999999</v>
      </c>
      <c r="O294" s="153">
        <v>0.254023</v>
      </c>
      <c r="P294" s="11"/>
      <c r="Q294" s="29"/>
      <c r="R294" s="60"/>
    </row>
    <row r="295" spans="1:18" s="44" customFormat="1" ht="12" customHeight="1">
      <c r="A295" s="10" t="s">
        <v>60</v>
      </c>
      <c r="B295" s="11" t="s">
        <v>61</v>
      </c>
      <c r="D295" s="153">
        <v>0.17439299999999999</v>
      </c>
      <c r="E295" s="153">
        <v>0.19611400000000001</v>
      </c>
      <c r="F295" s="153">
        <v>0.235731</v>
      </c>
      <c r="G295" s="153">
        <v>0.20566400000000001</v>
      </c>
      <c r="H295" s="153">
        <v>0.21717</v>
      </c>
      <c r="I295" s="153">
        <v>0.22428600000000001</v>
      </c>
      <c r="J295" s="153">
        <v>0.23641899999999999</v>
      </c>
      <c r="K295" s="153">
        <v>0.21826999999999999</v>
      </c>
      <c r="L295" s="153">
        <v>0.20865500000000001</v>
      </c>
      <c r="M295" s="153">
        <v>0.24334500000000001</v>
      </c>
      <c r="N295" s="153">
        <v>0.24945700000000001</v>
      </c>
      <c r="O295" s="153">
        <v>0.20496200000000001</v>
      </c>
      <c r="P295" s="11"/>
      <c r="Q295" s="29"/>
      <c r="R295" s="60"/>
    </row>
    <row r="296" spans="1:18" s="44" customFormat="1" ht="12" customHeight="1">
      <c r="A296" s="10" t="s">
        <v>62</v>
      </c>
      <c r="B296" s="11" t="s">
        <v>513</v>
      </c>
      <c r="D296" s="153">
        <v>8.0420000000000005E-2</v>
      </c>
      <c r="E296" s="153">
        <v>0.103323</v>
      </c>
      <c r="F296" s="153">
        <v>0.13716</v>
      </c>
      <c r="G296" s="153">
        <v>0.14855399999999999</v>
      </c>
      <c r="H296" s="153">
        <v>0.21566199999999999</v>
      </c>
      <c r="I296" s="153">
        <v>0.238731</v>
      </c>
      <c r="J296" s="153">
        <v>0.46061999999999997</v>
      </c>
      <c r="K296" s="153">
        <v>0.45135799999999998</v>
      </c>
      <c r="L296" s="153">
        <v>0.225267</v>
      </c>
      <c r="M296" s="153">
        <v>0.157587</v>
      </c>
      <c r="N296" s="153">
        <v>0.13459699999999999</v>
      </c>
      <c r="O296" s="153">
        <v>9.2248999999999998E-2</v>
      </c>
      <c r="P296" s="11"/>
      <c r="Q296" s="29"/>
      <c r="R296" s="60"/>
    </row>
    <row r="297" spans="1:18" s="44" customFormat="1" ht="12" customHeight="1">
      <c r="A297" s="10" t="s">
        <v>63</v>
      </c>
      <c r="B297" s="11" t="s">
        <v>64</v>
      </c>
      <c r="D297" s="153">
        <v>0.17915200000000001</v>
      </c>
      <c r="E297" s="153">
        <v>0.26284200000000002</v>
      </c>
      <c r="F297" s="153">
        <v>0.24735499999999999</v>
      </c>
      <c r="G297" s="153">
        <v>0.236985</v>
      </c>
      <c r="H297" s="153">
        <v>0.41061500000000001</v>
      </c>
      <c r="I297" s="153">
        <v>0.51776500000000003</v>
      </c>
      <c r="J297" s="153">
        <v>1.121186</v>
      </c>
      <c r="K297" s="153">
        <v>1.0368580000000001</v>
      </c>
      <c r="L297" s="153">
        <v>0.41552800000000001</v>
      </c>
      <c r="M297" s="153">
        <v>0.30206300000000003</v>
      </c>
      <c r="N297" s="153">
        <v>0.19277</v>
      </c>
      <c r="O297" s="153">
        <v>0.15920100000000001</v>
      </c>
      <c r="P297" s="11"/>
      <c r="Q297" s="29"/>
      <c r="R297" s="60"/>
    </row>
    <row r="298" spans="1:18" s="44" customFormat="1" ht="12" customHeight="1">
      <c r="A298" s="10" t="s">
        <v>65</v>
      </c>
      <c r="B298" s="11" t="s">
        <v>66</v>
      </c>
      <c r="D298" s="153">
        <v>0.147866</v>
      </c>
      <c r="E298" s="153">
        <v>0.20263100000000001</v>
      </c>
      <c r="F298" s="153">
        <v>0.21845999999999999</v>
      </c>
      <c r="G298" s="153">
        <v>0.22217799999999999</v>
      </c>
      <c r="H298" s="153">
        <v>0.31084800000000001</v>
      </c>
      <c r="I298" s="153">
        <v>0.34531600000000001</v>
      </c>
      <c r="J298" s="153">
        <v>0.49257499999999999</v>
      </c>
      <c r="K298" s="153">
        <v>0.48388700000000001</v>
      </c>
      <c r="L298" s="153">
        <v>0.31096600000000002</v>
      </c>
      <c r="M298" s="153">
        <v>0.29201100000000002</v>
      </c>
      <c r="N298" s="153">
        <v>0.23852000000000001</v>
      </c>
      <c r="O298" s="153">
        <v>0.16986899999999999</v>
      </c>
      <c r="P298" s="11"/>
      <c r="Q298" s="29"/>
      <c r="R298" s="60"/>
    </row>
    <row r="299" spans="1:18" s="44" customFormat="1" ht="12" customHeight="1">
      <c r="A299" s="10" t="s">
        <v>67</v>
      </c>
      <c r="B299" s="11" t="s">
        <v>68</v>
      </c>
      <c r="D299" s="153">
        <v>0.536636</v>
      </c>
      <c r="E299" s="153">
        <v>0.65277099999999999</v>
      </c>
      <c r="F299" s="153">
        <v>0.49694899999999997</v>
      </c>
      <c r="G299" s="153">
        <v>0.32713799999999998</v>
      </c>
      <c r="H299" s="153">
        <v>0.60489099999999996</v>
      </c>
      <c r="I299" s="153">
        <v>0.74506399999999995</v>
      </c>
      <c r="J299" s="153">
        <v>1.3114269999999999</v>
      </c>
      <c r="K299" s="153">
        <v>1.286654</v>
      </c>
      <c r="L299" s="153">
        <v>0.56530999999999998</v>
      </c>
      <c r="M299" s="153">
        <v>0.46146500000000001</v>
      </c>
      <c r="N299" s="153">
        <v>0.30116500000000002</v>
      </c>
      <c r="O299" s="153">
        <v>0.33160800000000001</v>
      </c>
      <c r="P299" s="11"/>
      <c r="Q299" s="29"/>
      <c r="R299" s="60"/>
    </row>
    <row r="300" spans="1:18" s="44" customFormat="1" ht="12" customHeight="1">
      <c r="A300" s="10" t="s">
        <v>69</v>
      </c>
      <c r="B300" s="11" t="s">
        <v>70</v>
      </c>
      <c r="D300" s="153">
        <v>0.13691999999999999</v>
      </c>
      <c r="E300" s="153">
        <v>0.18306</v>
      </c>
      <c r="F300" s="153">
        <v>0.23619899999999999</v>
      </c>
      <c r="G300" s="153">
        <v>0.25228400000000001</v>
      </c>
      <c r="H300" s="153">
        <v>0.37492599999999998</v>
      </c>
      <c r="I300" s="153">
        <v>0.45295200000000002</v>
      </c>
      <c r="J300" s="153">
        <v>0.85932699999999995</v>
      </c>
      <c r="K300" s="153">
        <v>0.81991899999999995</v>
      </c>
      <c r="L300" s="153">
        <v>0.38680700000000001</v>
      </c>
      <c r="M300" s="153">
        <v>0.31440699999999999</v>
      </c>
      <c r="N300" s="153">
        <v>0.242615</v>
      </c>
      <c r="O300" s="153">
        <v>0.15313399999999999</v>
      </c>
      <c r="P300" s="11"/>
      <c r="Q300" s="29"/>
      <c r="R300" s="60"/>
    </row>
    <row r="301" spans="1:18" s="44" customFormat="1" ht="12" customHeight="1">
      <c r="A301" s="10" t="s">
        <v>71</v>
      </c>
      <c r="B301" s="11" t="s">
        <v>514</v>
      </c>
      <c r="D301" s="153">
        <v>0.17840600000000001</v>
      </c>
      <c r="E301" s="153">
        <v>0.268988</v>
      </c>
      <c r="F301" s="153">
        <v>0.25193300000000002</v>
      </c>
      <c r="G301" s="153">
        <v>0.25340699999999999</v>
      </c>
      <c r="H301" s="153">
        <v>0.35114099999999998</v>
      </c>
      <c r="I301" s="153">
        <v>0.38384800000000002</v>
      </c>
      <c r="J301" s="153">
        <v>0.58421599999999996</v>
      </c>
      <c r="K301" s="153">
        <v>0.585144</v>
      </c>
      <c r="L301" s="153">
        <v>0.31875799999999999</v>
      </c>
      <c r="M301" s="153">
        <v>0.30202800000000002</v>
      </c>
      <c r="N301" s="153">
        <v>0.235982</v>
      </c>
      <c r="O301" s="153">
        <v>0.15767900000000001</v>
      </c>
      <c r="P301" s="11"/>
      <c r="Q301" s="29"/>
      <c r="R301" s="60"/>
    </row>
    <row r="302" spans="1:18" s="44" customFormat="1" ht="12" customHeight="1">
      <c r="A302" s="10" t="s">
        <v>72</v>
      </c>
      <c r="B302" s="11" t="s">
        <v>73</v>
      </c>
      <c r="D302" s="153">
        <v>0.143539</v>
      </c>
      <c r="E302" s="153">
        <v>0.16808000000000001</v>
      </c>
      <c r="F302" s="153">
        <v>0.15354300000000001</v>
      </c>
      <c r="G302" s="153">
        <v>0.146532</v>
      </c>
      <c r="H302" s="153">
        <v>0.18662899999999999</v>
      </c>
      <c r="I302" s="153">
        <v>0.21407000000000001</v>
      </c>
      <c r="J302" s="153">
        <v>0.34828700000000001</v>
      </c>
      <c r="K302" s="153">
        <v>0.32222800000000001</v>
      </c>
      <c r="L302" s="153">
        <v>0.18090500000000001</v>
      </c>
      <c r="M302" s="153">
        <v>0.17149200000000001</v>
      </c>
      <c r="N302" s="153">
        <v>0.133882</v>
      </c>
      <c r="O302" s="153">
        <v>0.11018699999999999</v>
      </c>
      <c r="P302" s="11"/>
      <c r="Q302" s="29"/>
      <c r="R302" s="60"/>
    </row>
    <row r="303" spans="1:18" s="44" customFormat="1" ht="12" customHeight="1">
      <c r="A303" s="10" t="s">
        <v>74</v>
      </c>
      <c r="B303" s="11" t="s">
        <v>75</v>
      </c>
      <c r="D303" s="153">
        <v>0.36849799999999999</v>
      </c>
      <c r="E303" s="153">
        <v>0.38049699999999997</v>
      </c>
      <c r="F303" s="153">
        <v>0.47991899999999998</v>
      </c>
      <c r="G303" s="153">
        <v>0.52888199999999996</v>
      </c>
      <c r="H303" s="153">
        <v>0.66296900000000003</v>
      </c>
      <c r="I303" s="153">
        <v>0.71408400000000005</v>
      </c>
      <c r="J303" s="153">
        <v>0.85804599999999998</v>
      </c>
      <c r="K303" s="153">
        <v>0.76639400000000002</v>
      </c>
      <c r="L303" s="153">
        <v>0.64514899999999997</v>
      </c>
      <c r="M303" s="153">
        <v>0.55316799999999999</v>
      </c>
      <c r="N303" s="153">
        <v>0.47732400000000003</v>
      </c>
      <c r="O303" s="153">
        <v>0.438971</v>
      </c>
      <c r="P303" s="11"/>
      <c r="Q303" s="29"/>
      <c r="R303" s="60"/>
    </row>
    <row r="304" spans="1:18" s="44" customFormat="1" ht="12" customHeight="1">
      <c r="A304" s="10" t="s">
        <v>76</v>
      </c>
      <c r="B304" s="11" t="s">
        <v>77</v>
      </c>
      <c r="D304" s="153">
        <v>8.7304999999999994E-2</v>
      </c>
      <c r="E304" s="153">
        <v>0.114897</v>
      </c>
      <c r="F304" s="153">
        <v>0.14491100000000001</v>
      </c>
      <c r="G304" s="153">
        <v>0.199874</v>
      </c>
      <c r="H304" s="153">
        <v>0.27931899999999998</v>
      </c>
      <c r="I304" s="153">
        <v>0.28717799999999999</v>
      </c>
      <c r="J304" s="153">
        <v>0.52815199999999995</v>
      </c>
      <c r="K304" s="153">
        <v>0.35198000000000002</v>
      </c>
      <c r="L304" s="153">
        <v>0.225803</v>
      </c>
      <c r="M304" s="153">
        <v>0.16659399999999999</v>
      </c>
      <c r="N304" s="153">
        <v>0.113317</v>
      </c>
      <c r="O304" s="153">
        <v>8.3742999999999998E-2</v>
      </c>
      <c r="P304" s="11"/>
      <c r="Q304" s="29"/>
      <c r="R304" s="60"/>
    </row>
    <row r="305" spans="1:18" s="44" customFormat="1" ht="12" customHeight="1">
      <c r="A305" s="10" t="s">
        <v>78</v>
      </c>
      <c r="B305" s="11" t="s">
        <v>79</v>
      </c>
      <c r="D305" s="153">
        <v>0.24104900000000001</v>
      </c>
      <c r="E305" s="153">
        <v>0.30680000000000002</v>
      </c>
      <c r="F305" s="153">
        <v>0.40837699999999999</v>
      </c>
      <c r="G305" s="153">
        <v>0.47483700000000001</v>
      </c>
      <c r="H305" s="153">
        <v>0.66353099999999998</v>
      </c>
      <c r="I305" s="153">
        <v>0.65788599999999997</v>
      </c>
      <c r="J305" s="153">
        <v>1.243662</v>
      </c>
      <c r="K305" s="153">
        <v>0.78800899999999996</v>
      </c>
      <c r="L305" s="153">
        <v>0.59363600000000005</v>
      </c>
      <c r="M305" s="153">
        <v>0.494481</v>
      </c>
      <c r="N305" s="153">
        <v>0.37630200000000003</v>
      </c>
      <c r="O305" s="153">
        <v>0.24889700000000001</v>
      </c>
      <c r="P305" s="11"/>
      <c r="Q305" s="29"/>
      <c r="R305" s="60"/>
    </row>
    <row r="306" spans="1:18" s="44" customFormat="1" ht="12" customHeight="1">
      <c r="A306" s="10" t="s">
        <v>80</v>
      </c>
      <c r="B306" s="11" t="s">
        <v>81</v>
      </c>
      <c r="D306" s="153">
        <v>0.15479699999999999</v>
      </c>
      <c r="E306" s="153">
        <v>0.20552000000000001</v>
      </c>
      <c r="F306" s="153">
        <v>0.26816400000000001</v>
      </c>
      <c r="G306" s="153">
        <v>0.32515100000000002</v>
      </c>
      <c r="H306" s="153">
        <v>0.46799600000000002</v>
      </c>
      <c r="I306" s="153">
        <v>0.471798</v>
      </c>
      <c r="J306" s="153">
        <v>0.88111499999999998</v>
      </c>
      <c r="K306" s="153">
        <v>0.56813199999999997</v>
      </c>
      <c r="L306" s="153">
        <v>0.37629000000000001</v>
      </c>
      <c r="M306" s="153">
        <v>0.28770400000000002</v>
      </c>
      <c r="N306" s="153">
        <v>0.23991499999999999</v>
      </c>
      <c r="O306" s="153">
        <v>0.157809</v>
      </c>
      <c r="P306" s="11"/>
      <c r="Q306" s="29"/>
      <c r="R306" s="60"/>
    </row>
    <row r="307" spans="1:18" s="44" customFormat="1" ht="12" customHeight="1">
      <c r="A307" s="10" t="s">
        <v>82</v>
      </c>
      <c r="B307" s="11" t="s">
        <v>83</v>
      </c>
      <c r="D307" s="153">
        <v>0.105769</v>
      </c>
      <c r="E307" s="153">
        <v>0.15486</v>
      </c>
      <c r="F307" s="153">
        <v>0.212399</v>
      </c>
      <c r="G307" s="153">
        <v>0.25561600000000001</v>
      </c>
      <c r="H307" s="153">
        <v>0.37522699999999998</v>
      </c>
      <c r="I307" s="153">
        <v>0.38826899999999998</v>
      </c>
      <c r="J307" s="153">
        <v>0.78858300000000003</v>
      </c>
      <c r="K307" s="153">
        <v>0.47601399999999999</v>
      </c>
      <c r="L307" s="153">
        <v>0.327293</v>
      </c>
      <c r="M307" s="153">
        <v>0.26217000000000001</v>
      </c>
      <c r="N307" s="153">
        <v>0.16963300000000001</v>
      </c>
      <c r="O307" s="153">
        <v>0.13554099999999999</v>
      </c>
      <c r="P307" s="11"/>
      <c r="Q307" s="29"/>
      <c r="R307" s="60"/>
    </row>
    <row r="308" spans="1:18" s="44" customFormat="1" ht="12" customHeight="1">
      <c r="A308" s="10" t="s">
        <v>84</v>
      </c>
      <c r="B308" s="11" t="s">
        <v>85</v>
      </c>
      <c r="D308" s="153">
        <v>0.63159500000000002</v>
      </c>
      <c r="E308" s="153">
        <v>0.71761399999999997</v>
      </c>
      <c r="F308" s="153">
        <v>0.82253699999999996</v>
      </c>
      <c r="G308" s="153">
        <v>0.83132799999999996</v>
      </c>
      <c r="H308" s="153">
        <v>0.87332600000000005</v>
      </c>
      <c r="I308" s="153">
        <v>0.89588100000000004</v>
      </c>
      <c r="J308" s="153">
        <v>1.020993</v>
      </c>
      <c r="K308" s="153">
        <v>0.90206299999999995</v>
      </c>
      <c r="L308" s="153">
        <v>0.94568200000000002</v>
      </c>
      <c r="M308" s="153">
        <v>0.95612299999999995</v>
      </c>
      <c r="N308" s="153">
        <v>0.82611500000000004</v>
      </c>
      <c r="O308" s="153">
        <v>0.69525899999999996</v>
      </c>
      <c r="P308" s="11"/>
      <c r="Q308" s="29"/>
      <c r="R308" s="60"/>
    </row>
    <row r="309" spans="1:18" s="44" customFormat="1" ht="12" customHeight="1">
      <c r="A309" s="10" t="s">
        <v>86</v>
      </c>
      <c r="B309" s="11" t="s">
        <v>87</v>
      </c>
      <c r="D309" s="153">
        <v>0.46083800000000003</v>
      </c>
      <c r="E309" s="153">
        <v>0.50042799999999998</v>
      </c>
      <c r="F309" s="153">
        <v>0.66153200000000001</v>
      </c>
      <c r="G309" s="153">
        <v>0.68725899999999995</v>
      </c>
      <c r="H309" s="153">
        <v>0.80964400000000003</v>
      </c>
      <c r="I309" s="153">
        <v>0.78110299999999999</v>
      </c>
      <c r="J309" s="153">
        <v>0.83218000000000003</v>
      </c>
      <c r="K309" s="153">
        <v>0.84589099999999995</v>
      </c>
      <c r="L309" s="153">
        <v>0.82347400000000004</v>
      </c>
      <c r="M309" s="153">
        <v>0.83058699999999996</v>
      </c>
      <c r="N309" s="153">
        <v>0.64770799999999995</v>
      </c>
      <c r="O309" s="153">
        <v>0.57274199999999997</v>
      </c>
      <c r="P309" s="11"/>
      <c r="Q309" s="29"/>
      <c r="R309" s="60"/>
    </row>
    <row r="310" spans="1:18" s="44" customFormat="1" ht="12" customHeight="1">
      <c r="A310" s="10" t="s">
        <v>88</v>
      </c>
      <c r="B310" s="11" t="s">
        <v>89</v>
      </c>
      <c r="D310" s="153">
        <v>0.539825</v>
      </c>
      <c r="E310" s="153">
        <v>0.564253</v>
      </c>
      <c r="F310" s="153">
        <v>0.84665599999999996</v>
      </c>
      <c r="G310" s="153">
        <v>0.93218500000000004</v>
      </c>
      <c r="H310" s="153">
        <v>1.358833</v>
      </c>
      <c r="I310" s="153">
        <v>1.1810560000000001</v>
      </c>
      <c r="J310" s="153">
        <v>1.425524</v>
      </c>
      <c r="K310" s="153">
        <v>1.638738</v>
      </c>
      <c r="L310" s="153">
        <v>1.2571079999999999</v>
      </c>
      <c r="M310" s="153">
        <v>1.234756</v>
      </c>
      <c r="N310" s="153">
        <v>0.67606699999999997</v>
      </c>
      <c r="O310" s="153">
        <v>0.74946100000000004</v>
      </c>
      <c r="P310" s="11"/>
      <c r="Q310" s="29"/>
      <c r="R310" s="60"/>
    </row>
    <row r="311" spans="1:18" s="44" customFormat="1" ht="12" customHeight="1">
      <c r="A311" s="10" t="s">
        <v>90</v>
      </c>
      <c r="B311" s="11" t="s">
        <v>91</v>
      </c>
      <c r="D311" s="153">
        <v>0.36408400000000002</v>
      </c>
      <c r="E311" s="153">
        <v>0.365649</v>
      </c>
      <c r="F311" s="153">
        <v>0.53187899999999999</v>
      </c>
      <c r="G311" s="153">
        <v>0.58344499999999999</v>
      </c>
      <c r="H311" s="153">
        <v>0.871394</v>
      </c>
      <c r="I311" s="153">
        <v>0.78379600000000005</v>
      </c>
      <c r="J311" s="153">
        <v>0.92092799999999997</v>
      </c>
      <c r="K311" s="153">
        <v>1.0660270000000001</v>
      </c>
      <c r="L311" s="153">
        <v>0.79895499999999997</v>
      </c>
      <c r="M311" s="153">
        <v>0.69931699999999997</v>
      </c>
      <c r="N311" s="153">
        <v>0.44915500000000003</v>
      </c>
      <c r="O311" s="153">
        <v>0.405331</v>
      </c>
      <c r="P311" s="11"/>
      <c r="Q311" s="29"/>
      <c r="R311" s="60"/>
    </row>
    <row r="312" spans="1:18" s="44" customFormat="1" ht="12" customHeight="1">
      <c r="A312" s="10" t="s">
        <v>92</v>
      </c>
      <c r="B312" s="11" t="s">
        <v>93</v>
      </c>
      <c r="D312" s="153">
        <v>1.6686049999999999</v>
      </c>
      <c r="E312" s="153">
        <v>1.8609309999999999</v>
      </c>
      <c r="F312" s="153">
        <v>2.0488439999999999</v>
      </c>
      <c r="G312" s="153">
        <v>2.0456840000000001</v>
      </c>
      <c r="H312" s="153">
        <v>2.8320129999999999</v>
      </c>
      <c r="I312" s="153">
        <v>2.8514719999999998</v>
      </c>
      <c r="J312" s="153">
        <v>3.64405</v>
      </c>
      <c r="K312" s="153">
        <v>3.7682419999999999</v>
      </c>
      <c r="L312" s="153">
        <v>2.9087610000000002</v>
      </c>
      <c r="M312" s="153">
        <v>2.833688</v>
      </c>
      <c r="N312" s="153">
        <v>1.8630059999999999</v>
      </c>
      <c r="O312" s="153">
        <v>1.9797689999999999</v>
      </c>
      <c r="P312" s="11"/>
      <c r="Q312" s="29"/>
      <c r="R312" s="60"/>
    </row>
    <row r="313" spans="1:18" s="44" customFormat="1" ht="12" customHeight="1">
      <c r="A313" s="10" t="s">
        <v>94</v>
      </c>
      <c r="B313" s="11" t="s">
        <v>95</v>
      </c>
      <c r="D313" s="153">
        <v>0.44142100000000001</v>
      </c>
      <c r="E313" s="153">
        <v>0.54231300000000005</v>
      </c>
      <c r="F313" s="153">
        <v>0.62621400000000005</v>
      </c>
      <c r="G313" s="153">
        <v>0.59933499999999995</v>
      </c>
      <c r="H313" s="153">
        <v>0.87234199999999995</v>
      </c>
      <c r="I313" s="153">
        <v>0.74178999999999995</v>
      </c>
      <c r="J313" s="153">
        <v>0.87301499999999999</v>
      </c>
      <c r="K313" s="153">
        <v>1.0306109999999999</v>
      </c>
      <c r="L313" s="153">
        <v>0.86497599999999997</v>
      </c>
      <c r="M313" s="153">
        <v>0.85073299999999996</v>
      </c>
      <c r="N313" s="153">
        <v>0.54508000000000001</v>
      </c>
      <c r="O313" s="153">
        <v>0.49794500000000003</v>
      </c>
      <c r="P313" s="11"/>
      <c r="Q313" s="29"/>
      <c r="R313" s="60"/>
    </row>
    <row r="314" spans="1:18" s="44" customFormat="1" ht="12" customHeight="1">
      <c r="A314" s="10" t="s">
        <v>96</v>
      </c>
      <c r="B314" s="11" t="s">
        <v>97</v>
      </c>
      <c r="D314" s="153">
        <v>0.21091299999999999</v>
      </c>
      <c r="E314" s="153">
        <v>0.24948100000000001</v>
      </c>
      <c r="F314" s="153">
        <v>0.29509299999999999</v>
      </c>
      <c r="G314" s="153">
        <v>0.30187999999999998</v>
      </c>
      <c r="H314" s="153">
        <v>0.45000099999999998</v>
      </c>
      <c r="I314" s="153">
        <v>0.38972699999999999</v>
      </c>
      <c r="J314" s="153">
        <v>0.49085299999999998</v>
      </c>
      <c r="K314" s="153">
        <v>0.53683400000000003</v>
      </c>
      <c r="L314" s="153">
        <v>0.40717900000000001</v>
      </c>
      <c r="M314" s="153">
        <v>0.40863300000000002</v>
      </c>
      <c r="N314" s="153">
        <v>0.26026199999999999</v>
      </c>
      <c r="O314" s="153">
        <v>0.25989099999999998</v>
      </c>
      <c r="P314" s="11"/>
      <c r="Q314" s="29"/>
      <c r="R314" s="60"/>
    </row>
    <row r="315" spans="1:18" s="44" customFormat="1" ht="12" customHeight="1">
      <c r="A315" s="10" t="s">
        <v>98</v>
      </c>
      <c r="B315" s="11" t="s">
        <v>99</v>
      </c>
      <c r="D315" s="153">
        <v>0.17621300000000001</v>
      </c>
      <c r="E315" s="153">
        <v>0.206208</v>
      </c>
      <c r="F315" s="153">
        <v>0.292105</v>
      </c>
      <c r="G315" s="153">
        <v>0.32173800000000002</v>
      </c>
      <c r="H315" s="153">
        <v>0.45691100000000001</v>
      </c>
      <c r="I315" s="153">
        <v>0.41502</v>
      </c>
      <c r="J315" s="153">
        <v>0.46903</v>
      </c>
      <c r="K315" s="153">
        <v>0.480902</v>
      </c>
      <c r="L315" s="153">
        <v>0.42529299999999998</v>
      </c>
      <c r="M315" s="153">
        <v>0.40077699999999999</v>
      </c>
      <c r="N315" s="153">
        <v>0.25163799999999997</v>
      </c>
      <c r="O315" s="153">
        <v>0.221001</v>
      </c>
      <c r="P315" s="11"/>
      <c r="Q315" s="29"/>
      <c r="R315" s="60"/>
    </row>
    <row r="316" spans="1:18" s="29" customFormat="1" ht="12" customHeight="1">
      <c r="A316" s="10" t="s">
        <v>100</v>
      </c>
      <c r="B316" s="11" t="s">
        <v>101</v>
      </c>
      <c r="D316" s="153">
        <v>0.29050399999999998</v>
      </c>
      <c r="E316" s="153">
        <v>0.34054600000000002</v>
      </c>
      <c r="F316" s="153">
        <v>0.47009499999999999</v>
      </c>
      <c r="G316" s="153">
        <v>0.49786200000000003</v>
      </c>
      <c r="H316" s="153">
        <v>0.69246200000000002</v>
      </c>
      <c r="I316" s="153">
        <v>0.68938200000000005</v>
      </c>
      <c r="J316" s="153">
        <v>0.798763</v>
      </c>
      <c r="K316" s="153">
        <v>0.78632899999999994</v>
      </c>
      <c r="L316" s="153">
        <v>0.63653599999999999</v>
      </c>
      <c r="M316" s="153">
        <v>0.620703</v>
      </c>
      <c r="N316" s="153">
        <v>0.458706</v>
      </c>
      <c r="O316" s="153">
        <v>0.45881</v>
      </c>
      <c r="P316" s="11"/>
      <c r="R316" s="60"/>
    </row>
    <row r="317" spans="1:18" s="29" customFormat="1" ht="12" customHeight="1">
      <c r="A317" s="10" t="s">
        <v>102</v>
      </c>
      <c r="B317" s="11" t="s">
        <v>103</v>
      </c>
      <c r="D317" s="153">
        <v>0.218611</v>
      </c>
      <c r="E317" s="153">
        <v>0.25051800000000002</v>
      </c>
      <c r="F317" s="153">
        <v>0.35040399999999999</v>
      </c>
      <c r="G317" s="153">
        <v>0.38209900000000002</v>
      </c>
      <c r="H317" s="153">
        <v>0.55094699999999996</v>
      </c>
      <c r="I317" s="153">
        <v>0.519455</v>
      </c>
      <c r="J317" s="153">
        <v>0.56476999999999999</v>
      </c>
      <c r="K317" s="153">
        <v>0.56702900000000001</v>
      </c>
      <c r="L317" s="153">
        <v>0.52839400000000003</v>
      </c>
      <c r="M317" s="153">
        <v>0.499579</v>
      </c>
      <c r="N317" s="153">
        <v>0.337617</v>
      </c>
      <c r="O317" s="153">
        <v>0.28814600000000001</v>
      </c>
      <c r="P317" s="11"/>
      <c r="R317" s="60"/>
    </row>
    <row r="318" spans="1:18" ht="12" customHeight="1">
      <c r="A318" s="10" t="s">
        <v>104</v>
      </c>
      <c r="B318" s="11" t="s">
        <v>105</v>
      </c>
      <c r="D318" s="153">
        <v>0.734572</v>
      </c>
      <c r="E318" s="153">
        <v>0.81184699999999999</v>
      </c>
      <c r="F318" s="153">
        <v>0.82777100000000003</v>
      </c>
      <c r="G318" s="153">
        <v>0.77854999999999996</v>
      </c>
      <c r="H318" s="153">
        <v>1.295636</v>
      </c>
      <c r="I318" s="153">
        <v>1.1919390000000001</v>
      </c>
      <c r="J318" s="153">
        <v>1.619766</v>
      </c>
      <c r="K318" s="153">
        <v>1.8288</v>
      </c>
      <c r="L318" s="153">
        <v>1.3351900000000001</v>
      </c>
      <c r="M318" s="153">
        <v>1.256607</v>
      </c>
      <c r="N318" s="153">
        <v>0.54890499999999998</v>
      </c>
      <c r="O318" s="153">
        <v>0.70830700000000002</v>
      </c>
      <c r="P318" s="11"/>
      <c r="Q318" s="29"/>
      <c r="R318" s="60"/>
    </row>
    <row r="319" spans="1:18" ht="12" customHeight="1">
      <c r="A319" s="10" t="s">
        <v>107</v>
      </c>
      <c r="B319" s="11" t="s">
        <v>106</v>
      </c>
      <c r="D319" s="153">
        <v>1.079175</v>
      </c>
      <c r="E319" s="153">
        <v>1.2180580000000001</v>
      </c>
      <c r="F319" s="153">
        <v>1.500146</v>
      </c>
      <c r="G319" s="153">
        <v>1.480113</v>
      </c>
      <c r="H319" s="153">
        <v>1.645014</v>
      </c>
      <c r="I319" s="153">
        <v>1.490623</v>
      </c>
      <c r="J319" s="153">
        <v>1.5417609999999999</v>
      </c>
      <c r="K319" s="153">
        <v>1.590902</v>
      </c>
      <c r="L319" s="153">
        <v>1.5547059999999999</v>
      </c>
      <c r="M319" s="153">
        <v>1.7425250000000001</v>
      </c>
      <c r="N319" s="153">
        <v>1.4957370000000001</v>
      </c>
      <c r="O319" s="153">
        <v>1.2731520000000001</v>
      </c>
      <c r="P319" s="11"/>
      <c r="Q319" s="29"/>
      <c r="R319" s="60"/>
    </row>
    <row r="320" spans="1:18" ht="12" customHeight="1">
      <c r="A320" s="10" t="s">
        <v>109</v>
      </c>
      <c r="B320" s="11" t="s">
        <v>108</v>
      </c>
      <c r="D320" s="153">
        <v>0.41962500000000003</v>
      </c>
      <c r="E320" s="153">
        <v>0.51938300000000004</v>
      </c>
      <c r="F320" s="153">
        <v>0.73485299999999998</v>
      </c>
      <c r="G320" s="153">
        <v>0.807925</v>
      </c>
      <c r="H320" s="153">
        <v>1.3271109999999999</v>
      </c>
      <c r="I320" s="153">
        <v>1.2639149999999999</v>
      </c>
      <c r="J320" s="153">
        <v>1.577823</v>
      </c>
      <c r="K320" s="153">
        <v>1.528324</v>
      </c>
      <c r="L320" s="153">
        <v>1.156312</v>
      </c>
      <c r="M320" s="153">
        <v>1.0363659999999999</v>
      </c>
      <c r="N320" s="153">
        <v>0.62398200000000004</v>
      </c>
      <c r="O320" s="153">
        <v>0.53499200000000002</v>
      </c>
      <c r="P320" s="11"/>
      <c r="Q320" s="29"/>
      <c r="R320" s="60"/>
    </row>
    <row r="321" spans="1:18" ht="12" customHeight="1">
      <c r="A321" s="10" t="s">
        <v>111</v>
      </c>
      <c r="B321" s="11" t="s">
        <v>110</v>
      </c>
      <c r="D321" s="153">
        <v>0.122248</v>
      </c>
      <c r="E321" s="153">
        <v>0.15142600000000001</v>
      </c>
      <c r="F321" s="153">
        <v>0.18955900000000001</v>
      </c>
      <c r="G321" s="153">
        <v>0.18213199999999999</v>
      </c>
      <c r="H321" s="153">
        <v>0.216782</v>
      </c>
      <c r="I321" s="153">
        <v>0.20121600000000001</v>
      </c>
      <c r="J321" s="153">
        <v>0.19103100000000001</v>
      </c>
      <c r="K321" s="153">
        <v>0.221247</v>
      </c>
      <c r="L321" s="153">
        <v>0.210781</v>
      </c>
      <c r="M321" s="153">
        <v>0.21499699999999999</v>
      </c>
      <c r="N321" s="153">
        <v>0.19264999999999999</v>
      </c>
      <c r="O321" s="153">
        <v>0.180511</v>
      </c>
      <c r="P321" s="11"/>
      <c r="Q321" s="29"/>
      <c r="R321" s="60"/>
    </row>
    <row r="322" spans="1:18" ht="12" customHeight="1">
      <c r="A322" s="10" t="s">
        <v>113</v>
      </c>
      <c r="B322" s="11" t="s">
        <v>112</v>
      </c>
      <c r="D322" s="153">
        <v>0.72662199999999999</v>
      </c>
      <c r="E322" s="153">
        <v>0.849047</v>
      </c>
      <c r="F322" s="153">
        <v>1.0837760000000001</v>
      </c>
      <c r="G322" s="153">
        <v>1.0469440000000001</v>
      </c>
      <c r="H322" s="153">
        <v>1.178247</v>
      </c>
      <c r="I322" s="153">
        <v>0.99633000000000005</v>
      </c>
      <c r="J322" s="153">
        <v>1.101971</v>
      </c>
      <c r="K322" s="153">
        <v>1.2134119999999999</v>
      </c>
      <c r="L322" s="153">
        <v>1.003628</v>
      </c>
      <c r="M322" s="153">
        <v>1.125761</v>
      </c>
      <c r="N322" s="153">
        <v>0.98850499999999997</v>
      </c>
      <c r="O322" s="153">
        <v>0.985425</v>
      </c>
      <c r="P322" s="11"/>
      <c r="Q322" s="29"/>
      <c r="R322" s="60"/>
    </row>
    <row r="323" spans="1:18" ht="12" customHeight="1">
      <c r="A323" s="10" t="s">
        <v>114</v>
      </c>
      <c r="B323" s="11" t="s">
        <v>115</v>
      </c>
      <c r="D323" s="153">
        <v>0.97514199999999995</v>
      </c>
      <c r="E323" s="153">
        <v>0.95579199999999997</v>
      </c>
      <c r="F323" s="153">
        <v>1.1410739999999999</v>
      </c>
      <c r="G323" s="153">
        <v>1.1389450000000001</v>
      </c>
      <c r="H323" s="153">
        <v>1.233109</v>
      </c>
      <c r="I323" s="153">
        <v>1.3518289999999999</v>
      </c>
      <c r="J323" s="153">
        <v>1.3667800000000001</v>
      </c>
      <c r="K323" s="153">
        <v>1.2451620000000001</v>
      </c>
      <c r="L323" s="153">
        <v>1.399248</v>
      </c>
      <c r="M323" s="153">
        <v>1.32799</v>
      </c>
      <c r="N323" s="153">
        <v>1.2217720000000001</v>
      </c>
      <c r="O323" s="153">
        <v>1.0296700000000001</v>
      </c>
      <c r="P323" s="11"/>
      <c r="Q323" s="29"/>
      <c r="R323" s="60"/>
    </row>
    <row r="324" spans="1:18" ht="12" customHeight="1">
      <c r="A324" s="10" t="s">
        <v>116</v>
      </c>
      <c r="B324" s="11" t="s">
        <v>117</v>
      </c>
      <c r="D324" s="153">
        <v>8.7780999999999998E-2</v>
      </c>
      <c r="E324" s="153">
        <v>0.104103</v>
      </c>
      <c r="F324" s="153">
        <v>0.13734299999999999</v>
      </c>
      <c r="G324" s="153">
        <v>0.14608599999999999</v>
      </c>
      <c r="H324" s="153">
        <v>0.21864800000000001</v>
      </c>
      <c r="I324" s="153">
        <v>0.21034</v>
      </c>
      <c r="J324" s="153">
        <v>0.23320199999999999</v>
      </c>
      <c r="K324" s="153">
        <v>0.24090400000000001</v>
      </c>
      <c r="L324" s="153">
        <v>0.195382</v>
      </c>
      <c r="M324" s="153">
        <v>0.17513599999999999</v>
      </c>
      <c r="N324" s="153">
        <v>0.13752800000000001</v>
      </c>
      <c r="O324" s="153">
        <v>0.108976</v>
      </c>
      <c r="P324" s="11"/>
      <c r="Q324" s="29"/>
      <c r="R324" s="60"/>
    </row>
    <row r="325" spans="1:18" ht="12" customHeight="1">
      <c r="A325" s="10" t="s">
        <v>118</v>
      </c>
      <c r="B325" s="11" t="s">
        <v>119</v>
      </c>
      <c r="D325" s="153">
        <v>0.31087199999999998</v>
      </c>
      <c r="E325" s="153">
        <v>0.33901300000000001</v>
      </c>
      <c r="F325" s="153">
        <v>0.428062</v>
      </c>
      <c r="G325" s="153">
        <v>0.45311200000000001</v>
      </c>
      <c r="H325" s="153">
        <v>0.64804300000000004</v>
      </c>
      <c r="I325" s="153">
        <v>0.598464</v>
      </c>
      <c r="J325" s="153">
        <v>0.63329100000000005</v>
      </c>
      <c r="K325" s="153">
        <v>0.669238</v>
      </c>
      <c r="L325" s="153">
        <v>0.581399</v>
      </c>
      <c r="M325" s="153">
        <v>0.55161499999999997</v>
      </c>
      <c r="N325" s="153">
        <v>0.40119199999999999</v>
      </c>
      <c r="O325" s="153">
        <v>0.342418</v>
      </c>
      <c r="P325" s="11"/>
      <c r="Q325" s="29"/>
      <c r="R325" s="60"/>
    </row>
    <row r="326" spans="1:18" ht="12" customHeight="1">
      <c r="A326" s="10" t="s">
        <v>121</v>
      </c>
      <c r="B326" s="11" t="s">
        <v>120</v>
      </c>
      <c r="D326" s="153">
        <v>0.69201800000000002</v>
      </c>
      <c r="E326" s="153">
        <v>0.94100399999999995</v>
      </c>
      <c r="F326" s="153">
        <v>1.6201159999999999</v>
      </c>
      <c r="G326" s="153">
        <v>1.5371030000000001</v>
      </c>
      <c r="H326" s="153">
        <v>2.9329550000000002</v>
      </c>
      <c r="I326" s="153">
        <v>3.3829449999999999</v>
      </c>
      <c r="J326" s="153">
        <v>4.9153349999999998</v>
      </c>
      <c r="K326" s="153">
        <v>4.88626</v>
      </c>
      <c r="L326" s="153">
        <v>3.144638</v>
      </c>
      <c r="M326" s="153">
        <v>2.4836339999999999</v>
      </c>
      <c r="N326" s="153">
        <v>0.99800500000000003</v>
      </c>
      <c r="O326" s="153">
        <v>1.0971850000000001</v>
      </c>
      <c r="P326" s="11"/>
      <c r="Q326" s="29"/>
      <c r="R326" s="60"/>
    </row>
    <row r="327" spans="1:18" ht="12" customHeight="1">
      <c r="A327" s="10" t="s">
        <v>122</v>
      </c>
      <c r="B327" s="11" t="s">
        <v>123</v>
      </c>
      <c r="D327" s="153">
        <v>0.32334800000000002</v>
      </c>
      <c r="E327" s="153">
        <v>0.37940800000000002</v>
      </c>
      <c r="F327" s="153">
        <v>0.44549499999999997</v>
      </c>
      <c r="G327" s="153">
        <v>0.43514599999999998</v>
      </c>
      <c r="H327" s="153">
        <v>0.55429300000000004</v>
      </c>
      <c r="I327" s="153">
        <v>0.50190299999999999</v>
      </c>
      <c r="J327" s="153">
        <v>0.50334000000000001</v>
      </c>
      <c r="K327" s="153">
        <v>0.55704399999999998</v>
      </c>
      <c r="L327" s="153">
        <v>0.525007</v>
      </c>
      <c r="M327" s="153">
        <v>0.56832099999999997</v>
      </c>
      <c r="N327" s="153">
        <v>0.40909099999999998</v>
      </c>
      <c r="O327" s="153">
        <v>0.40579799999999999</v>
      </c>
      <c r="P327" s="11"/>
      <c r="Q327" s="29"/>
      <c r="R327" s="60"/>
    </row>
    <row r="328" spans="1:18" ht="12" customHeight="1">
      <c r="A328" s="10" t="s">
        <v>124</v>
      </c>
      <c r="B328" s="11" t="s">
        <v>125</v>
      </c>
      <c r="D328" s="153">
        <v>0.27536500000000003</v>
      </c>
      <c r="E328" s="153">
        <v>0.31008000000000002</v>
      </c>
      <c r="F328" s="153">
        <v>0.38951000000000002</v>
      </c>
      <c r="G328" s="153">
        <v>0.44444099999999997</v>
      </c>
      <c r="H328" s="153">
        <v>0.56764800000000004</v>
      </c>
      <c r="I328" s="153">
        <v>0.564299</v>
      </c>
      <c r="J328" s="153">
        <v>0.54792700000000005</v>
      </c>
      <c r="K328" s="153">
        <v>0.61505500000000002</v>
      </c>
      <c r="L328" s="153">
        <v>0.54128799999999999</v>
      </c>
      <c r="M328" s="153">
        <v>0.47631000000000001</v>
      </c>
      <c r="N328" s="153">
        <v>0.41666300000000001</v>
      </c>
      <c r="O328" s="153">
        <v>0.30763600000000002</v>
      </c>
      <c r="P328" s="11"/>
      <c r="Q328" s="29"/>
      <c r="R328" s="60"/>
    </row>
    <row r="329" spans="1:18" ht="12" customHeight="1">
      <c r="A329" s="10" t="s">
        <v>126</v>
      </c>
      <c r="B329" s="11" t="s">
        <v>127</v>
      </c>
      <c r="D329" s="153">
        <v>0.30659900000000001</v>
      </c>
      <c r="E329" s="153">
        <v>0.354431</v>
      </c>
      <c r="F329" s="153">
        <v>0.60947399999999996</v>
      </c>
      <c r="G329" s="153">
        <v>0.65353099999999997</v>
      </c>
      <c r="H329" s="153">
        <v>1.036904</v>
      </c>
      <c r="I329" s="153">
        <v>0.90993800000000002</v>
      </c>
      <c r="J329" s="153">
        <v>1.142191</v>
      </c>
      <c r="K329" s="153">
        <v>1.319428</v>
      </c>
      <c r="L329" s="153">
        <v>0.94779000000000002</v>
      </c>
      <c r="M329" s="153">
        <v>0.90238099999999999</v>
      </c>
      <c r="N329" s="153">
        <v>0.43948999999999999</v>
      </c>
      <c r="O329" s="153">
        <v>0.38586700000000002</v>
      </c>
      <c r="P329" s="11"/>
      <c r="Q329" s="29"/>
      <c r="R329" s="60"/>
    </row>
    <row r="330" spans="1:18" ht="12" customHeight="1">
      <c r="A330" s="10" t="s">
        <v>128</v>
      </c>
      <c r="B330" s="11" t="s">
        <v>129</v>
      </c>
      <c r="D330" s="153">
        <v>0.43243399999999999</v>
      </c>
      <c r="E330" s="153">
        <v>0.54419700000000004</v>
      </c>
      <c r="F330" s="153">
        <v>1.0885309999999999</v>
      </c>
      <c r="G330" s="153">
        <v>1.21557</v>
      </c>
      <c r="H330" s="153">
        <v>1.9271469999999999</v>
      </c>
      <c r="I330" s="153">
        <v>1.777962</v>
      </c>
      <c r="J330" s="153">
        <v>2.3314620000000001</v>
      </c>
      <c r="K330" s="153">
        <v>2.4475189999999998</v>
      </c>
      <c r="L330" s="153">
        <v>1.7865629999999999</v>
      </c>
      <c r="M330" s="153">
        <v>1.5439700000000001</v>
      </c>
      <c r="N330" s="153">
        <v>0.657528</v>
      </c>
      <c r="O330" s="153">
        <v>0.58968799999999999</v>
      </c>
      <c r="P330" s="11"/>
      <c r="Q330" s="29"/>
      <c r="R330" s="60"/>
    </row>
    <row r="331" spans="1:18" ht="12" customHeight="1">
      <c r="A331" s="10" t="s">
        <v>130</v>
      </c>
      <c r="B331" s="11" t="s">
        <v>131</v>
      </c>
      <c r="D331" s="153">
        <v>0.60458800000000001</v>
      </c>
      <c r="E331" s="153">
        <v>0.57492299999999996</v>
      </c>
      <c r="F331" s="153">
        <v>0.73860899999999996</v>
      </c>
      <c r="G331" s="153">
        <v>0.75625200000000004</v>
      </c>
      <c r="H331" s="153">
        <v>0.81762500000000005</v>
      </c>
      <c r="I331" s="153">
        <v>0.86870800000000004</v>
      </c>
      <c r="J331" s="153">
        <v>0.80362299999999998</v>
      </c>
      <c r="K331" s="153">
        <v>0.81872100000000003</v>
      </c>
      <c r="L331" s="153">
        <v>0.85520099999999999</v>
      </c>
      <c r="M331" s="153">
        <v>0.81057500000000005</v>
      </c>
      <c r="N331" s="153">
        <v>0.78125</v>
      </c>
      <c r="O331" s="153">
        <v>0.62387999999999999</v>
      </c>
      <c r="P331" s="11"/>
      <c r="Q331" s="29"/>
      <c r="R331" s="60"/>
    </row>
    <row r="332" spans="1:18" ht="12" customHeight="1">
      <c r="A332" s="10" t="s">
        <v>132</v>
      </c>
      <c r="B332" s="11" t="s">
        <v>133</v>
      </c>
      <c r="D332" s="153">
        <v>0.60831299999999999</v>
      </c>
      <c r="E332" s="153">
        <v>0.67671199999999998</v>
      </c>
      <c r="F332" s="153">
        <v>0.81434399999999996</v>
      </c>
      <c r="G332" s="153">
        <v>0.877085</v>
      </c>
      <c r="H332" s="153">
        <v>0.95526699999999998</v>
      </c>
      <c r="I332" s="153">
        <v>0.88055000000000005</v>
      </c>
      <c r="J332" s="153">
        <v>0.88236499999999995</v>
      </c>
      <c r="K332" s="153">
        <v>0.98856200000000005</v>
      </c>
      <c r="L332" s="153">
        <v>0.93174500000000005</v>
      </c>
      <c r="M332" s="153">
        <v>0.943685</v>
      </c>
      <c r="N332" s="153">
        <v>0.85004599999999997</v>
      </c>
      <c r="O332" s="153">
        <v>0.70044399999999996</v>
      </c>
      <c r="P332" s="11"/>
      <c r="Q332" s="29"/>
      <c r="R332" s="60"/>
    </row>
    <row r="333" spans="1:18" ht="12" customHeight="1">
      <c r="A333" s="10" t="s">
        <v>134</v>
      </c>
      <c r="B333" s="11" t="s">
        <v>135</v>
      </c>
      <c r="D333" s="153">
        <v>0.218306</v>
      </c>
      <c r="E333" s="153">
        <v>0.233123</v>
      </c>
      <c r="F333" s="153">
        <v>0.30436099999999999</v>
      </c>
      <c r="G333" s="153">
        <v>0.31098199999999998</v>
      </c>
      <c r="H333" s="153">
        <v>0.423821</v>
      </c>
      <c r="I333" s="153">
        <v>0.38378499999999999</v>
      </c>
      <c r="J333" s="153">
        <v>0.36891299999999999</v>
      </c>
      <c r="K333" s="153">
        <v>0.401808</v>
      </c>
      <c r="L333" s="153">
        <v>0.387125</v>
      </c>
      <c r="M333" s="153">
        <v>0.38024999999999998</v>
      </c>
      <c r="N333" s="153">
        <v>0.31479600000000002</v>
      </c>
      <c r="O333" s="153">
        <v>0.24988299999999999</v>
      </c>
      <c r="P333" s="11"/>
      <c r="Q333" s="29"/>
      <c r="R333" s="60"/>
    </row>
    <row r="334" spans="1:18" ht="12" customHeight="1">
      <c r="A334" s="10" t="s">
        <v>136</v>
      </c>
      <c r="B334" s="11" t="s">
        <v>137</v>
      </c>
      <c r="D334" s="153">
        <v>0.176288</v>
      </c>
      <c r="E334" s="153">
        <v>0.195188</v>
      </c>
      <c r="F334" s="153">
        <v>0.25931100000000001</v>
      </c>
      <c r="G334" s="153">
        <v>0.27012399999999998</v>
      </c>
      <c r="H334" s="153">
        <v>0.36238300000000001</v>
      </c>
      <c r="I334" s="153">
        <v>0.34477799999999997</v>
      </c>
      <c r="J334" s="153">
        <v>0.35704000000000002</v>
      </c>
      <c r="K334" s="153">
        <v>0.38050299999999998</v>
      </c>
      <c r="L334" s="153">
        <v>0.34592200000000001</v>
      </c>
      <c r="M334" s="153">
        <v>0.32608799999999999</v>
      </c>
      <c r="N334" s="153">
        <v>0.25733600000000001</v>
      </c>
      <c r="O334" s="153">
        <v>0.22154199999999999</v>
      </c>
      <c r="P334" s="11"/>
      <c r="Q334" s="29"/>
      <c r="R334" s="60"/>
    </row>
    <row r="335" spans="1:18" ht="12" customHeight="1">
      <c r="A335" s="10" t="s">
        <v>138</v>
      </c>
      <c r="B335" s="11" t="s">
        <v>139</v>
      </c>
      <c r="D335" s="153">
        <v>0.43720399999999998</v>
      </c>
      <c r="E335" s="153">
        <v>0.45086199999999999</v>
      </c>
      <c r="F335" s="153">
        <v>0.558145</v>
      </c>
      <c r="G335" s="153">
        <v>0.57219100000000001</v>
      </c>
      <c r="H335" s="153">
        <v>0.69512600000000002</v>
      </c>
      <c r="I335" s="153">
        <v>0.63719599999999998</v>
      </c>
      <c r="J335" s="153">
        <v>0.66534899999999997</v>
      </c>
      <c r="K335" s="153">
        <v>0.69440900000000005</v>
      </c>
      <c r="L335" s="153">
        <v>0.65868099999999996</v>
      </c>
      <c r="M335" s="153">
        <v>0.71882800000000002</v>
      </c>
      <c r="N335" s="153">
        <v>0.55245900000000003</v>
      </c>
      <c r="O335" s="153">
        <v>0.47360600000000003</v>
      </c>
      <c r="P335" s="11"/>
      <c r="Q335" s="29"/>
      <c r="R335" s="60"/>
    </row>
    <row r="336" spans="1:18" ht="12" customHeight="1">
      <c r="A336" s="10" t="s">
        <v>140</v>
      </c>
      <c r="B336" s="11" t="s">
        <v>141</v>
      </c>
      <c r="D336" s="153">
        <v>0.203876</v>
      </c>
      <c r="E336" s="153">
        <v>0.23050699999999999</v>
      </c>
      <c r="F336" s="153">
        <v>0.38558599999999998</v>
      </c>
      <c r="G336" s="153">
        <v>0.454598</v>
      </c>
      <c r="H336" s="153">
        <v>0.72763199999999995</v>
      </c>
      <c r="I336" s="153">
        <v>0.642374</v>
      </c>
      <c r="J336" s="153">
        <v>0.66439800000000004</v>
      </c>
      <c r="K336" s="153">
        <v>0.78519799999999995</v>
      </c>
      <c r="L336" s="153">
        <v>0.70652800000000004</v>
      </c>
      <c r="M336" s="153">
        <v>0.63662200000000002</v>
      </c>
      <c r="N336" s="153">
        <v>0.32605600000000001</v>
      </c>
      <c r="O336" s="153">
        <v>0.28212500000000001</v>
      </c>
      <c r="P336" s="11"/>
      <c r="Q336" s="29"/>
      <c r="R336" s="60"/>
    </row>
    <row r="337" spans="1:18" ht="12" customHeight="1">
      <c r="A337" s="10" t="s">
        <v>142</v>
      </c>
      <c r="B337" s="11" t="s">
        <v>143</v>
      </c>
      <c r="D337" s="153">
        <v>0.13796</v>
      </c>
      <c r="E337" s="153">
        <v>0.14951900000000001</v>
      </c>
      <c r="F337" s="153">
        <v>0.28978599999999999</v>
      </c>
      <c r="G337" s="153">
        <v>0.30042600000000003</v>
      </c>
      <c r="H337" s="153">
        <v>0.498664</v>
      </c>
      <c r="I337" s="153">
        <v>0.38735399999999998</v>
      </c>
      <c r="J337" s="153">
        <v>0.43154700000000001</v>
      </c>
      <c r="K337" s="153">
        <v>0.49718800000000002</v>
      </c>
      <c r="L337" s="153">
        <v>0.44372200000000001</v>
      </c>
      <c r="M337" s="153">
        <v>0.46550599999999998</v>
      </c>
      <c r="N337" s="153">
        <v>0.20855099999999999</v>
      </c>
      <c r="O337" s="153">
        <v>0.20133300000000001</v>
      </c>
      <c r="P337" s="11"/>
      <c r="Q337" s="29"/>
      <c r="R337" s="60"/>
    </row>
    <row r="338" spans="1:18" ht="12" customHeight="1">
      <c r="A338" s="10" t="s">
        <v>144</v>
      </c>
      <c r="B338" s="11" t="s">
        <v>145</v>
      </c>
      <c r="D338" s="153">
        <v>0.231046</v>
      </c>
      <c r="E338" s="153">
        <v>0.26325100000000001</v>
      </c>
      <c r="F338" s="153">
        <v>0.399057</v>
      </c>
      <c r="G338" s="153">
        <v>0.41834300000000002</v>
      </c>
      <c r="H338" s="153">
        <v>0.52446000000000004</v>
      </c>
      <c r="I338" s="153">
        <v>0.49392999999999998</v>
      </c>
      <c r="J338" s="153">
        <v>0.49711300000000003</v>
      </c>
      <c r="K338" s="153">
        <v>0.52537599999999995</v>
      </c>
      <c r="L338" s="153">
        <v>0.537161</v>
      </c>
      <c r="M338" s="153">
        <v>0.50436300000000001</v>
      </c>
      <c r="N338" s="153">
        <v>0.35731800000000002</v>
      </c>
      <c r="O338" s="153">
        <v>0.28386299999999998</v>
      </c>
      <c r="P338" s="11"/>
      <c r="Q338" s="29"/>
      <c r="R338" s="60"/>
    </row>
    <row r="339" spans="1:18" ht="12" customHeight="1">
      <c r="A339" s="10" t="s">
        <v>147</v>
      </c>
      <c r="B339" s="11" t="s">
        <v>146</v>
      </c>
      <c r="D339" s="153">
        <v>0.101518</v>
      </c>
      <c r="E339" s="153">
        <v>0.108322</v>
      </c>
      <c r="F339" s="153">
        <v>0.14335800000000001</v>
      </c>
      <c r="G339" s="153">
        <v>0.14896899999999999</v>
      </c>
      <c r="H339" s="153">
        <v>0.18989</v>
      </c>
      <c r="I339" s="153">
        <v>0.19055800000000001</v>
      </c>
      <c r="J339" s="153">
        <v>0.196494</v>
      </c>
      <c r="K339" s="153">
        <v>0.222472</v>
      </c>
      <c r="L339" s="153">
        <v>0.180427</v>
      </c>
      <c r="M339" s="153">
        <v>0.17815700000000001</v>
      </c>
      <c r="N339" s="153">
        <v>0.124143</v>
      </c>
      <c r="O339" s="153">
        <v>0.11384900000000001</v>
      </c>
      <c r="P339" s="11"/>
      <c r="Q339" s="29"/>
      <c r="R339" s="60"/>
    </row>
    <row r="340" spans="1:18" ht="12" customHeight="1">
      <c r="A340" s="10" t="s">
        <v>148</v>
      </c>
      <c r="B340" s="11" t="s">
        <v>149</v>
      </c>
      <c r="D340" s="153">
        <v>0.28597699999999998</v>
      </c>
      <c r="E340" s="153">
        <v>0.358736</v>
      </c>
      <c r="F340" s="153">
        <v>0.55905199999999999</v>
      </c>
      <c r="G340" s="153">
        <v>0.57797600000000005</v>
      </c>
      <c r="H340" s="153">
        <v>0.89013399999999998</v>
      </c>
      <c r="I340" s="153">
        <v>0.76674900000000001</v>
      </c>
      <c r="J340" s="153">
        <v>0.80410499999999996</v>
      </c>
      <c r="K340" s="153">
        <v>0.89332900000000004</v>
      </c>
      <c r="L340" s="153">
        <v>0.75416099999999997</v>
      </c>
      <c r="M340" s="153">
        <v>0.77100400000000002</v>
      </c>
      <c r="N340" s="153">
        <v>0.48016900000000001</v>
      </c>
      <c r="O340" s="153">
        <v>0.61009999999999998</v>
      </c>
      <c r="P340" s="11"/>
      <c r="Q340" s="29"/>
      <c r="R340" s="60"/>
    </row>
    <row r="341" spans="1:18" ht="12" customHeight="1">
      <c r="A341" s="10" t="s">
        <v>150</v>
      </c>
      <c r="B341" s="11" t="s">
        <v>151</v>
      </c>
      <c r="D341" s="153">
        <v>0.21155499999999999</v>
      </c>
      <c r="E341" s="153">
        <v>0.27172499999999999</v>
      </c>
      <c r="F341" s="153">
        <v>0.24932699999999999</v>
      </c>
      <c r="G341" s="153">
        <v>0.24288699999999999</v>
      </c>
      <c r="H341" s="153">
        <v>0.344833</v>
      </c>
      <c r="I341" s="153">
        <v>0.31083300000000003</v>
      </c>
      <c r="J341" s="153">
        <v>0.350269</v>
      </c>
      <c r="K341" s="153">
        <v>0.35624800000000001</v>
      </c>
      <c r="L341" s="153">
        <v>0.32886199999999999</v>
      </c>
      <c r="M341" s="153">
        <v>0.324019</v>
      </c>
      <c r="N341" s="153">
        <v>0.24279200000000001</v>
      </c>
      <c r="O341" s="153">
        <v>0.30538399999999999</v>
      </c>
      <c r="P341" s="11"/>
      <c r="Q341" s="29"/>
      <c r="R341" s="60"/>
    </row>
    <row r="342" spans="1:18" ht="12" customHeight="1">
      <c r="A342" s="10" t="s">
        <v>152</v>
      </c>
      <c r="B342" s="11" t="s">
        <v>153</v>
      </c>
      <c r="D342" s="153">
        <v>0.21365899999999999</v>
      </c>
      <c r="E342" s="153">
        <v>0.25340600000000002</v>
      </c>
      <c r="F342" s="153">
        <v>0.35074300000000003</v>
      </c>
      <c r="G342" s="153">
        <v>0.35131899999999999</v>
      </c>
      <c r="H342" s="153">
        <v>0.42622599999999999</v>
      </c>
      <c r="I342" s="153">
        <v>0.35444300000000001</v>
      </c>
      <c r="J342" s="153">
        <v>0.38016299999999997</v>
      </c>
      <c r="K342" s="153">
        <v>0.42410199999999998</v>
      </c>
      <c r="L342" s="153">
        <v>0.39061000000000001</v>
      </c>
      <c r="M342" s="153">
        <v>0.38822099999999998</v>
      </c>
      <c r="N342" s="153">
        <v>0.32345699999999999</v>
      </c>
      <c r="O342" s="153">
        <v>0.29873899999999998</v>
      </c>
      <c r="P342" s="11"/>
      <c r="Q342" s="29"/>
      <c r="R342" s="60"/>
    </row>
    <row r="343" spans="1:18" ht="12" customHeight="1">
      <c r="A343" s="10" t="s">
        <v>155</v>
      </c>
      <c r="B343" s="11" t="s">
        <v>154</v>
      </c>
      <c r="D343" s="153">
        <v>0.27474700000000002</v>
      </c>
      <c r="E343" s="153">
        <v>0.34238200000000002</v>
      </c>
      <c r="F343" s="153">
        <v>0.47173100000000001</v>
      </c>
      <c r="G343" s="153">
        <v>0.51892099999999997</v>
      </c>
      <c r="H343" s="153">
        <v>0.73863100000000004</v>
      </c>
      <c r="I343" s="153">
        <v>0.678759</v>
      </c>
      <c r="J343" s="153">
        <v>0.72982899999999995</v>
      </c>
      <c r="K343" s="153">
        <v>0.75816700000000004</v>
      </c>
      <c r="L343" s="153">
        <v>0.68423</v>
      </c>
      <c r="M343" s="153">
        <v>0.670261</v>
      </c>
      <c r="N343" s="153">
        <v>0.41723100000000002</v>
      </c>
      <c r="O343" s="153">
        <v>0.413352</v>
      </c>
      <c r="P343" s="11"/>
      <c r="Q343" s="29"/>
      <c r="R343" s="60"/>
    </row>
    <row r="344" spans="1:18" ht="12" customHeight="1">
      <c r="A344" s="10" t="s">
        <v>157</v>
      </c>
      <c r="B344" s="11" t="s">
        <v>156</v>
      </c>
      <c r="D344" s="153">
        <v>0.85233899999999996</v>
      </c>
      <c r="E344" s="153">
        <v>1.0311300000000001</v>
      </c>
      <c r="F344" s="153">
        <v>1.956636</v>
      </c>
      <c r="G344" s="153">
        <v>1.9818199999999999</v>
      </c>
      <c r="H344" s="153">
        <v>3.6006749999999998</v>
      </c>
      <c r="I344" s="153">
        <v>3.71774</v>
      </c>
      <c r="J344" s="153">
        <v>5.1530880000000003</v>
      </c>
      <c r="K344" s="153">
        <v>5.4485789999999996</v>
      </c>
      <c r="L344" s="153">
        <v>3.5239609999999999</v>
      </c>
      <c r="M344" s="153">
        <v>2.8477830000000002</v>
      </c>
      <c r="N344" s="153">
        <v>1.174024</v>
      </c>
      <c r="O344" s="153">
        <v>1.2507619999999999</v>
      </c>
      <c r="P344" s="11"/>
      <c r="Q344" s="29"/>
      <c r="R344" s="60"/>
    </row>
    <row r="345" spans="1:18" ht="12" customHeight="1">
      <c r="A345" s="10" t="s">
        <v>159</v>
      </c>
      <c r="B345" s="11" t="s">
        <v>158</v>
      </c>
      <c r="D345" s="153">
        <v>0.35115000000000002</v>
      </c>
      <c r="E345" s="153">
        <v>0.41433599999999998</v>
      </c>
      <c r="F345" s="153">
        <v>0.54323100000000002</v>
      </c>
      <c r="G345" s="153">
        <v>0.55785899999999999</v>
      </c>
      <c r="H345" s="153">
        <v>0.82782</v>
      </c>
      <c r="I345" s="153">
        <v>0.73019299999999998</v>
      </c>
      <c r="J345" s="153">
        <v>0.79679500000000003</v>
      </c>
      <c r="K345" s="153">
        <v>0.93343699999999996</v>
      </c>
      <c r="L345" s="153">
        <v>0.71711499999999995</v>
      </c>
      <c r="M345" s="153">
        <v>0.72084400000000004</v>
      </c>
      <c r="N345" s="153">
        <v>0.498782</v>
      </c>
      <c r="O345" s="153">
        <v>0.48955399999999999</v>
      </c>
      <c r="P345" s="11"/>
      <c r="Q345" s="29"/>
      <c r="R345" s="60"/>
    </row>
    <row r="346" spans="1:18" ht="12" customHeight="1">
      <c r="A346" s="10" t="s">
        <v>160</v>
      </c>
      <c r="B346" s="11" t="s">
        <v>17</v>
      </c>
      <c r="D346" s="153">
        <v>0.18486</v>
      </c>
      <c r="E346" s="153">
        <v>0.19772899999999999</v>
      </c>
      <c r="F346" s="153">
        <v>0.202684</v>
      </c>
      <c r="G346" s="153">
        <v>0.20058599999999999</v>
      </c>
      <c r="H346" s="153">
        <v>0.222414</v>
      </c>
      <c r="I346" s="153">
        <v>0.30712099999999998</v>
      </c>
      <c r="J346" s="153">
        <v>0.43022199999999999</v>
      </c>
      <c r="K346" s="153">
        <v>0.37202800000000003</v>
      </c>
      <c r="L346" s="153">
        <v>0.211648</v>
      </c>
      <c r="M346" s="153">
        <v>0.224186</v>
      </c>
      <c r="N346" s="153">
        <v>0.20646</v>
      </c>
      <c r="O346" s="153">
        <v>0.21799499999999999</v>
      </c>
      <c r="P346" s="11"/>
      <c r="Q346" s="29"/>
      <c r="R346" s="60"/>
    </row>
    <row r="347" spans="1:18" ht="12" customHeight="1">
      <c r="A347" s="10" t="s">
        <v>161</v>
      </c>
      <c r="B347" s="11" t="s">
        <v>162</v>
      </c>
      <c r="D347" s="153">
        <v>0.109001</v>
      </c>
      <c r="E347" s="153">
        <v>0.22999900000000001</v>
      </c>
      <c r="F347" s="153">
        <v>0.37599900000000003</v>
      </c>
      <c r="G347" s="153">
        <v>0.22</v>
      </c>
      <c r="H347" s="153">
        <v>0.36199999999999999</v>
      </c>
      <c r="I347" s="153">
        <v>0.86900100000000002</v>
      </c>
      <c r="J347" s="153">
        <v>0.76400100000000004</v>
      </c>
      <c r="K347" s="153">
        <v>1.2159990000000001</v>
      </c>
      <c r="L347" s="153">
        <v>0.51600000000000001</v>
      </c>
      <c r="M347" s="153">
        <v>0.285999</v>
      </c>
      <c r="N347" s="153">
        <v>0.25200099999999998</v>
      </c>
      <c r="O347" s="153">
        <v>0.247998</v>
      </c>
      <c r="P347" s="11"/>
      <c r="Q347" s="29"/>
      <c r="R347" s="60"/>
    </row>
    <row r="348" spans="1:18" ht="12" customHeight="1">
      <c r="A348" s="10" t="s">
        <v>163</v>
      </c>
      <c r="B348" s="11" t="s">
        <v>164</v>
      </c>
      <c r="D348" s="153">
        <v>0.246</v>
      </c>
      <c r="E348" s="153">
        <v>0.29899900000000001</v>
      </c>
      <c r="F348" s="153">
        <v>0.55100099999999996</v>
      </c>
      <c r="G348" s="153">
        <v>0.437</v>
      </c>
      <c r="H348" s="153">
        <v>0.35099900000000001</v>
      </c>
      <c r="I348" s="153">
        <v>0.90699799999999997</v>
      </c>
      <c r="J348" s="153">
        <v>1.105998</v>
      </c>
      <c r="K348" s="153">
        <v>1.481997</v>
      </c>
      <c r="L348" s="153">
        <v>0.55699900000000002</v>
      </c>
      <c r="M348" s="153">
        <v>0.67800400000000005</v>
      </c>
      <c r="N348" s="153">
        <v>0.36899900000000002</v>
      </c>
      <c r="O348" s="153">
        <v>0.40999799999999997</v>
      </c>
      <c r="P348" s="11"/>
      <c r="Q348" s="29"/>
      <c r="R348" s="60"/>
    </row>
    <row r="349" spans="1:18" ht="12" customHeight="1">
      <c r="A349" s="10" t="s">
        <v>165</v>
      </c>
      <c r="B349" s="11" t="s">
        <v>166</v>
      </c>
      <c r="D349" s="153">
        <v>0.30400100000000002</v>
      </c>
      <c r="E349" s="153">
        <v>0.27500200000000002</v>
      </c>
      <c r="F349" s="153">
        <v>0.17199999999999999</v>
      </c>
      <c r="G349" s="153">
        <v>0.36800100000000002</v>
      </c>
      <c r="H349" s="153">
        <v>0.44299899999999998</v>
      </c>
      <c r="I349" s="153">
        <v>0.48300100000000001</v>
      </c>
      <c r="J349" s="153">
        <v>0.36199799999999999</v>
      </c>
      <c r="K349" s="153">
        <v>0.70000099999999998</v>
      </c>
      <c r="L349" s="153">
        <v>0.22699900000000001</v>
      </c>
      <c r="M349" s="153">
        <v>0.41399999999999998</v>
      </c>
      <c r="N349" s="153">
        <v>0.43199900000000002</v>
      </c>
      <c r="O349" s="153">
        <v>0.307</v>
      </c>
      <c r="P349" s="11"/>
      <c r="Q349" s="29"/>
      <c r="R349" s="60"/>
    </row>
    <row r="350" spans="1:18" ht="12" customHeight="1">
      <c r="A350" s="10" t="s">
        <v>168</v>
      </c>
      <c r="B350" s="11" t="s">
        <v>167</v>
      </c>
      <c r="D350" s="153">
        <v>0.21504799999999999</v>
      </c>
      <c r="E350" s="153">
        <v>0.21446299999999999</v>
      </c>
      <c r="F350" s="153">
        <v>0.32768700000000001</v>
      </c>
      <c r="G350" s="153">
        <v>0.27206999999999998</v>
      </c>
      <c r="H350" s="153">
        <v>0.22938</v>
      </c>
      <c r="I350" s="153">
        <v>0.28602899999999998</v>
      </c>
      <c r="J350" s="153">
        <v>0.33677099999999999</v>
      </c>
      <c r="K350" s="153">
        <v>0.373338</v>
      </c>
      <c r="L350" s="153">
        <v>0.28184500000000001</v>
      </c>
      <c r="M350" s="153">
        <v>0.225295</v>
      </c>
      <c r="N350" s="153">
        <v>0.21454400000000001</v>
      </c>
      <c r="O350" s="153">
        <v>0.25002400000000002</v>
      </c>
      <c r="P350" s="11"/>
      <c r="Q350" s="29"/>
      <c r="R350" s="60"/>
    </row>
    <row r="351" spans="1:18" ht="12" customHeight="1">
      <c r="A351" s="10" t="s">
        <v>169</v>
      </c>
      <c r="B351" s="11" t="s">
        <v>170</v>
      </c>
      <c r="D351" s="153">
        <v>1.2444999999999999E-2</v>
      </c>
      <c r="E351" s="153">
        <v>1.6181999999999998E-2</v>
      </c>
      <c r="F351" s="153">
        <v>2.1326999999999999E-2</v>
      </c>
      <c r="G351" s="153">
        <v>3.0443999999999999E-2</v>
      </c>
      <c r="H351" s="153">
        <v>3.6673999999999998E-2</v>
      </c>
      <c r="I351" s="153">
        <v>8.9898000000000006E-2</v>
      </c>
      <c r="J351" s="153">
        <v>0.14921400000000001</v>
      </c>
      <c r="K351" s="153">
        <v>0.222522</v>
      </c>
      <c r="L351" s="153">
        <v>7.5287000000000007E-2</v>
      </c>
      <c r="M351" s="153">
        <v>4.9831E-2</v>
      </c>
      <c r="N351" s="153">
        <v>2.4514999999999999E-2</v>
      </c>
      <c r="O351" s="153">
        <v>1.8259999999999998E-2</v>
      </c>
      <c r="P351" s="11"/>
      <c r="Q351" s="29"/>
      <c r="R351" s="60"/>
    </row>
    <row r="352" spans="1:18" ht="12" customHeight="1">
      <c r="A352" s="10" t="s">
        <v>171</v>
      </c>
      <c r="B352" s="11" t="s">
        <v>12</v>
      </c>
      <c r="D352" s="153">
        <v>8.9815000000000006E-2</v>
      </c>
      <c r="E352" s="153">
        <v>7.5183E-2</v>
      </c>
      <c r="F352" s="153">
        <v>0.15459000000000001</v>
      </c>
      <c r="G352" s="153">
        <v>0.173011</v>
      </c>
      <c r="H352" s="153">
        <v>0.21988199999999999</v>
      </c>
      <c r="I352" s="153">
        <v>0.391731</v>
      </c>
      <c r="J352" s="153">
        <v>0.59831999999999996</v>
      </c>
      <c r="K352" s="153">
        <v>0.769791</v>
      </c>
      <c r="L352" s="153">
        <v>0.33433400000000002</v>
      </c>
      <c r="M352" s="153">
        <v>0.153285</v>
      </c>
      <c r="N352" s="153">
        <v>0.111206</v>
      </c>
      <c r="O352" s="153">
        <v>0.147837</v>
      </c>
      <c r="P352" s="11"/>
      <c r="Q352" s="29"/>
      <c r="R352" s="60"/>
    </row>
    <row r="353" spans="1:18" ht="12" customHeight="1">
      <c r="A353" s="10" t="s">
        <v>172</v>
      </c>
      <c r="B353" s="11" t="s">
        <v>3</v>
      </c>
      <c r="D353" s="153">
        <v>5.2250999999999999E-2</v>
      </c>
      <c r="E353" s="153">
        <v>7.9577999999999996E-2</v>
      </c>
      <c r="F353" s="153">
        <v>9.1747999999999996E-2</v>
      </c>
      <c r="G353" s="153">
        <v>0.13642000000000001</v>
      </c>
      <c r="H353" s="153">
        <v>0.12765499999999999</v>
      </c>
      <c r="I353" s="153">
        <v>0.183837</v>
      </c>
      <c r="J353" s="153">
        <v>0.26352399999999998</v>
      </c>
      <c r="K353" s="153">
        <v>0.41449999999999998</v>
      </c>
      <c r="L353" s="153">
        <v>0.17658399999999999</v>
      </c>
      <c r="M353" s="153">
        <v>0.147865</v>
      </c>
      <c r="N353" s="153">
        <v>0.15148400000000001</v>
      </c>
      <c r="O353" s="153">
        <v>9.8696000000000006E-2</v>
      </c>
      <c r="P353" s="11"/>
      <c r="Q353" s="29"/>
      <c r="R353" s="60"/>
    </row>
    <row r="354" spans="1:18" ht="12" customHeight="1">
      <c r="A354" s="10" t="s">
        <v>173</v>
      </c>
      <c r="B354" s="11" t="s">
        <v>174</v>
      </c>
      <c r="D354" s="153">
        <v>4.5964999999999999E-2</v>
      </c>
      <c r="E354" s="153">
        <v>4.1723000000000003E-2</v>
      </c>
      <c r="F354" s="153">
        <v>5.9477000000000002E-2</v>
      </c>
      <c r="G354" s="153">
        <v>6.0643000000000002E-2</v>
      </c>
      <c r="H354" s="153">
        <v>6.4564999999999997E-2</v>
      </c>
      <c r="I354" s="153">
        <v>0.104588</v>
      </c>
      <c r="J354" s="153">
        <v>0.153695</v>
      </c>
      <c r="K354" s="153">
        <v>0.219944</v>
      </c>
      <c r="L354" s="153">
        <v>8.4793999999999994E-2</v>
      </c>
      <c r="M354" s="153">
        <v>6.4254000000000006E-2</v>
      </c>
      <c r="N354" s="153">
        <v>5.4938000000000001E-2</v>
      </c>
      <c r="O354" s="153">
        <v>6.3367000000000007E-2</v>
      </c>
      <c r="P354" s="11"/>
      <c r="Q354" s="29"/>
      <c r="R354" s="60"/>
    </row>
    <row r="355" spans="1:18" ht="12" customHeight="1">
      <c r="A355" s="10" t="s">
        <v>175</v>
      </c>
      <c r="B355" s="11" t="s">
        <v>16</v>
      </c>
      <c r="D355" s="153">
        <v>0.165021</v>
      </c>
      <c r="E355" s="153">
        <v>0.18379400000000001</v>
      </c>
      <c r="F355" s="153">
        <v>0.211287</v>
      </c>
      <c r="G355" s="153">
        <v>0.247948</v>
      </c>
      <c r="H355" s="153">
        <v>0.24130199999999999</v>
      </c>
      <c r="I355" s="153">
        <v>0.38779999999999998</v>
      </c>
      <c r="J355" s="153">
        <v>0.63673500000000005</v>
      </c>
      <c r="K355" s="153">
        <v>0.83330599999999999</v>
      </c>
      <c r="L355" s="153">
        <v>0.34224700000000002</v>
      </c>
      <c r="M355" s="153">
        <v>0.216086</v>
      </c>
      <c r="N355" s="153">
        <v>0.18764900000000001</v>
      </c>
      <c r="O355" s="153">
        <v>0.271675</v>
      </c>
      <c r="P355" s="11"/>
      <c r="Q355" s="29"/>
      <c r="R355" s="60"/>
    </row>
    <row r="356" spans="1:18" ht="12" customHeight="1">
      <c r="A356" s="10" t="s">
        <v>176</v>
      </c>
      <c r="B356" s="11" t="s">
        <v>20</v>
      </c>
      <c r="D356" s="153">
        <v>2.0586E-2</v>
      </c>
      <c r="E356" s="153">
        <v>1.3958E-2</v>
      </c>
      <c r="F356" s="153">
        <v>2.3018E-2</v>
      </c>
      <c r="G356" s="153">
        <v>2.1187999999999999E-2</v>
      </c>
      <c r="H356" s="153">
        <v>1.7579000000000001E-2</v>
      </c>
      <c r="I356" s="153">
        <v>2.0399E-2</v>
      </c>
      <c r="J356" s="153">
        <v>2.4712999999999999E-2</v>
      </c>
      <c r="K356" s="153">
        <v>3.3653000000000002E-2</v>
      </c>
      <c r="L356" s="153">
        <v>2.2158000000000001E-2</v>
      </c>
      <c r="M356" s="153">
        <v>4.9213E-2</v>
      </c>
      <c r="N356" s="153">
        <v>1.9798E-2</v>
      </c>
      <c r="O356" s="153">
        <v>3.2169000000000003E-2</v>
      </c>
      <c r="P356" s="11"/>
      <c r="Q356" s="29"/>
      <c r="R356" s="60"/>
    </row>
    <row r="357" spans="1:18" ht="12" customHeight="1">
      <c r="A357" s="10" t="s">
        <v>177</v>
      </c>
      <c r="B357" s="11" t="s">
        <v>10</v>
      </c>
      <c r="D357" s="153">
        <v>8.4087999999999996E-2</v>
      </c>
      <c r="E357" s="153">
        <v>5.9272999999999999E-2</v>
      </c>
      <c r="F357" s="153">
        <v>9.3428999999999998E-2</v>
      </c>
      <c r="G357" s="153">
        <v>0.11915000000000001</v>
      </c>
      <c r="H357" s="153">
        <v>8.0421999999999993E-2</v>
      </c>
      <c r="I357" s="153">
        <v>0.13352600000000001</v>
      </c>
      <c r="J357" s="153">
        <v>0.19486700000000001</v>
      </c>
      <c r="K357" s="153">
        <v>0.28591499999999997</v>
      </c>
      <c r="L357" s="153">
        <v>0.13090499999999999</v>
      </c>
      <c r="M357" s="153">
        <v>8.2030000000000006E-2</v>
      </c>
      <c r="N357" s="153">
        <v>6.5560999999999994E-2</v>
      </c>
      <c r="O357" s="153">
        <v>0.113233</v>
      </c>
      <c r="P357" s="11"/>
      <c r="Q357" s="29"/>
      <c r="R357" s="60"/>
    </row>
    <row r="358" spans="1:18" ht="12" customHeight="1">
      <c r="A358" s="10" t="s">
        <v>178</v>
      </c>
      <c r="B358" s="11" t="s">
        <v>4</v>
      </c>
      <c r="D358" s="153">
        <v>9.1785000000000005E-2</v>
      </c>
      <c r="E358" s="153">
        <v>7.6784000000000005E-2</v>
      </c>
      <c r="F358" s="153">
        <v>0.12609300000000001</v>
      </c>
      <c r="G358" s="153">
        <v>0.12762100000000001</v>
      </c>
      <c r="H358" s="153">
        <v>8.8305999999999996E-2</v>
      </c>
      <c r="I358" s="153">
        <v>0.14229</v>
      </c>
      <c r="J358" s="153">
        <v>0.24415700000000001</v>
      </c>
      <c r="K358" s="153">
        <v>0.36500899999999997</v>
      </c>
      <c r="L358" s="153">
        <v>0.106977</v>
      </c>
      <c r="M358" s="153">
        <v>7.2772000000000003E-2</v>
      </c>
      <c r="N358" s="153">
        <v>7.0517999999999997E-2</v>
      </c>
      <c r="O358" s="153">
        <v>0.16691900000000001</v>
      </c>
      <c r="P358" s="11"/>
      <c r="Q358" s="29"/>
      <c r="R358" s="60"/>
    </row>
    <row r="359" spans="1:18" ht="12" customHeight="1">
      <c r="A359" s="10" t="s">
        <v>179</v>
      </c>
      <c r="B359" s="11" t="s">
        <v>9</v>
      </c>
      <c r="D359" s="153">
        <v>1.7527999999999998E-2</v>
      </c>
      <c r="E359" s="153">
        <v>3.3001999999999997E-2</v>
      </c>
      <c r="F359" s="153">
        <v>3.4890999999999998E-2</v>
      </c>
      <c r="G359" s="153">
        <v>0.15581200000000001</v>
      </c>
      <c r="H359" s="153">
        <v>9.5362000000000002E-2</v>
      </c>
      <c r="I359" s="153">
        <v>0.14497299999999999</v>
      </c>
      <c r="J359" s="153">
        <v>0.226634</v>
      </c>
      <c r="K359" s="153">
        <v>0.33918700000000002</v>
      </c>
      <c r="L359" s="153">
        <v>0.138684</v>
      </c>
      <c r="M359" s="153">
        <v>7.2331000000000006E-2</v>
      </c>
      <c r="N359" s="153">
        <v>3.875E-2</v>
      </c>
      <c r="O359" s="153">
        <v>3.8373999999999998E-2</v>
      </c>
      <c r="P359" s="11"/>
      <c r="Q359" s="29"/>
      <c r="R359" s="60"/>
    </row>
    <row r="360" spans="1:18" ht="12" customHeight="1">
      <c r="A360" s="10" t="s">
        <v>180</v>
      </c>
      <c r="B360" s="11" t="s">
        <v>515</v>
      </c>
      <c r="D360" s="153">
        <v>5.1131999999999997E-2</v>
      </c>
      <c r="E360" s="153">
        <v>5.9499000000000003E-2</v>
      </c>
      <c r="F360" s="153">
        <v>8.3900000000000002E-2</v>
      </c>
      <c r="G360" s="153">
        <v>9.5321000000000003E-2</v>
      </c>
      <c r="H360" s="153">
        <v>6.9499000000000005E-2</v>
      </c>
      <c r="I360" s="153">
        <v>9.4517000000000004E-2</v>
      </c>
      <c r="J360" s="153">
        <v>0.15347</v>
      </c>
      <c r="K360" s="153">
        <v>0.229544</v>
      </c>
      <c r="L360" s="153">
        <v>8.5439000000000001E-2</v>
      </c>
      <c r="M360" s="153">
        <v>7.5427999999999995E-2</v>
      </c>
      <c r="N360" s="153">
        <v>6.1725000000000002E-2</v>
      </c>
      <c r="O360" s="153">
        <v>6.3284999999999994E-2</v>
      </c>
      <c r="P360" s="11"/>
      <c r="Q360" s="29"/>
      <c r="R360" s="60"/>
    </row>
    <row r="361" spans="1:18" ht="12" customHeight="1">
      <c r="A361" s="10" t="s">
        <v>181</v>
      </c>
      <c r="B361" s="11" t="s">
        <v>516</v>
      </c>
      <c r="D361" s="153">
        <v>7.8527E-2</v>
      </c>
      <c r="E361" s="153">
        <v>6.5135999999999999E-2</v>
      </c>
      <c r="F361" s="153">
        <v>8.3888000000000004E-2</v>
      </c>
      <c r="G361" s="153">
        <v>9.8871000000000001E-2</v>
      </c>
      <c r="H361" s="153">
        <v>8.6323999999999998E-2</v>
      </c>
      <c r="I361" s="153">
        <v>0.187336</v>
      </c>
      <c r="J361" s="153">
        <v>0.30971199999999999</v>
      </c>
      <c r="K361" s="153">
        <v>0.465032</v>
      </c>
      <c r="L361" s="153">
        <v>0.16886300000000001</v>
      </c>
      <c r="M361" s="153">
        <v>0.10671700000000001</v>
      </c>
      <c r="N361" s="153">
        <v>5.0186000000000001E-2</v>
      </c>
      <c r="O361" s="153">
        <v>7.9323000000000005E-2</v>
      </c>
      <c r="P361" s="11"/>
      <c r="Q361" s="29"/>
      <c r="R361" s="60"/>
    </row>
    <row r="362" spans="1:18" ht="12" customHeight="1">
      <c r="A362" s="10" t="s">
        <v>182</v>
      </c>
      <c r="B362" s="11" t="s">
        <v>183</v>
      </c>
      <c r="D362" s="153">
        <v>8.8819999999999996E-2</v>
      </c>
      <c r="E362" s="153">
        <v>8.7178000000000005E-2</v>
      </c>
      <c r="F362" s="153">
        <v>0.169571</v>
      </c>
      <c r="G362" s="153">
        <v>0.236628</v>
      </c>
      <c r="H362" s="153">
        <v>0.19739300000000001</v>
      </c>
      <c r="I362" s="153">
        <v>0.30742000000000003</v>
      </c>
      <c r="J362" s="153">
        <v>0.51249400000000001</v>
      </c>
      <c r="K362" s="153">
        <v>0.79082600000000003</v>
      </c>
      <c r="L362" s="153">
        <v>0.30355599999999999</v>
      </c>
      <c r="M362" s="153">
        <v>0.16494700000000001</v>
      </c>
      <c r="N362" s="153">
        <v>8.9710999999999999E-2</v>
      </c>
      <c r="O362" s="153">
        <v>9.851E-2</v>
      </c>
      <c r="P362" s="11"/>
      <c r="Q362" s="29"/>
      <c r="R362" s="60"/>
    </row>
    <row r="363" spans="1:18" ht="12" customHeight="1">
      <c r="A363" s="10" t="s">
        <v>184</v>
      </c>
      <c r="B363" s="11" t="s">
        <v>2</v>
      </c>
      <c r="D363" s="153">
        <v>0.27488400000000002</v>
      </c>
      <c r="E363" s="153">
        <v>0.32475599999999999</v>
      </c>
      <c r="F363" s="153">
        <v>0.53873400000000005</v>
      </c>
      <c r="G363" s="153">
        <v>0.51203299999999996</v>
      </c>
      <c r="H363" s="153">
        <v>0.63553199999999999</v>
      </c>
      <c r="I363" s="153">
        <v>0.86753800000000003</v>
      </c>
      <c r="J363" s="153">
        <v>1.568478</v>
      </c>
      <c r="K363" s="153">
        <v>2.0829909999999998</v>
      </c>
      <c r="L363" s="153">
        <v>0.97339399999999998</v>
      </c>
      <c r="M363" s="153">
        <v>0.68005700000000002</v>
      </c>
      <c r="N363" s="153">
        <v>0.50098399999999998</v>
      </c>
      <c r="O363" s="153">
        <v>0.44011800000000001</v>
      </c>
      <c r="P363" s="11"/>
      <c r="Q363" s="29"/>
      <c r="R363" s="60"/>
    </row>
    <row r="364" spans="1:18" ht="12" customHeight="1">
      <c r="A364" s="10" t="s">
        <v>185</v>
      </c>
      <c r="B364" s="11" t="s">
        <v>5</v>
      </c>
      <c r="D364" s="153">
        <v>0.143016</v>
      </c>
      <c r="E364" s="153">
        <v>0.15664500000000001</v>
      </c>
      <c r="F364" s="153">
        <v>0.33712999999999999</v>
      </c>
      <c r="G364" s="153">
        <v>0.26240400000000003</v>
      </c>
      <c r="H364" s="153">
        <v>0.338063</v>
      </c>
      <c r="I364" s="153">
        <v>0.47490700000000002</v>
      </c>
      <c r="J364" s="153">
        <v>0.97975800000000002</v>
      </c>
      <c r="K364" s="153">
        <v>1.3484860000000001</v>
      </c>
      <c r="L364" s="153">
        <v>0.56437000000000004</v>
      </c>
      <c r="M364" s="153">
        <v>0.33769500000000002</v>
      </c>
      <c r="N364" s="153">
        <v>0.23941799999999999</v>
      </c>
      <c r="O364" s="153">
        <v>0.214751</v>
      </c>
      <c r="P364" s="11"/>
      <c r="Q364" s="29"/>
      <c r="R364" s="60"/>
    </row>
    <row r="365" spans="1:18" ht="12" customHeight="1">
      <c r="A365" s="10" t="s">
        <v>186</v>
      </c>
      <c r="B365" s="11" t="s">
        <v>14</v>
      </c>
      <c r="D365" s="153">
        <v>9.2841999999999994E-2</v>
      </c>
      <c r="E365" s="153">
        <v>0.101427</v>
      </c>
      <c r="F365" s="153">
        <v>0.296626</v>
      </c>
      <c r="G365" s="153">
        <v>0.29879</v>
      </c>
      <c r="H365" s="153">
        <v>0.35028599999999999</v>
      </c>
      <c r="I365" s="153">
        <v>0.46583000000000002</v>
      </c>
      <c r="J365" s="153">
        <v>0.99526199999999998</v>
      </c>
      <c r="K365" s="153">
        <v>1.2292019999999999</v>
      </c>
      <c r="L365" s="153">
        <v>0.48812699999999998</v>
      </c>
      <c r="M365" s="153">
        <v>0.231817</v>
      </c>
      <c r="N365" s="153">
        <v>0.16883100000000001</v>
      </c>
      <c r="O365" s="153">
        <v>0.13770199999999999</v>
      </c>
      <c r="P365" s="11"/>
      <c r="Q365" s="29"/>
      <c r="R365" s="30"/>
    </row>
    <row r="366" spans="1:18" ht="12" customHeight="1">
      <c r="A366" s="10" t="s">
        <v>187</v>
      </c>
      <c r="B366" s="11" t="s">
        <v>8</v>
      </c>
      <c r="D366" s="153">
        <v>0.298064</v>
      </c>
      <c r="E366" s="153">
        <v>0.323797</v>
      </c>
      <c r="F366" s="153">
        <v>0.46548699999999998</v>
      </c>
      <c r="G366" s="153">
        <v>0.40827999999999998</v>
      </c>
      <c r="H366" s="153">
        <v>0.42840899999999998</v>
      </c>
      <c r="I366" s="153">
        <v>0.45363900000000001</v>
      </c>
      <c r="J366" s="153">
        <v>0.62003699999999995</v>
      </c>
      <c r="K366" s="153">
        <v>0.74693799999999999</v>
      </c>
      <c r="L366" s="153">
        <v>0.47430899999999998</v>
      </c>
      <c r="M366" s="153">
        <v>0.455932</v>
      </c>
      <c r="N366" s="153">
        <v>0.43873299999999998</v>
      </c>
      <c r="O366" s="153">
        <v>0.40582400000000002</v>
      </c>
      <c r="P366" s="11"/>
      <c r="Q366" s="29"/>
      <c r="R366" s="30"/>
    </row>
    <row r="367" spans="1:18" ht="12" customHeight="1">
      <c r="A367" s="10" t="s">
        <v>188</v>
      </c>
      <c r="B367" s="11" t="s">
        <v>189</v>
      </c>
      <c r="D367" s="153">
        <v>0.11483500000000001</v>
      </c>
      <c r="E367" s="153">
        <v>0.13167300000000001</v>
      </c>
      <c r="F367" s="153">
        <v>0.22578799999999999</v>
      </c>
      <c r="G367" s="153">
        <v>0.215754</v>
      </c>
      <c r="H367" s="153">
        <v>0.241894</v>
      </c>
      <c r="I367" s="153">
        <v>0.26646199999999998</v>
      </c>
      <c r="J367" s="153">
        <v>0.38886700000000002</v>
      </c>
      <c r="K367" s="153">
        <v>0.53579399999999999</v>
      </c>
      <c r="L367" s="153">
        <v>0.27676099999999998</v>
      </c>
      <c r="M367" s="153">
        <v>0.27829199999999998</v>
      </c>
      <c r="N367" s="153">
        <v>0.19855700000000001</v>
      </c>
      <c r="O367" s="153">
        <v>0.18512600000000001</v>
      </c>
      <c r="P367" s="11"/>
      <c r="Q367" s="29"/>
      <c r="R367" s="30"/>
    </row>
    <row r="368" spans="1:18" ht="12" customHeight="1">
      <c r="A368" s="10" t="s">
        <v>190</v>
      </c>
      <c r="B368" s="11" t="s">
        <v>191</v>
      </c>
      <c r="D368" s="153">
        <v>4.5747999999999997E-2</v>
      </c>
      <c r="E368" s="153">
        <v>6.0934000000000002E-2</v>
      </c>
      <c r="F368" s="153">
        <v>0.113874</v>
      </c>
      <c r="G368" s="153">
        <v>8.9038000000000006E-2</v>
      </c>
      <c r="H368" s="153">
        <v>9.8593E-2</v>
      </c>
      <c r="I368" s="153">
        <v>0.109793</v>
      </c>
      <c r="J368" s="153">
        <v>0.183004</v>
      </c>
      <c r="K368" s="153">
        <v>0.24001700000000001</v>
      </c>
      <c r="L368" s="153">
        <v>0.105129</v>
      </c>
      <c r="M368" s="153">
        <v>0.102714</v>
      </c>
      <c r="N368" s="153">
        <v>9.3265000000000001E-2</v>
      </c>
      <c r="O368" s="153">
        <v>7.9892000000000005E-2</v>
      </c>
      <c r="P368" s="11"/>
      <c r="Q368" s="29"/>
      <c r="R368" s="30"/>
    </row>
    <row r="369" spans="1:18" ht="12" customHeight="1">
      <c r="A369" s="10" t="s">
        <v>192</v>
      </c>
      <c r="B369" s="11" t="s">
        <v>193</v>
      </c>
      <c r="D369" s="153">
        <v>0.38314300000000001</v>
      </c>
      <c r="E369" s="153">
        <v>0.43659900000000001</v>
      </c>
      <c r="F369" s="153">
        <v>0.60528800000000005</v>
      </c>
      <c r="G369" s="153">
        <v>0.41936499999999999</v>
      </c>
      <c r="H369" s="153">
        <v>0.47741600000000001</v>
      </c>
      <c r="I369" s="153">
        <v>0.54418900000000003</v>
      </c>
      <c r="J369" s="153">
        <v>0.81383000000000005</v>
      </c>
      <c r="K369" s="153">
        <v>1.195039</v>
      </c>
      <c r="L369" s="153">
        <v>0.53186500000000003</v>
      </c>
      <c r="M369" s="153">
        <v>0.48860199999999998</v>
      </c>
      <c r="N369" s="153">
        <v>0.38684400000000002</v>
      </c>
      <c r="O369" s="153">
        <v>0.44595299999999999</v>
      </c>
      <c r="P369" s="11"/>
      <c r="Q369" s="29"/>
      <c r="R369" s="30"/>
    </row>
    <row r="370" spans="1:18" ht="12" customHeight="1">
      <c r="A370" s="10" t="s">
        <v>194</v>
      </c>
      <c r="B370" s="11" t="s">
        <v>11</v>
      </c>
      <c r="D370" s="153">
        <v>1.0441819999999999</v>
      </c>
      <c r="E370" s="153">
        <v>1.1195310000000001</v>
      </c>
      <c r="F370" s="153">
        <v>1.261371</v>
      </c>
      <c r="G370" s="153">
        <v>1.109667</v>
      </c>
      <c r="H370" s="153">
        <v>1.2368159999999999</v>
      </c>
      <c r="I370" s="153">
        <v>1.2925390000000001</v>
      </c>
      <c r="J370" s="153">
        <v>1.297563</v>
      </c>
      <c r="K370" s="153">
        <v>1.15205</v>
      </c>
      <c r="L370" s="153">
        <v>1.15811</v>
      </c>
      <c r="M370" s="153">
        <v>1.218143</v>
      </c>
      <c r="N370" s="153">
        <v>1.272751</v>
      </c>
      <c r="O370" s="153">
        <v>1.3506590000000001</v>
      </c>
      <c r="P370" s="11"/>
      <c r="Q370" s="29"/>
      <c r="R370" s="30"/>
    </row>
    <row r="371" spans="1:18" ht="12" customHeight="1">
      <c r="A371" s="10" t="s">
        <v>195</v>
      </c>
      <c r="B371" s="11" t="s">
        <v>196</v>
      </c>
      <c r="D371" s="153">
        <v>0.45272099999999998</v>
      </c>
      <c r="E371" s="153">
        <v>0.53775499999999998</v>
      </c>
      <c r="F371" s="153">
        <v>0.83358299999999996</v>
      </c>
      <c r="G371" s="153">
        <v>0.72489999999999999</v>
      </c>
      <c r="H371" s="153">
        <v>0.84201099999999995</v>
      </c>
      <c r="I371" s="153">
        <v>0.90806699999999996</v>
      </c>
      <c r="J371" s="153">
        <v>1.232056</v>
      </c>
      <c r="K371" s="153">
        <v>1.4911749999999999</v>
      </c>
      <c r="L371" s="153">
        <v>0.916296</v>
      </c>
      <c r="M371" s="153">
        <v>0.88317900000000005</v>
      </c>
      <c r="N371" s="153">
        <v>0.76453199999999999</v>
      </c>
      <c r="O371" s="153">
        <v>0.710063</v>
      </c>
      <c r="P371" s="11"/>
      <c r="Q371" s="29"/>
      <c r="R371" s="30"/>
    </row>
    <row r="372" spans="1:18" ht="12" customHeight="1">
      <c r="A372" s="10" t="s">
        <v>197</v>
      </c>
      <c r="B372" s="11" t="s">
        <v>517</v>
      </c>
      <c r="D372" s="153">
        <v>0.231458</v>
      </c>
      <c r="E372" s="153">
        <v>0.28442699999999999</v>
      </c>
      <c r="F372" s="153">
        <v>0.41033999999999998</v>
      </c>
      <c r="G372" s="153">
        <v>0.41323599999999999</v>
      </c>
      <c r="H372" s="153">
        <v>0.46147199999999999</v>
      </c>
      <c r="I372" s="153">
        <v>0.466671</v>
      </c>
      <c r="J372" s="153">
        <v>0.57087500000000002</v>
      </c>
      <c r="K372" s="153">
        <v>0.632683</v>
      </c>
      <c r="L372" s="153">
        <v>0.42815399999999998</v>
      </c>
      <c r="M372" s="153">
        <v>0.49563800000000002</v>
      </c>
      <c r="N372" s="153">
        <v>0.38123000000000001</v>
      </c>
      <c r="O372" s="153">
        <v>0.36256699999999997</v>
      </c>
      <c r="P372" s="11"/>
      <c r="Q372" s="29"/>
      <c r="R372" s="30"/>
    </row>
    <row r="373" spans="1:18" ht="12" customHeight="1">
      <c r="A373" s="10" t="s">
        <v>198</v>
      </c>
      <c r="B373" s="11" t="s">
        <v>199</v>
      </c>
      <c r="D373" s="153">
        <v>0.147004</v>
      </c>
      <c r="E373" s="153">
        <v>0.19181300000000001</v>
      </c>
      <c r="F373" s="153">
        <v>0.29230299999999998</v>
      </c>
      <c r="G373" s="153">
        <v>0.28343200000000002</v>
      </c>
      <c r="H373" s="153">
        <v>0.30511899999999997</v>
      </c>
      <c r="I373" s="153">
        <v>0.29557899999999998</v>
      </c>
      <c r="J373" s="153">
        <v>0.36314600000000002</v>
      </c>
      <c r="K373" s="153">
        <v>0.467003</v>
      </c>
      <c r="L373" s="153">
        <v>0.319133</v>
      </c>
      <c r="M373" s="153">
        <v>0.290688</v>
      </c>
      <c r="N373" s="153">
        <v>0.25606400000000001</v>
      </c>
      <c r="O373" s="153">
        <v>0.23630799999999999</v>
      </c>
      <c r="P373" s="11"/>
      <c r="Q373" s="29"/>
      <c r="R373" s="30"/>
    </row>
    <row r="374" spans="1:18" ht="12" customHeight="1">
      <c r="A374" s="10" t="s">
        <v>200</v>
      </c>
      <c r="B374" s="11" t="s">
        <v>201</v>
      </c>
      <c r="D374" s="153">
        <v>1.016133</v>
      </c>
      <c r="E374" s="153">
        <v>1.1332180000000001</v>
      </c>
      <c r="F374" s="153">
        <v>2.2107030000000001</v>
      </c>
      <c r="G374" s="153">
        <v>2.0300090000000002</v>
      </c>
      <c r="H374" s="153">
        <v>2.6182850000000002</v>
      </c>
      <c r="I374" s="153">
        <v>3.8509859999999998</v>
      </c>
      <c r="J374" s="153">
        <v>4.4755510000000003</v>
      </c>
      <c r="K374" s="153">
        <v>5.7674240000000001</v>
      </c>
      <c r="L374" s="153">
        <v>2.8528199999999999</v>
      </c>
      <c r="M374" s="153">
        <v>1.762286</v>
      </c>
      <c r="N374" s="153">
        <v>1.196504</v>
      </c>
      <c r="O374" s="153">
        <v>1.2398910000000001</v>
      </c>
      <c r="P374" s="11"/>
      <c r="Q374" s="29"/>
      <c r="R374" s="30"/>
    </row>
    <row r="375" spans="1:18" ht="12" customHeight="1">
      <c r="A375" s="10" t="s">
        <v>202</v>
      </c>
      <c r="B375" s="11" t="s">
        <v>203</v>
      </c>
      <c r="D375" s="153">
        <v>0.84606800000000004</v>
      </c>
      <c r="E375" s="153">
        <v>1.031935</v>
      </c>
      <c r="F375" s="153">
        <v>1.7381720000000001</v>
      </c>
      <c r="G375" s="153">
        <v>1.548915</v>
      </c>
      <c r="H375" s="153">
        <v>1.8983490000000001</v>
      </c>
      <c r="I375" s="153">
        <v>2.6108030000000002</v>
      </c>
      <c r="J375" s="153">
        <v>3.8788870000000002</v>
      </c>
      <c r="K375" s="153">
        <v>4.5828379999999997</v>
      </c>
      <c r="L375" s="153">
        <v>2.3699309999999998</v>
      </c>
      <c r="M375" s="153">
        <v>1.4531879999999999</v>
      </c>
      <c r="N375" s="153">
        <v>1.1717420000000001</v>
      </c>
      <c r="O375" s="153">
        <v>1.123742</v>
      </c>
      <c r="P375" s="11"/>
      <c r="Q375" s="29"/>
      <c r="R375" s="30"/>
    </row>
    <row r="376" spans="1:18" ht="12" customHeight="1">
      <c r="A376" s="10" t="s">
        <v>204</v>
      </c>
      <c r="B376" s="11" t="s">
        <v>6</v>
      </c>
      <c r="D376" s="153">
        <v>7.6088000000000003E-2</v>
      </c>
      <c r="E376" s="153">
        <v>0.18837400000000001</v>
      </c>
      <c r="F376" s="153">
        <v>0.34351399999999999</v>
      </c>
      <c r="G376" s="153">
        <v>0.39562700000000001</v>
      </c>
      <c r="H376" s="153">
        <v>0.74285699999999999</v>
      </c>
      <c r="I376" s="153">
        <v>1.202963</v>
      </c>
      <c r="J376" s="153">
        <v>1.1611290000000001</v>
      </c>
      <c r="K376" s="153">
        <v>1.416927</v>
      </c>
      <c r="L376" s="153">
        <v>0.91514899999999999</v>
      </c>
      <c r="M376" s="153">
        <v>0.61921400000000004</v>
      </c>
      <c r="N376" s="153">
        <v>9.6783999999999995E-2</v>
      </c>
      <c r="O376" s="153">
        <v>0.10370600000000001</v>
      </c>
      <c r="P376" s="11"/>
      <c r="Q376" s="29"/>
      <c r="R376" s="30"/>
    </row>
    <row r="377" spans="1:18" ht="12" customHeight="1">
      <c r="A377" s="10" t="s">
        <v>205</v>
      </c>
      <c r="B377" s="11" t="s">
        <v>206</v>
      </c>
      <c r="D377" s="153">
        <v>1.4072910000000001</v>
      </c>
      <c r="E377" s="153">
        <v>1.819742</v>
      </c>
      <c r="F377" s="153">
        <v>2.573931</v>
      </c>
      <c r="G377" s="153">
        <v>2.4951819999999998</v>
      </c>
      <c r="H377" s="153">
        <v>3.0116320000000001</v>
      </c>
      <c r="I377" s="153">
        <v>3.665835</v>
      </c>
      <c r="J377" s="153">
        <v>5.0946559999999996</v>
      </c>
      <c r="K377" s="153">
        <v>6.156758</v>
      </c>
      <c r="L377" s="153">
        <v>3.5463439999999999</v>
      </c>
      <c r="M377" s="153">
        <v>2.1742409999999999</v>
      </c>
      <c r="N377" s="153">
        <v>1.6972719999999999</v>
      </c>
      <c r="O377" s="153">
        <v>1.7497419999999999</v>
      </c>
      <c r="P377" s="11"/>
      <c r="Q377" s="29"/>
      <c r="R377" s="30"/>
    </row>
    <row r="378" spans="1:18" ht="12" customHeight="1">
      <c r="A378" s="10" t="s">
        <v>207</v>
      </c>
      <c r="B378" s="11" t="s">
        <v>208</v>
      </c>
      <c r="D378" s="153">
        <v>0.12536</v>
      </c>
      <c r="E378" s="153">
        <v>0.19386500000000001</v>
      </c>
      <c r="F378" s="153">
        <v>0.30014000000000002</v>
      </c>
      <c r="G378" s="153">
        <v>0.25786700000000001</v>
      </c>
      <c r="H378" s="153">
        <v>0.30626900000000001</v>
      </c>
      <c r="I378" s="153">
        <v>0.354016</v>
      </c>
      <c r="J378" s="153">
        <v>0.528783</v>
      </c>
      <c r="K378" s="153">
        <v>0.66745399999999999</v>
      </c>
      <c r="L378" s="153">
        <v>0.33693299999999998</v>
      </c>
      <c r="M378" s="153">
        <v>0.248996</v>
      </c>
      <c r="N378" s="153">
        <v>0.19941200000000001</v>
      </c>
      <c r="O378" s="153">
        <v>0.176485</v>
      </c>
      <c r="P378" s="11"/>
      <c r="Q378" s="29"/>
      <c r="R378" s="30"/>
    </row>
    <row r="379" spans="1:18" ht="12" customHeight="1">
      <c r="A379" s="10" t="s">
        <v>209</v>
      </c>
      <c r="B379" s="11" t="s">
        <v>210</v>
      </c>
      <c r="D379" s="153">
        <v>5.359E-3</v>
      </c>
      <c r="E379" s="153">
        <v>5.0590000000000001E-3</v>
      </c>
      <c r="F379" s="153">
        <v>8.4740000000000006E-3</v>
      </c>
      <c r="G379" s="153">
        <v>9.3489999999999997E-3</v>
      </c>
      <c r="H379" s="153">
        <v>7.2750000000000002E-3</v>
      </c>
      <c r="I379" s="153">
        <v>6.0899999999999999E-3</v>
      </c>
      <c r="J379" s="153">
        <v>8.0829999999999999E-3</v>
      </c>
      <c r="K379" s="153">
        <v>9.2969999999999997E-3</v>
      </c>
      <c r="L379" s="153">
        <v>7.0400000000000003E-3</v>
      </c>
      <c r="M379" s="153">
        <v>8.4600000000000005E-3</v>
      </c>
      <c r="N379" s="153">
        <v>5.0109999999999998E-3</v>
      </c>
      <c r="O379" s="153">
        <v>5.4539999999999996E-3</v>
      </c>
      <c r="P379" s="11"/>
      <c r="Q379" s="29"/>
      <c r="R379" s="30"/>
    </row>
    <row r="380" spans="1:18" ht="12" customHeight="1">
      <c r="A380" s="10" t="s">
        <v>211</v>
      </c>
      <c r="B380" s="11" t="s">
        <v>212</v>
      </c>
      <c r="D380" s="153">
        <v>6.7210000000000004E-3</v>
      </c>
      <c r="E380" s="153">
        <v>8.1530000000000005E-3</v>
      </c>
      <c r="F380" s="153">
        <v>8.5140000000000007E-3</v>
      </c>
      <c r="G380" s="153">
        <v>8.9730000000000001E-3</v>
      </c>
      <c r="H380" s="153">
        <v>1.0607E-2</v>
      </c>
      <c r="I380" s="153">
        <v>1.1479E-2</v>
      </c>
      <c r="J380" s="153">
        <v>8.2500000000000004E-3</v>
      </c>
      <c r="K380" s="153">
        <v>1.0525E-2</v>
      </c>
      <c r="L380" s="153">
        <v>1.0725999999999999E-2</v>
      </c>
      <c r="M380" s="153">
        <v>1.0966E-2</v>
      </c>
      <c r="N380" s="153">
        <v>9.2149999999999992E-3</v>
      </c>
      <c r="O380" s="153">
        <v>7.5180000000000004E-3</v>
      </c>
      <c r="P380" s="11"/>
      <c r="Q380" s="29"/>
      <c r="R380" s="30"/>
    </row>
    <row r="381" spans="1:18" ht="12" customHeight="1">
      <c r="A381" s="10" t="s">
        <v>213</v>
      </c>
      <c r="B381" s="11" t="s">
        <v>25</v>
      </c>
      <c r="D381" s="153">
        <v>0.68341300000000005</v>
      </c>
      <c r="E381" s="153">
        <v>0.60219400000000001</v>
      </c>
      <c r="F381" s="153">
        <v>0.77517100000000005</v>
      </c>
      <c r="G381" s="153">
        <v>0.76461599999999996</v>
      </c>
      <c r="H381" s="153">
        <v>1.016759</v>
      </c>
      <c r="I381" s="153">
        <v>1.2320530000000001</v>
      </c>
      <c r="J381" s="153">
        <v>1.5583469999999999</v>
      </c>
      <c r="K381" s="153">
        <v>1.9397629999999999</v>
      </c>
      <c r="L381" s="153">
        <v>1.3124800000000001</v>
      </c>
      <c r="M381" s="153">
        <v>0.96585399999999999</v>
      </c>
      <c r="N381" s="153">
        <v>0.68932300000000002</v>
      </c>
      <c r="O381" s="153">
        <v>0.76093699999999997</v>
      </c>
      <c r="P381" s="11"/>
      <c r="Q381" s="29"/>
      <c r="R381" s="30"/>
    </row>
    <row r="382" spans="1:18" ht="12" customHeight="1">
      <c r="A382" s="10" t="s">
        <v>214</v>
      </c>
      <c r="B382" s="11" t="s">
        <v>518</v>
      </c>
      <c r="D382" s="153">
        <v>2.9836680000000002</v>
      </c>
      <c r="E382" s="153">
        <v>2.867372</v>
      </c>
      <c r="F382" s="153">
        <v>3.3163619999999998</v>
      </c>
      <c r="G382" s="153">
        <v>3.2035330000000002</v>
      </c>
      <c r="H382" s="153">
        <v>3.3581490000000001</v>
      </c>
      <c r="I382" s="153">
        <v>3.3442069999999999</v>
      </c>
      <c r="J382" s="153">
        <v>3.2051219999999998</v>
      </c>
      <c r="K382" s="153">
        <v>3.1458240000000002</v>
      </c>
      <c r="L382" s="153">
        <v>3.4680070000000001</v>
      </c>
      <c r="M382" s="153">
        <v>3.6658900000000001</v>
      </c>
      <c r="N382" s="153">
        <v>3.5718209999999999</v>
      </c>
      <c r="O382" s="153">
        <v>3.4354809999999998</v>
      </c>
      <c r="P382" s="11"/>
      <c r="Q382" s="29"/>
      <c r="R382" s="30"/>
    </row>
    <row r="383" spans="1:18" ht="12" customHeight="1">
      <c r="A383" s="10" t="s">
        <v>215</v>
      </c>
      <c r="B383" s="11" t="s">
        <v>3019</v>
      </c>
      <c r="D383" s="153">
        <v>0.36146400000000001</v>
      </c>
      <c r="E383" s="153">
        <v>0.39988600000000002</v>
      </c>
      <c r="F383" s="153">
        <v>0.49664999999999998</v>
      </c>
      <c r="G383" s="153">
        <v>0.70281400000000005</v>
      </c>
      <c r="H383" s="153">
        <v>0.85398099999999999</v>
      </c>
      <c r="I383" s="153">
        <v>0.77523799999999998</v>
      </c>
      <c r="J383" s="153">
        <v>1.0666960000000001</v>
      </c>
      <c r="K383" s="153">
        <v>1.2416750000000001</v>
      </c>
      <c r="L383" s="153">
        <v>0.68984400000000001</v>
      </c>
      <c r="M383" s="153">
        <v>0.55429499999999998</v>
      </c>
      <c r="N383" s="153">
        <v>0.38980399999999998</v>
      </c>
      <c r="O383" s="153">
        <v>0.42390800000000001</v>
      </c>
      <c r="P383" s="11"/>
      <c r="Q383" s="29"/>
      <c r="R383" s="30"/>
    </row>
    <row r="384" spans="1:18" ht="12" customHeight="1">
      <c r="A384" s="10" t="s">
        <v>216</v>
      </c>
      <c r="B384" s="11" t="s">
        <v>217</v>
      </c>
      <c r="D384" s="153">
        <v>0.22384200000000001</v>
      </c>
      <c r="E384" s="153">
        <v>0.25136599999999998</v>
      </c>
      <c r="F384" s="153">
        <v>0.307085</v>
      </c>
      <c r="G384" s="153">
        <v>0.34542800000000001</v>
      </c>
      <c r="H384" s="153">
        <v>0.47592099999999998</v>
      </c>
      <c r="I384" s="153">
        <v>0.46076</v>
      </c>
      <c r="J384" s="153">
        <v>0.59542300000000004</v>
      </c>
      <c r="K384" s="153">
        <v>0.69910799999999995</v>
      </c>
      <c r="L384" s="153">
        <v>0.44044</v>
      </c>
      <c r="M384" s="153">
        <v>0.356049</v>
      </c>
      <c r="N384" s="153">
        <v>0.29233300000000001</v>
      </c>
      <c r="O384" s="153">
        <v>0.25615500000000002</v>
      </c>
      <c r="P384" s="11"/>
      <c r="Q384" s="29"/>
      <c r="R384" s="30"/>
    </row>
    <row r="385" spans="1:18" ht="12" customHeight="1">
      <c r="A385" s="10" t="s">
        <v>218</v>
      </c>
      <c r="B385" s="11" t="s">
        <v>219</v>
      </c>
      <c r="D385" s="153">
        <v>0.14582200000000001</v>
      </c>
      <c r="E385" s="153">
        <v>0.16614000000000001</v>
      </c>
      <c r="F385" s="153">
        <v>0.16506399999999999</v>
      </c>
      <c r="G385" s="153">
        <v>0.15640399999999999</v>
      </c>
      <c r="H385" s="153">
        <v>0.30296400000000001</v>
      </c>
      <c r="I385" s="153">
        <v>0.29272300000000001</v>
      </c>
      <c r="J385" s="153">
        <v>0.52565399999999995</v>
      </c>
      <c r="K385" s="153">
        <v>0.68861799999999995</v>
      </c>
      <c r="L385" s="153">
        <v>0.25882100000000002</v>
      </c>
      <c r="M385" s="153">
        <v>0.16634199999999999</v>
      </c>
      <c r="N385" s="153">
        <v>0.123533</v>
      </c>
      <c r="O385" s="153">
        <v>0.13569600000000001</v>
      </c>
      <c r="P385" s="11"/>
      <c r="Q385" s="29"/>
      <c r="R385" s="30"/>
    </row>
    <row r="386" spans="1:18" ht="12" customHeight="1">
      <c r="A386" s="10" t="s">
        <v>220</v>
      </c>
      <c r="B386" s="11" t="s">
        <v>221</v>
      </c>
      <c r="D386" s="153">
        <v>0.21729599999999999</v>
      </c>
      <c r="E386" s="153">
        <v>0.28750300000000001</v>
      </c>
      <c r="F386" s="153">
        <v>0.37460900000000003</v>
      </c>
      <c r="G386" s="153">
        <v>0.669624</v>
      </c>
      <c r="H386" s="153">
        <v>0.91442199999999996</v>
      </c>
      <c r="I386" s="153">
        <v>0.76466100000000004</v>
      </c>
      <c r="J386" s="153">
        <v>1.227033</v>
      </c>
      <c r="K386" s="153">
        <v>1.6457360000000001</v>
      </c>
      <c r="L386" s="153">
        <v>0.68709900000000002</v>
      </c>
      <c r="M386" s="153">
        <v>0.51076100000000002</v>
      </c>
      <c r="N386" s="153">
        <v>0.32904600000000001</v>
      </c>
      <c r="O386" s="153">
        <v>0.25248300000000001</v>
      </c>
      <c r="P386" s="11"/>
      <c r="Q386" s="29"/>
      <c r="R386" s="30"/>
    </row>
    <row r="387" spans="1:18" ht="12" customHeight="1">
      <c r="A387" s="10" t="s">
        <v>222</v>
      </c>
      <c r="B387" s="11" t="s">
        <v>223</v>
      </c>
      <c r="D387" s="153">
        <v>0.23552699999999999</v>
      </c>
      <c r="E387" s="153">
        <v>0.26181300000000002</v>
      </c>
      <c r="F387" s="153">
        <v>0.23194500000000001</v>
      </c>
      <c r="G387" s="153">
        <v>0.27679399999999998</v>
      </c>
      <c r="H387" s="153">
        <v>0.429313</v>
      </c>
      <c r="I387" s="153">
        <v>0.38666200000000001</v>
      </c>
      <c r="J387" s="153">
        <v>0.45171499999999998</v>
      </c>
      <c r="K387" s="153">
        <v>0.56787900000000002</v>
      </c>
      <c r="L387" s="153">
        <v>0.34435399999999999</v>
      </c>
      <c r="M387" s="153">
        <v>0.34083799999999997</v>
      </c>
      <c r="N387" s="153">
        <v>0.27482400000000001</v>
      </c>
      <c r="O387" s="153">
        <v>0.231713</v>
      </c>
      <c r="P387" s="11"/>
      <c r="Q387" s="29"/>
      <c r="R387" s="30"/>
    </row>
    <row r="388" spans="1:18" ht="12" customHeight="1">
      <c r="A388" s="10" t="s">
        <v>224</v>
      </c>
      <c r="B388" s="11" t="s">
        <v>519</v>
      </c>
      <c r="D388" s="153">
        <v>0.379579</v>
      </c>
      <c r="E388" s="153">
        <v>0.41531800000000002</v>
      </c>
      <c r="F388" s="153">
        <v>0.48524499999999998</v>
      </c>
      <c r="G388" s="153">
        <v>0.54370099999999999</v>
      </c>
      <c r="H388" s="153">
        <v>0.65049400000000002</v>
      </c>
      <c r="I388" s="153">
        <v>0.61838199999999999</v>
      </c>
      <c r="J388" s="153">
        <v>0.74150099999999997</v>
      </c>
      <c r="K388" s="153">
        <v>0.8599</v>
      </c>
      <c r="L388" s="153">
        <v>0.59558900000000004</v>
      </c>
      <c r="M388" s="153">
        <v>0.54242500000000005</v>
      </c>
      <c r="N388" s="153">
        <v>0.47772700000000001</v>
      </c>
      <c r="O388" s="153">
        <v>0.44398399999999999</v>
      </c>
      <c r="P388" s="11"/>
      <c r="Q388" s="29"/>
      <c r="R388" s="30"/>
    </row>
    <row r="389" spans="1:18" ht="12" customHeight="1">
      <c r="A389" s="10" t="s">
        <v>225</v>
      </c>
      <c r="B389" s="11" t="s">
        <v>226</v>
      </c>
      <c r="D389" s="153">
        <v>0.205125</v>
      </c>
      <c r="E389" s="153">
        <v>0.211504</v>
      </c>
      <c r="F389" s="153">
        <v>0.27170800000000001</v>
      </c>
      <c r="G389" s="153">
        <v>0.44500499999999998</v>
      </c>
      <c r="H389" s="153">
        <v>0.52743700000000004</v>
      </c>
      <c r="I389" s="153">
        <v>0.446938</v>
      </c>
      <c r="J389" s="153">
        <v>0.61627500000000002</v>
      </c>
      <c r="K389" s="153">
        <v>0.76374399999999998</v>
      </c>
      <c r="L389" s="153">
        <v>0.394094</v>
      </c>
      <c r="M389" s="153">
        <v>0.37036999999999998</v>
      </c>
      <c r="N389" s="153">
        <v>0.249974</v>
      </c>
      <c r="O389" s="153">
        <v>0.23061300000000001</v>
      </c>
      <c r="P389" s="11"/>
      <c r="Q389" s="29"/>
      <c r="R389" s="30"/>
    </row>
    <row r="390" spans="1:18" ht="12" customHeight="1">
      <c r="A390" s="10" t="s">
        <v>227</v>
      </c>
      <c r="B390" s="11" t="s">
        <v>228</v>
      </c>
      <c r="D390" s="153">
        <v>0.29629699999999998</v>
      </c>
      <c r="E390" s="153">
        <v>0.32994000000000001</v>
      </c>
      <c r="F390" s="153">
        <v>0.40369899999999997</v>
      </c>
      <c r="G390" s="153">
        <v>0.469802</v>
      </c>
      <c r="H390" s="153">
        <v>0.57452300000000001</v>
      </c>
      <c r="I390" s="153">
        <v>0.56113500000000005</v>
      </c>
      <c r="J390" s="153">
        <v>0.62093299999999996</v>
      </c>
      <c r="K390" s="153">
        <v>0.74168800000000001</v>
      </c>
      <c r="L390" s="153">
        <v>0.54179100000000002</v>
      </c>
      <c r="M390" s="153">
        <v>0.521235</v>
      </c>
      <c r="N390" s="153">
        <v>0.45286599999999999</v>
      </c>
      <c r="O390" s="153">
        <v>0.68157900000000005</v>
      </c>
      <c r="P390" s="11"/>
      <c r="Q390" s="29"/>
      <c r="R390" s="30"/>
    </row>
    <row r="391" spans="1:18" ht="12" customHeight="1">
      <c r="A391" s="10" t="s">
        <v>229</v>
      </c>
      <c r="B391" s="11" t="s">
        <v>15</v>
      </c>
      <c r="D391" s="153">
        <v>0.14716000000000001</v>
      </c>
      <c r="E391" s="153">
        <v>0.15085000000000001</v>
      </c>
      <c r="F391" s="153">
        <v>0.193131</v>
      </c>
      <c r="G391" s="153">
        <v>0.209706</v>
      </c>
      <c r="H391" s="153">
        <v>0.27979599999999999</v>
      </c>
      <c r="I391" s="153">
        <v>0.27629900000000002</v>
      </c>
      <c r="J391" s="153">
        <v>0.30888700000000002</v>
      </c>
      <c r="K391" s="153">
        <v>0.347748</v>
      </c>
      <c r="L391" s="153">
        <v>0.28218100000000002</v>
      </c>
      <c r="M391" s="153">
        <v>0.24204500000000001</v>
      </c>
      <c r="N391" s="153">
        <v>0.19852</v>
      </c>
      <c r="O391" s="153">
        <v>0.17688400000000001</v>
      </c>
      <c r="P391" s="11"/>
      <c r="Q391" s="29"/>
      <c r="R391" s="30"/>
    </row>
    <row r="392" spans="1:18" ht="12" customHeight="1">
      <c r="A392" s="10" t="s">
        <v>230</v>
      </c>
      <c r="B392" s="11" t="s">
        <v>231</v>
      </c>
      <c r="D392" s="153">
        <v>0.304697</v>
      </c>
      <c r="E392" s="153">
        <v>0.34638600000000003</v>
      </c>
      <c r="F392" s="153">
        <v>0.34366400000000003</v>
      </c>
      <c r="G392" s="153">
        <v>0.36949500000000002</v>
      </c>
      <c r="H392" s="153">
        <v>0.44899499999999998</v>
      </c>
      <c r="I392" s="153">
        <v>0.43418200000000001</v>
      </c>
      <c r="J392" s="153">
        <v>0.54388899999999996</v>
      </c>
      <c r="K392" s="153">
        <v>0.67626299999999995</v>
      </c>
      <c r="L392" s="153">
        <v>0.38045099999999998</v>
      </c>
      <c r="M392" s="153">
        <v>0.37601499999999999</v>
      </c>
      <c r="N392" s="153">
        <v>0.323986</v>
      </c>
      <c r="O392" s="153">
        <v>0.366205</v>
      </c>
      <c r="P392" s="11"/>
      <c r="Q392" s="29"/>
      <c r="R392" s="30"/>
    </row>
    <row r="393" spans="1:18" ht="12" customHeight="1">
      <c r="A393" s="10" t="s">
        <v>232</v>
      </c>
      <c r="B393" s="11" t="s">
        <v>520</v>
      </c>
      <c r="D393" s="153">
        <v>0.53975700000000004</v>
      </c>
      <c r="E393" s="153">
        <v>0.58571799999999996</v>
      </c>
      <c r="F393" s="153">
        <v>0.75146900000000005</v>
      </c>
      <c r="G393" s="153">
        <v>1.659287</v>
      </c>
      <c r="H393" s="153">
        <v>2.2762769999999999</v>
      </c>
      <c r="I393" s="153">
        <v>1.9462710000000001</v>
      </c>
      <c r="J393" s="153">
        <v>4.2913629999999996</v>
      </c>
      <c r="K393" s="153">
        <v>5.7752369999999997</v>
      </c>
      <c r="L393" s="153">
        <v>1.702922</v>
      </c>
      <c r="M393" s="153">
        <v>0.99670000000000003</v>
      </c>
      <c r="N393" s="153">
        <v>0.68176000000000003</v>
      </c>
      <c r="O393" s="153">
        <v>0.56609200000000004</v>
      </c>
      <c r="P393" s="11"/>
      <c r="Q393" s="29"/>
      <c r="R393" s="30"/>
    </row>
    <row r="394" spans="1:18" ht="12" customHeight="1">
      <c r="A394" s="10" t="s">
        <v>234</v>
      </c>
      <c r="B394" s="11" t="s">
        <v>233</v>
      </c>
      <c r="D394" s="153">
        <v>0.45886500000000002</v>
      </c>
      <c r="E394" s="153">
        <v>0.54264699999999999</v>
      </c>
      <c r="F394" s="153">
        <v>0.74521099999999996</v>
      </c>
      <c r="G394" s="153">
        <v>1.5464629999999999</v>
      </c>
      <c r="H394" s="153">
        <v>2.2473920000000001</v>
      </c>
      <c r="I394" s="153">
        <v>1.9927349999999999</v>
      </c>
      <c r="J394" s="153">
        <v>3.8724080000000001</v>
      </c>
      <c r="K394" s="153">
        <v>5.2746909999999998</v>
      </c>
      <c r="L394" s="153">
        <v>1.9223980000000001</v>
      </c>
      <c r="M394" s="153">
        <v>0.99218399999999995</v>
      </c>
      <c r="N394" s="153">
        <v>0.61330600000000002</v>
      </c>
      <c r="O394" s="153">
        <v>0.532277</v>
      </c>
      <c r="P394" s="11"/>
      <c r="Q394" s="29"/>
      <c r="R394" s="30"/>
    </row>
    <row r="395" spans="1:18" ht="12" customHeight="1">
      <c r="A395" s="10" t="s">
        <v>235</v>
      </c>
      <c r="B395" s="11" t="s">
        <v>236</v>
      </c>
      <c r="D395" s="153">
        <v>0.66311299999999995</v>
      </c>
      <c r="E395" s="153">
        <v>0.716167</v>
      </c>
      <c r="F395" s="153">
        <v>0.98884700000000003</v>
      </c>
      <c r="G395" s="153">
        <v>1.868012</v>
      </c>
      <c r="H395" s="153">
        <v>2.4505650000000001</v>
      </c>
      <c r="I395" s="153">
        <v>2.3601109999999998</v>
      </c>
      <c r="J395" s="153">
        <v>5.7535369999999997</v>
      </c>
      <c r="K395" s="153">
        <v>7.8188409999999999</v>
      </c>
      <c r="L395" s="153">
        <v>2.3419840000000001</v>
      </c>
      <c r="M395" s="153">
        <v>1.4731080000000001</v>
      </c>
      <c r="N395" s="153">
        <v>0.88502400000000003</v>
      </c>
      <c r="O395" s="153">
        <v>0.72633099999999995</v>
      </c>
      <c r="P395" s="11"/>
      <c r="Q395" s="29"/>
      <c r="R395" s="30"/>
    </row>
    <row r="396" spans="1:18" ht="12" customHeight="1">
      <c r="A396" s="10" t="s">
        <v>237</v>
      </c>
      <c r="B396" s="11" t="s">
        <v>238</v>
      </c>
      <c r="D396" s="153">
        <v>6.8940000000000001E-2</v>
      </c>
      <c r="E396" s="153">
        <v>8.0523999999999998E-2</v>
      </c>
      <c r="F396" s="153">
        <v>9.9345000000000003E-2</v>
      </c>
      <c r="G396" s="153">
        <v>0.123778</v>
      </c>
      <c r="H396" s="153">
        <v>0.19658800000000001</v>
      </c>
      <c r="I396" s="153">
        <v>0.20427999999999999</v>
      </c>
      <c r="J396" s="153">
        <v>0.35788500000000001</v>
      </c>
      <c r="K396" s="153">
        <v>0.51448499999999997</v>
      </c>
      <c r="L396" s="153">
        <v>0.18240899999999999</v>
      </c>
      <c r="M396" s="153">
        <v>0.13125899999999999</v>
      </c>
      <c r="N396" s="153">
        <v>9.1997999999999996E-2</v>
      </c>
      <c r="O396" s="153">
        <v>7.7179999999999999E-2</v>
      </c>
      <c r="P396" s="11"/>
      <c r="Q396" s="29"/>
      <c r="R396" s="30"/>
    </row>
    <row r="397" spans="1:18" ht="12" customHeight="1">
      <c r="A397" s="10" t="s">
        <v>239</v>
      </c>
      <c r="B397" s="11" t="s">
        <v>240</v>
      </c>
      <c r="D397" s="153">
        <v>0.34356900000000001</v>
      </c>
      <c r="E397" s="153">
        <v>0.40805599999999997</v>
      </c>
      <c r="F397" s="153">
        <v>0.52246899999999996</v>
      </c>
      <c r="G397" s="153">
        <v>1.1669050000000001</v>
      </c>
      <c r="H397" s="153">
        <v>1.4398850000000001</v>
      </c>
      <c r="I397" s="153">
        <v>1.3050040000000001</v>
      </c>
      <c r="J397" s="153">
        <v>2.8452120000000001</v>
      </c>
      <c r="K397" s="153">
        <v>3.857424</v>
      </c>
      <c r="L397" s="153">
        <v>1.191673</v>
      </c>
      <c r="M397" s="153">
        <v>0.74335499999999999</v>
      </c>
      <c r="N397" s="153">
        <v>0.457791</v>
      </c>
      <c r="O397" s="153">
        <v>0.39590900000000001</v>
      </c>
      <c r="P397" s="11"/>
      <c r="Q397" s="29"/>
      <c r="R397" s="30"/>
    </row>
    <row r="398" spans="1:18" ht="12" customHeight="1">
      <c r="A398" s="10" t="s">
        <v>241</v>
      </c>
      <c r="B398" s="11" t="s">
        <v>242</v>
      </c>
      <c r="D398" s="153">
        <v>0.48846600000000001</v>
      </c>
      <c r="E398" s="153">
        <v>0.605348</v>
      </c>
      <c r="F398" s="153">
        <v>0.75058100000000005</v>
      </c>
      <c r="G398" s="153">
        <v>1.91605</v>
      </c>
      <c r="H398" s="153">
        <v>2.6587510000000001</v>
      </c>
      <c r="I398" s="153">
        <v>2.8800880000000002</v>
      </c>
      <c r="J398" s="153">
        <v>6.522856</v>
      </c>
      <c r="K398" s="153">
        <v>8.8738200000000003</v>
      </c>
      <c r="L398" s="153">
        <v>2.587653</v>
      </c>
      <c r="M398" s="153">
        <v>1.147554</v>
      </c>
      <c r="N398" s="153">
        <v>0.60321999999999998</v>
      </c>
      <c r="O398" s="153">
        <v>0.54703000000000002</v>
      </c>
      <c r="P398" s="11"/>
      <c r="Q398" s="29"/>
      <c r="R398" s="30"/>
    </row>
    <row r="399" spans="1:18" ht="12" customHeight="1">
      <c r="A399" s="10" t="s">
        <v>243</v>
      </c>
      <c r="B399" s="11" t="s">
        <v>244</v>
      </c>
      <c r="D399" s="153">
        <v>0.62117299999999998</v>
      </c>
      <c r="E399" s="153">
        <v>0.74929100000000004</v>
      </c>
      <c r="F399" s="153">
        <v>0.771069</v>
      </c>
      <c r="G399" s="153">
        <v>0.86801099999999998</v>
      </c>
      <c r="H399" s="153">
        <v>1.1666609999999999</v>
      </c>
      <c r="I399" s="153">
        <v>1.2157480000000001</v>
      </c>
      <c r="J399" s="153">
        <v>2.1427870000000002</v>
      </c>
      <c r="K399" s="153">
        <v>2.8974769999999999</v>
      </c>
      <c r="L399" s="153">
        <v>1.1772130000000001</v>
      </c>
      <c r="M399" s="153">
        <v>0.92750600000000005</v>
      </c>
      <c r="N399" s="153">
        <v>0.55248900000000001</v>
      </c>
      <c r="O399" s="153">
        <v>0.60785999999999996</v>
      </c>
      <c r="P399" s="11"/>
      <c r="Q399" s="29"/>
      <c r="R399" s="30"/>
    </row>
    <row r="400" spans="1:18" ht="12" customHeight="1">
      <c r="A400" s="10" t="s">
        <v>245</v>
      </c>
      <c r="B400" s="11" t="s">
        <v>246</v>
      </c>
      <c r="D400" s="153">
        <v>0.23261699999999999</v>
      </c>
      <c r="E400" s="153">
        <v>0.29806500000000002</v>
      </c>
      <c r="F400" s="153">
        <v>0.29849100000000001</v>
      </c>
      <c r="G400" s="153">
        <v>0.33885100000000001</v>
      </c>
      <c r="H400" s="153">
        <v>0.57176000000000005</v>
      </c>
      <c r="I400" s="153">
        <v>0.56465900000000002</v>
      </c>
      <c r="J400" s="153">
        <v>1.087394</v>
      </c>
      <c r="K400" s="153">
        <v>1.4643809999999999</v>
      </c>
      <c r="L400" s="153">
        <v>0.50467799999999996</v>
      </c>
      <c r="M400" s="153">
        <v>0.36208699999999999</v>
      </c>
      <c r="N400" s="153">
        <v>0.228024</v>
      </c>
      <c r="O400" s="153">
        <v>0.24138000000000001</v>
      </c>
      <c r="P400" s="11"/>
      <c r="Q400" s="29"/>
      <c r="R400" s="30"/>
    </row>
    <row r="401" spans="1:18" ht="12" customHeight="1">
      <c r="A401" s="10" t="s">
        <v>247</v>
      </c>
      <c r="B401" s="11" t="s">
        <v>248</v>
      </c>
      <c r="D401" s="153">
        <v>3.4073180000000001</v>
      </c>
      <c r="E401" s="153">
        <v>4.0706100000000003</v>
      </c>
      <c r="F401" s="153">
        <v>3.8093669999999999</v>
      </c>
      <c r="G401" s="153">
        <v>2.405119</v>
      </c>
      <c r="H401" s="153">
        <v>2.3722539999999999</v>
      </c>
      <c r="I401" s="153">
        <v>2.6833589999999998</v>
      </c>
      <c r="J401" s="153">
        <v>5.1631669999999996</v>
      </c>
      <c r="K401" s="153">
        <v>6.6996370000000001</v>
      </c>
      <c r="L401" s="153">
        <v>2.2118769999999999</v>
      </c>
      <c r="M401" s="153">
        <v>1.5660160000000001</v>
      </c>
      <c r="N401" s="153">
        <v>1.3266150000000001</v>
      </c>
      <c r="O401" s="153">
        <v>2.5153150000000002</v>
      </c>
      <c r="P401" s="11"/>
      <c r="Q401" s="29"/>
      <c r="R401" s="30"/>
    </row>
    <row r="402" spans="1:18" ht="12" customHeight="1">
      <c r="A402" s="10" t="s">
        <v>249</v>
      </c>
      <c r="B402" s="11" t="s">
        <v>521</v>
      </c>
      <c r="D402" s="153">
        <v>1.512154</v>
      </c>
      <c r="E402" s="153">
        <v>1.843251</v>
      </c>
      <c r="F402" s="153">
        <v>2.0408230000000001</v>
      </c>
      <c r="G402" s="153">
        <v>2.8011879999999998</v>
      </c>
      <c r="H402" s="153">
        <v>3.5179990000000001</v>
      </c>
      <c r="I402" s="153">
        <v>3.6458379999999999</v>
      </c>
      <c r="J402" s="153">
        <v>6.043882</v>
      </c>
      <c r="K402" s="153">
        <v>7.9717919999999998</v>
      </c>
      <c r="L402" s="153">
        <v>3.4528310000000002</v>
      </c>
      <c r="M402" s="153">
        <v>2.3565580000000002</v>
      </c>
      <c r="N402" s="153">
        <v>1.354155</v>
      </c>
      <c r="O402" s="153">
        <v>1.431778</v>
      </c>
      <c r="P402" s="11"/>
      <c r="Q402" s="29"/>
      <c r="R402" s="30"/>
    </row>
    <row r="403" spans="1:18" ht="12" customHeight="1">
      <c r="A403" s="10" t="s">
        <v>251</v>
      </c>
      <c r="B403" s="11" t="s">
        <v>250</v>
      </c>
      <c r="D403" s="153">
        <v>4.5322000000000001E-2</v>
      </c>
      <c r="E403" s="153">
        <v>5.3466E-2</v>
      </c>
      <c r="F403" s="153">
        <v>7.2539000000000006E-2</v>
      </c>
      <c r="G403" s="153">
        <v>0.33579900000000001</v>
      </c>
      <c r="H403" s="153">
        <v>0.68936600000000003</v>
      </c>
      <c r="I403" s="153">
        <v>0.91706799999999999</v>
      </c>
      <c r="J403" s="153">
        <v>1.5340860000000001</v>
      </c>
      <c r="K403" s="153">
        <v>1.9303399999999999</v>
      </c>
      <c r="L403" s="153">
        <v>1.0627070000000001</v>
      </c>
      <c r="M403" s="153">
        <v>0.43469200000000002</v>
      </c>
      <c r="N403" s="153">
        <v>7.9344999999999999E-2</v>
      </c>
      <c r="O403" s="153">
        <v>5.6769E-2</v>
      </c>
      <c r="P403" s="11"/>
      <c r="Q403" s="29"/>
      <c r="R403" s="30"/>
    </row>
    <row r="404" spans="1:18" ht="12" customHeight="1">
      <c r="A404" s="10" t="s">
        <v>252</v>
      </c>
      <c r="B404" s="11" t="s">
        <v>253</v>
      </c>
      <c r="D404" s="153">
        <v>0.123097</v>
      </c>
      <c r="E404" s="153">
        <v>0.12900900000000001</v>
      </c>
      <c r="F404" s="153">
        <v>0.12314700000000001</v>
      </c>
      <c r="G404" s="153">
        <v>0.106062</v>
      </c>
      <c r="H404" s="153">
        <v>8.4377999999999995E-2</v>
      </c>
      <c r="I404" s="153">
        <v>6.1033999999999998E-2</v>
      </c>
      <c r="J404" s="153">
        <v>8.5070999999999994E-2</v>
      </c>
      <c r="K404" s="153">
        <v>0.102369</v>
      </c>
      <c r="L404" s="153">
        <v>3.1698999999999998E-2</v>
      </c>
      <c r="M404" s="153">
        <v>6.4446000000000003E-2</v>
      </c>
      <c r="N404" s="153">
        <v>8.3420999999999995E-2</v>
      </c>
      <c r="O404" s="153">
        <v>0.106943</v>
      </c>
      <c r="P404" s="11"/>
      <c r="Q404" s="29"/>
      <c r="R404" s="30"/>
    </row>
    <row r="405" spans="1:18" ht="12" customHeight="1">
      <c r="A405" s="10" t="s">
        <v>254</v>
      </c>
      <c r="B405" s="11" t="s">
        <v>255</v>
      </c>
      <c r="D405" s="153">
        <v>0.11756999999999999</v>
      </c>
      <c r="E405" s="153">
        <v>0.119565</v>
      </c>
      <c r="F405" s="153">
        <v>0.107999</v>
      </c>
      <c r="G405" s="153">
        <v>8.7301000000000004E-2</v>
      </c>
      <c r="H405" s="153">
        <v>8.1797999999999996E-2</v>
      </c>
      <c r="I405" s="153">
        <v>5.7646999999999997E-2</v>
      </c>
      <c r="J405" s="153">
        <v>8.7758000000000003E-2</v>
      </c>
      <c r="K405" s="153">
        <v>0.10048899999999999</v>
      </c>
      <c r="L405" s="153">
        <v>3.6027000000000003E-2</v>
      </c>
      <c r="M405" s="153">
        <v>6.0047000000000003E-2</v>
      </c>
      <c r="N405" s="153">
        <v>8.0984E-2</v>
      </c>
      <c r="O405" s="153">
        <v>9.5716999999999997E-2</v>
      </c>
      <c r="P405" s="11"/>
      <c r="Q405" s="29"/>
      <c r="R405" s="30"/>
    </row>
    <row r="406" spans="1:18" ht="12" customHeight="1">
      <c r="A406" s="10" t="s">
        <v>256</v>
      </c>
      <c r="B406" s="11" t="s">
        <v>257</v>
      </c>
      <c r="D406" s="155" t="s">
        <v>546</v>
      </c>
      <c r="E406" s="155" t="s">
        <v>546</v>
      </c>
      <c r="F406" s="155" t="s">
        <v>546</v>
      </c>
      <c r="G406" s="155" t="s">
        <v>546</v>
      </c>
      <c r="H406" s="155" t="s">
        <v>546</v>
      </c>
      <c r="I406" s="155" t="s">
        <v>546</v>
      </c>
      <c r="J406" s="155" t="s">
        <v>546</v>
      </c>
      <c r="K406" s="155" t="s">
        <v>546</v>
      </c>
      <c r="L406" s="155" t="s">
        <v>546</v>
      </c>
      <c r="M406" s="155" t="s">
        <v>546</v>
      </c>
      <c r="N406" s="155" t="s">
        <v>546</v>
      </c>
      <c r="O406" s="155" t="s">
        <v>546</v>
      </c>
      <c r="P406" s="11"/>
      <c r="Q406" s="29"/>
      <c r="R406" s="30"/>
    </row>
    <row r="407" spans="1:18" ht="12" customHeight="1">
      <c r="A407" s="10" t="s">
        <v>258</v>
      </c>
      <c r="B407" s="11" t="s">
        <v>259</v>
      </c>
      <c r="D407" s="153">
        <v>0.121494</v>
      </c>
      <c r="E407" s="153">
        <v>8.9675000000000005E-2</v>
      </c>
      <c r="F407" s="153">
        <v>0.117675</v>
      </c>
      <c r="G407" s="153">
        <v>0.102158</v>
      </c>
      <c r="H407" s="153">
        <v>0.123891</v>
      </c>
      <c r="I407" s="153">
        <v>8.6088999999999999E-2</v>
      </c>
      <c r="J407" s="153">
        <v>0.11838799999999999</v>
      </c>
      <c r="K407" s="153">
        <v>0.14273</v>
      </c>
      <c r="L407" s="153">
        <v>0.10791100000000001</v>
      </c>
      <c r="M407" s="153">
        <v>0.14499400000000001</v>
      </c>
      <c r="N407" s="153">
        <v>0.13809299999999999</v>
      </c>
      <c r="O407" s="153">
        <v>0.132218</v>
      </c>
      <c r="P407" s="11"/>
      <c r="Q407" s="29"/>
      <c r="R407" s="30"/>
    </row>
    <row r="408" spans="1:18" ht="12" customHeight="1">
      <c r="A408" s="10" t="s">
        <v>260</v>
      </c>
      <c r="B408" s="11" t="s">
        <v>18</v>
      </c>
      <c r="D408" s="155" t="s">
        <v>546</v>
      </c>
      <c r="E408" s="155" t="s">
        <v>546</v>
      </c>
      <c r="F408" s="155" t="s">
        <v>546</v>
      </c>
      <c r="G408" s="155" t="s">
        <v>546</v>
      </c>
      <c r="H408" s="155" t="s">
        <v>546</v>
      </c>
      <c r="I408" s="155" t="s">
        <v>546</v>
      </c>
      <c r="J408" s="155" t="s">
        <v>546</v>
      </c>
      <c r="K408" s="155" t="s">
        <v>546</v>
      </c>
      <c r="L408" s="155" t="s">
        <v>546</v>
      </c>
      <c r="M408" s="155" t="s">
        <v>546</v>
      </c>
      <c r="N408" s="155" t="s">
        <v>546</v>
      </c>
      <c r="O408" s="155" t="s">
        <v>546</v>
      </c>
      <c r="P408" s="11"/>
      <c r="Q408" s="29"/>
      <c r="R408" s="30"/>
    </row>
    <row r="409" spans="1:18" ht="12" customHeight="1">
      <c r="A409" s="10" t="s">
        <v>522</v>
      </c>
      <c r="B409" s="11" t="s">
        <v>523</v>
      </c>
      <c r="D409" s="153">
        <v>3.3644E-2</v>
      </c>
      <c r="E409" s="153">
        <v>3.678E-2</v>
      </c>
      <c r="F409" s="153">
        <v>3.6297000000000003E-2</v>
      </c>
      <c r="G409" s="153">
        <v>4.8715000000000001E-2</v>
      </c>
      <c r="H409" s="153">
        <v>5.4061999999999999E-2</v>
      </c>
      <c r="I409" s="153">
        <v>4.7993000000000001E-2</v>
      </c>
      <c r="J409" s="153">
        <v>4.2719E-2</v>
      </c>
      <c r="K409" s="153">
        <v>5.1408000000000002E-2</v>
      </c>
      <c r="L409" s="153">
        <v>5.3519999999999998E-2</v>
      </c>
      <c r="M409" s="153">
        <v>5.1979999999999998E-2</v>
      </c>
      <c r="N409" s="153">
        <v>5.6451000000000001E-2</v>
      </c>
      <c r="O409" s="153">
        <v>4.1770000000000002E-2</v>
      </c>
      <c r="P409" s="11"/>
      <c r="Q409" s="29"/>
      <c r="R409" s="30"/>
    </row>
    <row r="410" spans="1:18" ht="12" customHeight="1">
      <c r="A410" s="10" t="s">
        <v>261</v>
      </c>
      <c r="B410" s="11" t="s">
        <v>7</v>
      </c>
      <c r="D410" s="153">
        <v>0.130994</v>
      </c>
      <c r="E410" s="153">
        <v>0.16211300000000001</v>
      </c>
      <c r="F410" s="153">
        <v>0.226517</v>
      </c>
      <c r="G410" s="153">
        <v>0.33309100000000003</v>
      </c>
      <c r="H410" s="153">
        <v>0.47264600000000001</v>
      </c>
      <c r="I410" s="153">
        <v>0.77878999999999998</v>
      </c>
      <c r="J410" s="153">
        <v>1.624752</v>
      </c>
      <c r="K410" s="153">
        <v>2.1119189999999999</v>
      </c>
      <c r="L410" s="153">
        <v>0.53852999999999995</v>
      </c>
      <c r="M410" s="153">
        <v>0.30762699999999998</v>
      </c>
      <c r="N410" s="153">
        <v>0.224021</v>
      </c>
      <c r="O410" s="153">
        <v>0.150281</v>
      </c>
      <c r="P410" s="11"/>
      <c r="Q410" s="29"/>
      <c r="R410" s="30"/>
    </row>
    <row r="411" spans="1:18" ht="12" customHeight="1">
      <c r="A411" s="10" t="s">
        <v>524</v>
      </c>
      <c r="B411" s="11" t="s">
        <v>525</v>
      </c>
      <c r="D411" s="153">
        <v>3.8658999999999999E-2</v>
      </c>
      <c r="E411" s="153">
        <v>4.1045999999999999E-2</v>
      </c>
      <c r="F411" s="153">
        <v>4.0980000000000003E-2</v>
      </c>
      <c r="G411" s="153">
        <v>3.9802999999999998E-2</v>
      </c>
      <c r="H411" s="153">
        <v>4.1557999999999998E-2</v>
      </c>
      <c r="I411" s="153">
        <v>3.5451999999999997E-2</v>
      </c>
      <c r="J411" s="153">
        <v>2.7286000000000001E-2</v>
      </c>
      <c r="K411" s="153">
        <v>2.4892000000000001E-2</v>
      </c>
      <c r="L411" s="153">
        <v>3.6794E-2</v>
      </c>
      <c r="M411" s="153">
        <v>4.8933999999999998E-2</v>
      </c>
      <c r="N411" s="153">
        <v>5.8388000000000002E-2</v>
      </c>
      <c r="O411" s="153">
        <v>7.6569999999999999E-2</v>
      </c>
      <c r="P411" s="11"/>
      <c r="Q411" s="29"/>
      <c r="R411" s="30"/>
    </row>
    <row r="412" spans="1:18" ht="12" customHeight="1">
      <c r="A412" s="10" t="s">
        <v>526</v>
      </c>
      <c r="B412" s="11" t="s">
        <v>527</v>
      </c>
      <c r="D412" s="153">
        <v>4.7854000000000001E-2</v>
      </c>
      <c r="E412" s="153">
        <v>4.7517999999999998E-2</v>
      </c>
      <c r="F412" s="153">
        <v>4.2435E-2</v>
      </c>
      <c r="G412" s="153">
        <v>4.3421000000000001E-2</v>
      </c>
      <c r="H412" s="153">
        <v>5.0298000000000002E-2</v>
      </c>
      <c r="I412" s="153">
        <v>4.5365999999999997E-2</v>
      </c>
      <c r="J412" s="153">
        <v>3.9824999999999999E-2</v>
      </c>
      <c r="K412" s="153">
        <v>5.6576000000000001E-2</v>
      </c>
      <c r="L412" s="153">
        <v>4.1419999999999998E-2</v>
      </c>
      <c r="M412" s="153">
        <v>4.6539999999999998E-2</v>
      </c>
      <c r="N412" s="153">
        <v>5.0675999999999999E-2</v>
      </c>
      <c r="O412" s="153">
        <v>4.9451000000000002E-2</v>
      </c>
      <c r="P412" s="11"/>
      <c r="Q412" s="29"/>
      <c r="R412" s="30"/>
    </row>
    <row r="413" spans="1:18" ht="12" customHeight="1">
      <c r="A413" s="10" t="s">
        <v>262</v>
      </c>
      <c r="B413" s="11" t="s">
        <v>263</v>
      </c>
      <c r="D413" s="153">
        <v>0.524204</v>
      </c>
      <c r="E413" s="153">
        <v>0.49057200000000001</v>
      </c>
      <c r="F413" s="153">
        <v>0.57107300000000005</v>
      </c>
      <c r="G413" s="153">
        <v>0.550284</v>
      </c>
      <c r="H413" s="153">
        <v>0.52951300000000001</v>
      </c>
      <c r="I413" s="153">
        <v>0.58879899999999996</v>
      </c>
      <c r="J413" s="153">
        <v>0.795431</v>
      </c>
      <c r="K413" s="153">
        <v>0.83160599999999996</v>
      </c>
      <c r="L413" s="153">
        <v>0.55142800000000003</v>
      </c>
      <c r="M413" s="153">
        <v>0.51031199999999999</v>
      </c>
      <c r="N413" s="153">
        <v>0.54263899999999998</v>
      </c>
      <c r="O413" s="153">
        <v>0.54784900000000003</v>
      </c>
      <c r="P413" s="11"/>
      <c r="Q413" s="29"/>
      <c r="R413" s="30"/>
    </row>
    <row r="414" spans="1:18" ht="12" customHeight="1">
      <c r="A414" s="10" t="s">
        <v>264</v>
      </c>
      <c r="B414" s="11" t="s">
        <v>528</v>
      </c>
      <c r="D414" s="153">
        <v>0.247613</v>
      </c>
      <c r="E414" s="153">
        <v>0.18320800000000001</v>
      </c>
      <c r="F414" s="153">
        <v>0.149363</v>
      </c>
      <c r="G414" s="153">
        <v>7.7951999999999994E-2</v>
      </c>
      <c r="H414" s="153">
        <v>4.5828000000000001E-2</v>
      </c>
      <c r="I414" s="153">
        <v>0.12609200000000001</v>
      </c>
      <c r="J414" s="153">
        <v>0.36220000000000002</v>
      </c>
      <c r="K414" s="153">
        <v>0.52825699999999998</v>
      </c>
      <c r="L414" s="153">
        <v>0.113496</v>
      </c>
      <c r="M414" s="153">
        <v>5.3282000000000003E-2</v>
      </c>
      <c r="N414" s="153">
        <v>6.7554000000000003E-2</v>
      </c>
      <c r="O414" s="153">
        <v>0.20851700000000001</v>
      </c>
      <c r="P414" s="11"/>
      <c r="Q414" s="29"/>
      <c r="R414" s="30"/>
    </row>
    <row r="415" spans="1:18" ht="12" customHeight="1">
      <c r="A415" s="10" t="s">
        <v>265</v>
      </c>
      <c r="B415" s="11" t="s">
        <v>266</v>
      </c>
      <c r="D415" s="153">
        <v>0.39045000000000002</v>
      </c>
      <c r="E415" s="153">
        <v>0.39924199999999999</v>
      </c>
      <c r="F415" s="153">
        <v>0.49581799999999998</v>
      </c>
      <c r="G415" s="153">
        <v>0.62815500000000002</v>
      </c>
      <c r="H415" s="153">
        <v>0.61733300000000002</v>
      </c>
      <c r="I415" s="153">
        <v>1.041938</v>
      </c>
      <c r="J415" s="153">
        <v>1.395672</v>
      </c>
      <c r="K415" s="153">
        <v>1.8203560000000001</v>
      </c>
      <c r="L415" s="153">
        <v>0.91889399999999999</v>
      </c>
      <c r="M415" s="153">
        <v>0.37496800000000002</v>
      </c>
      <c r="N415" s="153">
        <v>0.31287300000000001</v>
      </c>
      <c r="O415" s="153">
        <v>0.33889000000000002</v>
      </c>
      <c r="P415" s="11"/>
      <c r="Q415" s="29"/>
      <c r="R415" s="30"/>
    </row>
    <row r="416" spans="1:18" ht="12" customHeight="1">
      <c r="A416" s="10" t="s">
        <v>267</v>
      </c>
      <c r="B416" s="11" t="s">
        <v>268</v>
      </c>
      <c r="D416" s="153">
        <v>1.226321</v>
      </c>
      <c r="E416" s="153">
        <v>1.1774979999999999</v>
      </c>
      <c r="F416" s="153">
        <v>1.272702</v>
      </c>
      <c r="G416" s="153">
        <v>1.2779050000000001</v>
      </c>
      <c r="H416" s="153">
        <v>1.2185410000000001</v>
      </c>
      <c r="I416" s="153">
        <v>1.3452090000000001</v>
      </c>
      <c r="J416" s="153">
        <v>1.6176189999999999</v>
      </c>
      <c r="K416" s="153">
        <v>1.724251</v>
      </c>
      <c r="L416" s="153">
        <v>1.2781610000000001</v>
      </c>
      <c r="M416" s="153">
        <v>1.1705810000000001</v>
      </c>
      <c r="N416" s="153">
        <v>1.282616</v>
      </c>
      <c r="O416" s="153">
        <v>1.2894140000000001</v>
      </c>
      <c r="P416" s="11"/>
      <c r="Q416" s="29"/>
      <c r="R416" s="30"/>
    </row>
    <row r="417" spans="1:18" ht="12" customHeight="1">
      <c r="A417" s="10" t="s">
        <v>288</v>
      </c>
      <c r="B417" s="11" t="s">
        <v>289</v>
      </c>
      <c r="D417" s="153">
        <v>0.234515</v>
      </c>
      <c r="E417" s="153">
        <v>0.22551399999999999</v>
      </c>
      <c r="F417" s="153">
        <v>0.19484499999999999</v>
      </c>
      <c r="G417" s="153">
        <v>0.21648800000000001</v>
      </c>
      <c r="H417" s="153">
        <v>0.25573000000000001</v>
      </c>
      <c r="I417" s="153">
        <v>0.79631600000000002</v>
      </c>
      <c r="J417" s="153">
        <v>1.3408770000000001</v>
      </c>
      <c r="K417" s="153">
        <v>1.709797</v>
      </c>
      <c r="L417" s="153">
        <v>0.518648</v>
      </c>
      <c r="M417" s="153">
        <v>0.21604300000000001</v>
      </c>
      <c r="N417" s="153">
        <v>0.162832</v>
      </c>
      <c r="O417" s="153">
        <v>0.22051200000000001</v>
      </c>
      <c r="P417" s="11"/>
      <c r="Q417" s="29"/>
      <c r="R417" s="30"/>
    </row>
    <row r="418" spans="1:18" ht="12" customHeight="1">
      <c r="A418" s="10" t="s">
        <v>290</v>
      </c>
      <c r="B418" s="11" t="s">
        <v>291</v>
      </c>
      <c r="D418" s="153">
        <v>1.4139000000000001E-2</v>
      </c>
      <c r="E418" s="153">
        <v>1.6029999999999999E-2</v>
      </c>
      <c r="F418" s="153">
        <v>1.6143000000000001E-2</v>
      </c>
      <c r="G418" s="153">
        <v>1.7333000000000001E-2</v>
      </c>
      <c r="H418" s="153">
        <v>2.6841E-2</v>
      </c>
      <c r="I418" s="153">
        <v>4.1651000000000001E-2</v>
      </c>
      <c r="J418" s="153">
        <v>8.5865999999999998E-2</v>
      </c>
      <c r="K418" s="153">
        <v>0.127001</v>
      </c>
      <c r="L418" s="153">
        <v>3.2292000000000001E-2</v>
      </c>
      <c r="M418" s="153">
        <v>1.4107E-2</v>
      </c>
      <c r="N418" s="153">
        <v>1.2522999999999999E-2</v>
      </c>
      <c r="O418" s="153">
        <v>1.0023000000000001E-2</v>
      </c>
      <c r="P418" s="11"/>
      <c r="Q418" s="29"/>
      <c r="R418" s="30"/>
    </row>
    <row r="419" spans="1:18" ht="12" customHeight="1">
      <c r="A419" s="10" t="s">
        <v>292</v>
      </c>
      <c r="B419" s="11" t="s">
        <v>293</v>
      </c>
      <c r="D419" s="153">
        <v>0.39849600000000002</v>
      </c>
      <c r="E419" s="153">
        <v>0.36612699999999998</v>
      </c>
      <c r="F419" s="153">
        <v>0.53720999999999997</v>
      </c>
      <c r="G419" s="153">
        <v>0.69713099999999995</v>
      </c>
      <c r="H419" s="153">
        <v>0.76687899999999998</v>
      </c>
      <c r="I419" s="153">
        <v>1.1050580000000001</v>
      </c>
      <c r="J419" s="153">
        <v>1.408223</v>
      </c>
      <c r="K419" s="153">
        <v>1.788726</v>
      </c>
      <c r="L419" s="153">
        <v>0.93481999999999998</v>
      </c>
      <c r="M419" s="153">
        <v>0.742838</v>
      </c>
      <c r="N419" s="153">
        <v>0.486095</v>
      </c>
      <c r="O419" s="153">
        <v>0.4955</v>
      </c>
      <c r="P419" s="11"/>
      <c r="Q419" s="29"/>
      <c r="R419" s="30"/>
    </row>
    <row r="420" spans="1:18" ht="12" customHeight="1">
      <c r="A420" s="10" t="s">
        <v>294</v>
      </c>
      <c r="B420" s="11" t="s">
        <v>295</v>
      </c>
      <c r="D420" s="153">
        <v>0.18284</v>
      </c>
      <c r="E420" s="153">
        <v>0.19164</v>
      </c>
      <c r="F420" s="153">
        <v>0.28237200000000001</v>
      </c>
      <c r="G420" s="153">
        <v>0.37053599999999998</v>
      </c>
      <c r="H420" s="153">
        <v>0.44475900000000002</v>
      </c>
      <c r="I420" s="153">
        <v>1.5603610000000001</v>
      </c>
      <c r="J420" s="153">
        <v>2.8153280000000001</v>
      </c>
      <c r="K420" s="153">
        <v>3.808176</v>
      </c>
      <c r="L420" s="153">
        <v>1.2595209999999999</v>
      </c>
      <c r="M420" s="153">
        <v>0.37290899999999999</v>
      </c>
      <c r="N420" s="153">
        <v>0.290765</v>
      </c>
      <c r="O420" s="153">
        <v>0.28359800000000002</v>
      </c>
      <c r="P420" s="11"/>
      <c r="Q420" s="29"/>
      <c r="R420" s="30"/>
    </row>
    <row r="421" spans="1:18" ht="12" customHeight="1">
      <c r="A421" s="10" t="s">
        <v>296</v>
      </c>
      <c r="B421" s="11" t="s">
        <v>297</v>
      </c>
      <c r="D421" s="153">
        <v>5.8465000000000003E-2</v>
      </c>
      <c r="E421" s="153">
        <v>4.2405999999999999E-2</v>
      </c>
      <c r="F421" s="153">
        <v>6.3920000000000005E-2</v>
      </c>
      <c r="G421" s="153">
        <v>9.8386000000000001E-2</v>
      </c>
      <c r="H421" s="153">
        <v>0.130243</v>
      </c>
      <c r="I421" s="153">
        <v>0.258654</v>
      </c>
      <c r="J421" s="153">
        <v>0.45105400000000001</v>
      </c>
      <c r="K421" s="153">
        <v>0.55717700000000003</v>
      </c>
      <c r="L421" s="153">
        <v>0.204767</v>
      </c>
      <c r="M421" s="153">
        <v>7.8629000000000004E-2</v>
      </c>
      <c r="N421" s="153">
        <v>5.9282000000000001E-2</v>
      </c>
      <c r="O421" s="153">
        <v>6.0463999999999997E-2</v>
      </c>
      <c r="P421" s="11"/>
      <c r="Q421" s="29"/>
      <c r="R421" s="30"/>
    </row>
    <row r="422" spans="1:18" ht="12" customHeight="1">
      <c r="A422" s="10" t="s">
        <v>298</v>
      </c>
      <c r="B422" s="11" t="s">
        <v>299</v>
      </c>
      <c r="D422" s="153">
        <v>6.5807000000000004E-2</v>
      </c>
      <c r="E422" s="153">
        <v>7.0433999999999997E-2</v>
      </c>
      <c r="F422" s="153">
        <v>7.8265000000000001E-2</v>
      </c>
      <c r="G422" s="153">
        <v>0.126834</v>
      </c>
      <c r="H422" s="153">
        <v>0.17599100000000001</v>
      </c>
      <c r="I422" s="153">
        <v>0.85143800000000003</v>
      </c>
      <c r="J422" s="153">
        <v>1.8204659999999999</v>
      </c>
      <c r="K422" s="153">
        <v>2.329691</v>
      </c>
      <c r="L422" s="153">
        <v>0.72648599999999997</v>
      </c>
      <c r="M422" s="153">
        <v>0.13438700000000001</v>
      </c>
      <c r="N422" s="153">
        <v>8.1566E-2</v>
      </c>
      <c r="O422" s="153">
        <v>7.6496999999999996E-2</v>
      </c>
      <c r="P422" s="11"/>
      <c r="Q422" s="29"/>
      <c r="R422" s="30"/>
    </row>
    <row r="423" spans="1:18" ht="12" customHeight="1">
      <c r="A423" s="10" t="s">
        <v>300</v>
      </c>
      <c r="B423" s="11" t="s">
        <v>301</v>
      </c>
      <c r="D423" s="153">
        <v>0.27415600000000001</v>
      </c>
      <c r="E423" s="153">
        <v>0.29030299999999998</v>
      </c>
      <c r="F423" s="153">
        <v>0.38696399999999997</v>
      </c>
      <c r="G423" s="153">
        <v>0.51777399999999996</v>
      </c>
      <c r="H423" s="153">
        <v>0.62609800000000004</v>
      </c>
      <c r="I423" s="153">
        <v>1.0335970000000001</v>
      </c>
      <c r="J423" s="153">
        <v>1.4384209999999999</v>
      </c>
      <c r="K423" s="153">
        <v>1.97692</v>
      </c>
      <c r="L423" s="153">
        <v>1.026335</v>
      </c>
      <c r="M423" s="153">
        <v>0.49031999999999998</v>
      </c>
      <c r="N423" s="153">
        <v>0.30694100000000002</v>
      </c>
      <c r="O423" s="153">
        <v>0.28304000000000001</v>
      </c>
      <c r="P423" s="11"/>
      <c r="Q423" s="29"/>
      <c r="R423" s="30"/>
    </row>
    <row r="424" spans="1:18" ht="12" customHeight="1">
      <c r="A424" s="10" t="s">
        <v>302</v>
      </c>
      <c r="B424" s="11" t="s">
        <v>303</v>
      </c>
      <c r="D424" s="153">
        <v>8.4963999999999998E-2</v>
      </c>
      <c r="E424" s="153">
        <v>9.4727000000000006E-2</v>
      </c>
      <c r="F424" s="153">
        <v>0.113326</v>
      </c>
      <c r="G424" s="153">
        <v>0.17316699999999999</v>
      </c>
      <c r="H424" s="153">
        <v>0.28408499999999998</v>
      </c>
      <c r="I424" s="153">
        <v>1.2096210000000001</v>
      </c>
      <c r="J424" s="153">
        <v>1.776</v>
      </c>
      <c r="K424" s="153">
        <v>2.3402120000000002</v>
      </c>
      <c r="L424" s="153">
        <v>1.084681</v>
      </c>
      <c r="M424" s="153">
        <v>0.26010499999999998</v>
      </c>
      <c r="N424" s="153">
        <v>0.10978</v>
      </c>
      <c r="O424" s="153">
        <v>0.10292</v>
      </c>
      <c r="P424" s="11"/>
      <c r="Q424" s="29"/>
      <c r="R424" s="30"/>
    </row>
    <row r="425" spans="1:18" ht="12" customHeight="1">
      <c r="A425" s="10" t="s">
        <v>270</v>
      </c>
      <c r="B425" s="11" t="s">
        <v>271</v>
      </c>
      <c r="D425" s="153">
        <v>1.151189</v>
      </c>
      <c r="E425" s="153">
        <v>0.77020999999999995</v>
      </c>
      <c r="F425" s="153">
        <v>0.53180400000000005</v>
      </c>
      <c r="G425" s="153">
        <v>0.20616499999999999</v>
      </c>
      <c r="H425" s="153">
        <v>0.170375</v>
      </c>
      <c r="I425" s="153">
        <v>0.53424499999999997</v>
      </c>
      <c r="J425" s="153">
        <v>1.774027</v>
      </c>
      <c r="K425" s="153">
        <v>2.9826329999999999</v>
      </c>
      <c r="L425" s="153">
        <v>0.58896300000000001</v>
      </c>
      <c r="M425" s="153">
        <v>0.26907900000000001</v>
      </c>
      <c r="N425" s="153">
        <v>0.33580700000000002</v>
      </c>
      <c r="O425" s="153">
        <v>1.1796059999999999</v>
      </c>
      <c r="P425" s="11"/>
      <c r="Q425" s="29"/>
      <c r="R425" s="30"/>
    </row>
    <row r="426" spans="1:18" ht="12" customHeight="1">
      <c r="A426" s="10" t="s">
        <v>272</v>
      </c>
      <c r="B426" s="11" t="s">
        <v>273</v>
      </c>
      <c r="D426" s="153">
        <v>1.2515620000000001</v>
      </c>
      <c r="E426" s="153">
        <v>0.95162199999999997</v>
      </c>
      <c r="F426" s="153">
        <v>0.73854799999999998</v>
      </c>
      <c r="G426" s="153">
        <v>0.245777</v>
      </c>
      <c r="H426" s="153">
        <v>0.21521299999999999</v>
      </c>
      <c r="I426" s="153">
        <v>0.71622399999999997</v>
      </c>
      <c r="J426" s="153">
        <v>2.0186190000000002</v>
      </c>
      <c r="K426" s="153">
        <v>2.6373799999999998</v>
      </c>
      <c r="L426" s="153">
        <v>0.77544999999999997</v>
      </c>
      <c r="M426" s="153">
        <v>0.24638299999999999</v>
      </c>
      <c r="N426" s="153">
        <v>0.22777500000000001</v>
      </c>
      <c r="O426" s="153">
        <v>1.000837</v>
      </c>
      <c r="P426" s="11"/>
      <c r="Q426" s="29"/>
      <c r="R426" s="30"/>
    </row>
    <row r="427" spans="1:18" ht="12" customHeight="1">
      <c r="A427" s="10" t="s">
        <v>274</v>
      </c>
      <c r="B427" s="11" t="s">
        <v>275</v>
      </c>
      <c r="D427" s="153">
        <v>1.0898600000000001</v>
      </c>
      <c r="E427" s="153">
        <v>1.0186539999999999</v>
      </c>
      <c r="F427" s="153">
        <v>1.1926030000000001</v>
      </c>
      <c r="G427" s="153">
        <v>1.4671350000000001</v>
      </c>
      <c r="H427" s="153">
        <v>1.4166669999999999</v>
      </c>
      <c r="I427" s="153">
        <v>2.8291110000000002</v>
      </c>
      <c r="J427" s="153">
        <v>3.2960259999999999</v>
      </c>
      <c r="K427" s="153">
        <v>4.1518750000000004</v>
      </c>
      <c r="L427" s="153">
        <v>1.8501909999999999</v>
      </c>
      <c r="M427" s="153">
        <v>1.076846</v>
      </c>
      <c r="N427" s="153">
        <v>1.169343</v>
      </c>
      <c r="O427" s="153">
        <v>1.1355789999999999</v>
      </c>
      <c r="P427" s="11"/>
      <c r="Q427" s="29"/>
      <c r="R427" s="30"/>
    </row>
    <row r="428" spans="1:18" ht="12" customHeight="1">
      <c r="A428" s="10" t="s">
        <v>276</v>
      </c>
      <c r="B428" s="11" t="s">
        <v>277</v>
      </c>
      <c r="D428" s="153">
        <v>0.206208</v>
      </c>
      <c r="E428" s="153">
        <v>0.195496</v>
      </c>
      <c r="F428" s="153">
        <v>0.23521600000000001</v>
      </c>
      <c r="G428" s="153">
        <v>0.25419399999999998</v>
      </c>
      <c r="H428" s="153">
        <v>0.28271099999999999</v>
      </c>
      <c r="I428" s="153">
        <v>0.470055</v>
      </c>
      <c r="J428" s="153">
        <v>0.642764</v>
      </c>
      <c r="K428" s="153">
        <v>0.84397999999999995</v>
      </c>
      <c r="L428" s="153">
        <v>0.35550999999999999</v>
      </c>
      <c r="M428" s="153">
        <v>0.21856</v>
      </c>
      <c r="N428" s="153">
        <v>0.19822799999999999</v>
      </c>
      <c r="O428" s="153">
        <v>0.228575</v>
      </c>
      <c r="P428" s="11"/>
      <c r="Q428" s="29"/>
      <c r="R428" s="30"/>
    </row>
    <row r="429" spans="1:18" ht="12" customHeight="1">
      <c r="A429" s="10" t="s">
        <v>278</v>
      </c>
      <c r="B429" s="11" t="s">
        <v>279</v>
      </c>
      <c r="D429" s="153">
        <v>0.90375399999999995</v>
      </c>
      <c r="E429" s="153">
        <v>0.843167</v>
      </c>
      <c r="F429" s="153">
        <v>1.1835260000000001</v>
      </c>
      <c r="G429" s="153">
        <v>1.6011960000000001</v>
      </c>
      <c r="H429" s="153">
        <v>1.7557179999999999</v>
      </c>
      <c r="I429" s="153">
        <v>4.5481020000000001</v>
      </c>
      <c r="J429" s="153">
        <v>5.631945</v>
      </c>
      <c r="K429" s="153">
        <v>6.4785909999999998</v>
      </c>
      <c r="L429" s="153">
        <v>2.5260560000000001</v>
      </c>
      <c r="M429" s="153">
        <v>1.081742</v>
      </c>
      <c r="N429" s="153">
        <v>1.04677</v>
      </c>
      <c r="O429" s="153">
        <v>0.96662599999999999</v>
      </c>
      <c r="P429" s="11"/>
      <c r="Q429" s="29"/>
      <c r="R429" s="30"/>
    </row>
    <row r="430" spans="1:18" ht="12" customHeight="1">
      <c r="A430" s="10" t="s">
        <v>280</v>
      </c>
      <c r="B430" s="11" t="s">
        <v>281</v>
      </c>
      <c r="D430" s="153">
        <v>0.66807000000000005</v>
      </c>
      <c r="E430" s="153">
        <v>0.67206900000000003</v>
      </c>
      <c r="F430" s="153">
        <v>0.92464199999999996</v>
      </c>
      <c r="G430" s="153">
        <v>1.1854849999999999</v>
      </c>
      <c r="H430" s="153">
        <v>1.2312940000000001</v>
      </c>
      <c r="I430" s="153">
        <v>2.510596</v>
      </c>
      <c r="J430" s="153">
        <v>3.466774</v>
      </c>
      <c r="K430" s="153">
        <v>4.6459219999999997</v>
      </c>
      <c r="L430" s="153">
        <v>1.8920980000000001</v>
      </c>
      <c r="M430" s="153">
        <v>0.82381400000000005</v>
      </c>
      <c r="N430" s="153">
        <v>0.82202600000000003</v>
      </c>
      <c r="O430" s="153">
        <v>0.75680400000000003</v>
      </c>
      <c r="P430" s="11"/>
      <c r="Q430" s="29"/>
      <c r="R430" s="30"/>
    </row>
    <row r="431" spans="1:18" ht="12" customHeight="1">
      <c r="A431" s="10" t="s">
        <v>282</v>
      </c>
      <c r="B431" s="11" t="s">
        <v>283</v>
      </c>
      <c r="D431" s="153">
        <v>0.218944</v>
      </c>
      <c r="E431" s="153">
        <v>0.16858000000000001</v>
      </c>
      <c r="F431" s="153">
        <v>0.29551500000000003</v>
      </c>
      <c r="G431" s="153">
        <v>0.38879399999999997</v>
      </c>
      <c r="H431" s="153">
        <v>0.34237800000000002</v>
      </c>
      <c r="I431" s="153">
        <v>0.37966</v>
      </c>
      <c r="J431" s="153">
        <v>0.47342899999999999</v>
      </c>
      <c r="K431" s="153">
        <v>0.746004</v>
      </c>
      <c r="L431" s="153">
        <v>0.372695</v>
      </c>
      <c r="M431" s="153">
        <v>0.33641599999999999</v>
      </c>
      <c r="N431" s="153">
        <v>0.32995999999999998</v>
      </c>
      <c r="O431" s="153">
        <v>0.31438500000000003</v>
      </c>
      <c r="P431" s="11"/>
      <c r="Q431" s="29"/>
      <c r="R431" s="30"/>
    </row>
    <row r="432" spans="1:18" ht="12" customHeight="1">
      <c r="A432" s="10" t="s">
        <v>284</v>
      </c>
      <c r="B432" s="11" t="s">
        <v>285</v>
      </c>
      <c r="D432" s="153">
        <v>0.20822199999999999</v>
      </c>
      <c r="E432" s="153">
        <v>0.20181299999999999</v>
      </c>
      <c r="F432" s="153">
        <v>0.27604299999999998</v>
      </c>
      <c r="G432" s="153">
        <v>0.35238199999999997</v>
      </c>
      <c r="H432" s="153">
        <v>0.43126500000000001</v>
      </c>
      <c r="I432" s="153">
        <v>1.188075</v>
      </c>
      <c r="J432" s="153">
        <v>1.868903</v>
      </c>
      <c r="K432" s="153">
        <v>2.2981220000000002</v>
      </c>
      <c r="L432" s="153">
        <v>0.79336499999999999</v>
      </c>
      <c r="M432" s="153">
        <v>0.33047700000000002</v>
      </c>
      <c r="N432" s="153">
        <v>0.31207099999999999</v>
      </c>
      <c r="O432" s="153">
        <v>0.31174299999999999</v>
      </c>
      <c r="P432" s="11"/>
      <c r="Q432" s="29"/>
      <c r="R432" s="30"/>
    </row>
    <row r="433" spans="1:18" ht="12" customHeight="1">
      <c r="A433" s="10" t="s">
        <v>286</v>
      </c>
      <c r="B433" s="11" t="s">
        <v>287</v>
      </c>
      <c r="D433" s="153">
        <v>1.2060150000000001</v>
      </c>
      <c r="E433" s="153">
        <v>1.267325</v>
      </c>
      <c r="F433" s="153">
        <v>1.439845</v>
      </c>
      <c r="G433" s="153">
        <v>1.3885590000000001</v>
      </c>
      <c r="H433" s="153">
        <v>1.463457</v>
      </c>
      <c r="I433" s="153">
        <v>1.541631</v>
      </c>
      <c r="J433" s="153">
        <v>1.7464470000000001</v>
      </c>
      <c r="K433" s="153">
        <v>1.596198</v>
      </c>
      <c r="L433" s="153">
        <v>1.285004</v>
      </c>
      <c r="M433" s="153">
        <v>1.2263569999999999</v>
      </c>
      <c r="N433" s="153">
        <v>1.4354659999999999</v>
      </c>
      <c r="O433" s="153">
        <v>1.368171</v>
      </c>
      <c r="P433" s="11"/>
      <c r="Q433" s="29"/>
      <c r="R433" s="30"/>
    </row>
    <row r="434" spans="1:18" ht="12" customHeight="1">
      <c r="A434" s="10" t="s">
        <v>304</v>
      </c>
      <c r="B434" s="11" t="s">
        <v>3023</v>
      </c>
      <c r="D434" s="153">
        <v>4.922E-2</v>
      </c>
      <c r="E434" s="153">
        <v>4.9785000000000003E-2</v>
      </c>
      <c r="F434" s="153">
        <v>8.8650000000000007E-2</v>
      </c>
      <c r="G434" s="153">
        <v>7.0148000000000002E-2</v>
      </c>
      <c r="H434" s="153">
        <v>8.9791999999999997E-2</v>
      </c>
      <c r="I434" s="153">
        <v>0.13262699999999999</v>
      </c>
      <c r="J434" s="153">
        <v>0.18906999999999999</v>
      </c>
      <c r="K434" s="153">
        <v>0.33847500000000003</v>
      </c>
      <c r="L434" s="153">
        <v>0.10646600000000001</v>
      </c>
      <c r="M434" s="153">
        <v>8.8798000000000002E-2</v>
      </c>
      <c r="N434" s="153">
        <v>6.2725000000000003E-2</v>
      </c>
      <c r="O434" s="153">
        <v>8.4869E-2</v>
      </c>
      <c r="P434" s="11"/>
      <c r="Q434" s="29"/>
      <c r="R434" s="30"/>
    </row>
    <row r="435" spans="1:18" ht="12" customHeight="1">
      <c r="A435" s="10" t="s">
        <v>306</v>
      </c>
      <c r="B435" s="11" t="s">
        <v>305</v>
      </c>
      <c r="D435" s="153">
        <v>9.7596000000000002E-2</v>
      </c>
      <c r="E435" s="153">
        <v>0.100927</v>
      </c>
      <c r="F435" s="153">
        <v>0.117686</v>
      </c>
      <c r="G435" s="153">
        <v>0.11867800000000001</v>
      </c>
      <c r="H435" s="153">
        <v>0.14177799999999999</v>
      </c>
      <c r="I435" s="153">
        <v>0.20834900000000001</v>
      </c>
      <c r="J435" s="153">
        <v>0.28931299999999999</v>
      </c>
      <c r="K435" s="153">
        <v>0.26598500000000003</v>
      </c>
      <c r="L435" s="153">
        <v>0.14178299999999999</v>
      </c>
      <c r="M435" s="153">
        <v>0.12883700000000001</v>
      </c>
      <c r="N435" s="153">
        <v>0.117359</v>
      </c>
      <c r="O435" s="153">
        <v>0.122669</v>
      </c>
      <c r="P435" s="11"/>
      <c r="Q435" s="29"/>
      <c r="R435" s="30"/>
    </row>
    <row r="436" spans="1:18" ht="12" customHeight="1">
      <c r="A436" s="10" t="s">
        <v>307</v>
      </c>
      <c r="B436" s="11" t="s">
        <v>19</v>
      </c>
      <c r="D436" s="153">
        <v>6.3839000000000007E-2</v>
      </c>
      <c r="E436" s="153">
        <v>6.3129000000000005E-2</v>
      </c>
      <c r="F436" s="153">
        <v>6.9922999999999999E-2</v>
      </c>
      <c r="G436" s="153">
        <v>7.3255000000000001E-2</v>
      </c>
      <c r="H436" s="153">
        <v>8.0772999999999998E-2</v>
      </c>
      <c r="I436" s="153">
        <v>0.102419</v>
      </c>
      <c r="J436" s="153">
        <v>0.12171700000000001</v>
      </c>
      <c r="K436" s="153">
        <v>0.120701</v>
      </c>
      <c r="L436" s="153">
        <v>8.3799999999999999E-2</v>
      </c>
      <c r="M436" s="153">
        <v>7.6769000000000004E-2</v>
      </c>
      <c r="N436" s="153">
        <v>7.0897000000000002E-2</v>
      </c>
      <c r="O436" s="153">
        <v>8.1292000000000003E-2</v>
      </c>
      <c r="P436" s="11"/>
      <c r="Q436" s="29"/>
      <c r="R436" s="30"/>
    </row>
    <row r="437" spans="1:18" ht="12" customHeight="1">
      <c r="A437" s="10" t="s">
        <v>308</v>
      </c>
      <c r="B437" s="11" t="s">
        <v>2994</v>
      </c>
      <c r="D437" s="153">
        <v>0.227158</v>
      </c>
      <c r="E437" s="153">
        <v>0.24746199999999999</v>
      </c>
      <c r="F437" s="153">
        <v>0.26742700000000003</v>
      </c>
      <c r="G437" s="153">
        <v>0.27798699999999998</v>
      </c>
      <c r="H437" s="153">
        <v>0.341279</v>
      </c>
      <c r="I437" s="153">
        <v>0.50743400000000005</v>
      </c>
      <c r="J437" s="153">
        <v>0.69416800000000001</v>
      </c>
      <c r="K437" s="153">
        <v>0.69950999999999997</v>
      </c>
      <c r="L437" s="153">
        <v>0.37712299999999999</v>
      </c>
      <c r="M437" s="153">
        <v>0.310784</v>
      </c>
      <c r="N437" s="153">
        <v>0.28472900000000001</v>
      </c>
      <c r="O437" s="153">
        <v>0.29437799999999997</v>
      </c>
      <c r="P437" s="11"/>
      <c r="Q437" s="29"/>
      <c r="R437" s="30"/>
    </row>
    <row r="438" spans="1:18" ht="12" customHeight="1">
      <c r="A438" s="10" t="s">
        <v>310</v>
      </c>
      <c r="B438" s="11" t="s">
        <v>309</v>
      </c>
      <c r="D438" s="153">
        <v>2.3300999999999999E-2</v>
      </c>
      <c r="E438" s="153">
        <v>2.5996999999999999E-2</v>
      </c>
      <c r="F438" s="153">
        <v>3.0039E-2</v>
      </c>
      <c r="G438" s="153">
        <v>3.3912999999999999E-2</v>
      </c>
      <c r="H438" s="153">
        <v>5.2441000000000002E-2</v>
      </c>
      <c r="I438" s="153">
        <v>6.2026999999999999E-2</v>
      </c>
      <c r="J438" s="153">
        <v>5.3719000000000003E-2</v>
      </c>
      <c r="K438" s="153">
        <v>4.2554000000000002E-2</v>
      </c>
      <c r="L438" s="153">
        <v>3.7610999999999999E-2</v>
      </c>
      <c r="M438" s="153">
        <v>3.4040000000000001E-2</v>
      </c>
      <c r="N438" s="153">
        <v>3.1143000000000001E-2</v>
      </c>
      <c r="O438" s="153">
        <v>3.2167000000000001E-2</v>
      </c>
      <c r="P438" s="11"/>
      <c r="Q438" s="29"/>
      <c r="R438" s="30"/>
    </row>
    <row r="439" spans="1:18" ht="12" customHeight="1">
      <c r="A439" s="10" t="s">
        <v>311</v>
      </c>
      <c r="B439" s="11" t="s">
        <v>26</v>
      </c>
      <c r="D439" s="153">
        <v>0.120518</v>
      </c>
      <c r="E439" s="153">
        <v>0.123822</v>
      </c>
      <c r="F439" s="153">
        <v>0.14151</v>
      </c>
      <c r="G439" s="153">
        <v>0.14697499999999999</v>
      </c>
      <c r="H439" s="153">
        <v>0.169879</v>
      </c>
      <c r="I439" s="153">
        <v>0.15814400000000001</v>
      </c>
      <c r="J439" s="153">
        <v>0.16375799999999999</v>
      </c>
      <c r="K439" s="153">
        <v>0.16952</v>
      </c>
      <c r="L439" s="153">
        <v>0.148399</v>
      </c>
      <c r="M439" s="153">
        <v>0.15362300000000001</v>
      </c>
      <c r="N439" s="153">
        <v>0.15307899999999999</v>
      </c>
      <c r="O439" s="153">
        <v>0.15154899999999999</v>
      </c>
      <c r="P439" s="11"/>
      <c r="Q439" s="29"/>
      <c r="R439" s="30"/>
    </row>
    <row r="440" spans="1:18" ht="12" customHeight="1">
      <c r="A440" s="10" t="s">
        <v>312</v>
      </c>
      <c r="B440" s="11" t="s">
        <v>313</v>
      </c>
      <c r="D440" s="153">
        <v>5.8612999999999998E-2</v>
      </c>
      <c r="E440" s="153">
        <v>6.1959E-2</v>
      </c>
      <c r="F440" s="153">
        <v>6.7487000000000005E-2</v>
      </c>
      <c r="G440" s="153">
        <v>6.4353999999999995E-2</v>
      </c>
      <c r="H440" s="153">
        <v>8.0543000000000003E-2</v>
      </c>
      <c r="I440" s="153">
        <v>8.8551000000000005E-2</v>
      </c>
      <c r="J440" s="153">
        <v>0.123152</v>
      </c>
      <c r="K440" s="153">
        <v>0.131158</v>
      </c>
      <c r="L440" s="153">
        <v>7.5300000000000006E-2</v>
      </c>
      <c r="M440" s="153">
        <v>8.1667000000000003E-2</v>
      </c>
      <c r="N440" s="153">
        <v>6.9985000000000006E-2</v>
      </c>
      <c r="O440" s="153">
        <v>6.3251000000000002E-2</v>
      </c>
      <c r="P440" s="11"/>
      <c r="Q440" s="29"/>
      <c r="R440" s="30"/>
    </row>
    <row r="441" spans="1:18" ht="12" customHeight="1">
      <c r="A441" s="10" t="s">
        <v>314</v>
      </c>
      <c r="B441" s="11" t="s">
        <v>315</v>
      </c>
      <c r="D441" s="153">
        <v>0.107977</v>
      </c>
      <c r="E441" s="153">
        <v>0.107268</v>
      </c>
      <c r="F441" s="153">
        <v>0.14396300000000001</v>
      </c>
      <c r="G441" s="153">
        <v>0.15585199999999999</v>
      </c>
      <c r="H441" s="153">
        <v>0.23686299999999999</v>
      </c>
      <c r="I441" s="153">
        <v>0.35314600000000002</v>
      </c>
      <c r="J441" s="153">
        <v>0.636965</v>
      </c>
      <c r="K441" s="153">
        <v>0.61207100000000003</v>
      </c>
      <c r="L441" s="153">
        <v>0.23844399999999999</v>
      </c>
      <c r="M441" s="153">
        <v>0.17238700000000001</v>
      </c>
      <c r="N441" s="153">
        <v>0.13395299999999999</v>
      </c>
      <c r="O441" s="153">
        <v>0.12687399999999999</v>
      </c>
      <c r="P441" s="11"/>
      <c r="Q441" s="29"/>
      <c r="R441" s="30"/>
    </row>
    <row r="442" spans="1:18" ht="12" customHeight="1">
      <c r="A442" s="10" t="s">
        <v>316</v>
      </c>
      <c r="B442" s="11" t="s">
        <v>317</v>
      </c>
      <c r="D442" s="153">
        <v>0.17932000000000001</v>
      </c>
      <c r="E442" s="153">
        <v>0.18867400000000001</v>
      </c>
      <c r="F442" s="153">
        <v>0.22717200000000001</v>
      </c>
      <c r="G442" s="153">
        <v>0.22357199999999999</v>
      </c>
      <c r="H442" s="153">
        <v>0.25163099999999999</v>
      </c>
      <c r="I442" s="153">
        <v>0.29409099999999999</v>
      </c>
      <c r="J442" s="153">
        <v>0.48949799999999999</v>
      </c>
      <c r="K442" s="153">
        <v>0.49156300000000003</v>
      </c>
      <c r="L442" s="153">
        <v>0.24484</v>
      </c>
      <c r="M442" s="153">
        <v>0.27326800000000001</v>
      </c>
      <c r="N442" s="153">
        <v>0.22639699999999999</v>
      </c>
      <c r="O442" s="153">
        <v>0.213615</v>
      </c>
      <c r="P442" s="11"/>
      <c r="Q442" s="29"/>
      <c r="R442" s="30"/>
    </row>
    <row r="443" spans="1:18" ht="12" customHeight="1">
      <c r="A443" s="10" t="s">
        <v>318</v>
      </c>
      <c r="B443" s="11" t="s">
        <v>319</v>
      </c>
      <c r="D443" s="153">
        <v>6.7016999999999993E-2</v>
      </c>
      <c r="E443" s="153">
        <v>7.1387000000000006E-2</v>
      </c>
      <c r="F443" s="153">
        <v>9.1235999999999998E-2</v>
      </c>
      <c r="G443" s="153">
        <v>9.5598000000000002E-2</v>
      </c>
      <c r="H443" s="153">
        <v>0.14741899999999999</v>
      </c>
      <c r="I443" s="153">
        <v>0.26905699999999999</v>
      </c>
      <c r="J443" s="153">
        <v>0.52034899999999995</v>
      </c>
      <c r="K443" s="153">
        <v>0.51903299999999997</v>
      </c>
      <c r="L443" s="153">
        <v>0.142512</v>
      </c>
      <c r="M443" s="153">
        <v>0.11160100000000001</v>
      </c>
      <c r="N443" s="153">
        <v>9.2697000000000002E-2</v>
      </c>
      <c r="O443" s="153">
        <v>7.6414999999999997E-2</v>
      </c>
      <c r="P443" s="11"/>
      <c r="Q443" s="29"/>
      <c r="R443" s="30"/>
    </row>
    <row r="444" spans="1:18" ht="12" customHeight="1">
      <c r="A444" s="10" t="s">
        <v>320</v>
      </c>
      <c r="B444" s="11" t="s">
        <v>321</v>
      </c>
      <c r="D444" s="153">
        <v>0.119903</v>
      </c>
      <c r="E444" s="153">
        <v>0.120879</v>
      </c>
      <c r="F444" s="153">
        <v>0.15334500000000001</v>
      </c>
      <c r="G444" s="153">
        <v>0.137964</v>
      </c>
      <c r="H444" s="153">
        <v>0.18051</v>
      </c>
      <c r="I444" s="153">
        <v>0.20538699999999999</v>
      </c>
      <c r="J444" s="153">
        <v>0.29164600000000002</v>
      </c>
      <c r="K444" s="153">
        <v>0.30845499999999998</v>
      </c>
      <c r="L444" s="153">
        <v>0.165933</v>
      </c>
      <c r="M444" s="153">
        <v>0.186589</v>
      </c>
      <c r="N444" s="153">
        <v>0.14992900000000001</v>
      </c>
      <c r="O444" s="153">
        <v>0.145094</v>
      </c>
      <c r="P444" s="11"/>
      <c r="Q444" s="29"/>
      <c r="R444" s="30"/>
    </row>
    <row r="445" spans="1:18" ht="12" customHeight="1">
      <c r="A445" s="10" t="s">
        <v>322</v>
      </c>
      <c r="B445" s="11" t="s">
        <v>323</v>
      </c>
      <c r="D445" s="153">
        <v>7.4307999999999999E-2</v>
      </c>
      <c r="E445" s="153">
        <v>8.2178000000000001E-2</v>
      </c>
      <c r="F445" s="153">
        <v>0.10639999999999999</v>
      </c>
      <c r="G445" s="153">
        <v>0.10616299999999999</v>
      </c>
      <c r="H445" s="153">
        <v>0.12842799999999999</v>
      </c>
      <c r="I445" s="153">
        <v>0.150038</v>
      </c>
      <c r="J445" s="153">
        <v>0.26118000000000002</v>
      </c>
      <c r="K445" s="153">
        <v>0.27013399999999999</v>
      </c>
      <c r="L445" s="153">
        <v>0.125137</v>
      </c>
      <c r="M445" s="153">
        <v>0.12667400000000001</v>
      </c>
      <c r="N445" s="153">
        <v>0.108818</v>
      </c>
      <c r="O445" s="153">
        <v>9.2285000000000006E-2</v>
      </c>
      <c r="P445" s="11"/>
      <c r="Q445" s="29"/>
      <c r="R445" s="30"/>
    </row>
    <row r="446" spans="1:18" ht="12" customHeight="1">
      <c r="A446" s="10" t="s">
        <v>324</v>
      </c>
      <c r="B446" s="11" t="s">
        <v>325</v>
      </c>
      <c r="D446" s="153">
        <v>6.4350000000000004E-2</v>
      </c>
      <c r="E446" s="153">
        <v>7.1356000000000003E-2</v>
      </c>
      <c r="F446" s="153">
        <v>9.6878000000000006E-2</v>
      </c>
      <c r="G446" s="153">
        <v>9.5727999999999994E-2</v>
      </c>
      <c r="H446" s="153">
        <v>0.12518499999999999</v>
      </c>
      <c r="I446" s="153">
        <v>0.13988999999999999</v>
      </c>
      <c r="J446" s="153">
        <v>0.243089</v>
      </c>
      <c r="K446" s="153">
        <v>0.239316</v>
      </c>
      <c r="L446" s="153">
        <v>0.115429</v>
      </c>
      <c r="M446" s="153">
        <v>0.11765</v>
      </c>
      <c r="N446" s="153">
        <v>8.8108000000000006E-2</v>
      </c>
      <c r="O446" s="153">
        <v>8.3680000000000004E-2</v>
      </c>
      <c r="P446" s="11"/>
      <c r="Q446" s="29"/>
      <c r="R446" s="30"/>
    </row>
    <row r="447" spans="1:18" ht="12" customHeight="1">
      <c r="A447" s="10" t="s">
        <v>327</v>
      </c>
      <c r="B447" s="11" t="s">
        <v>326</v>
      </c>
      <c r="D447" s="153">
        <v>4.4372000000000002E-2</v>
      </c>
      <c r="E447" s="153">
        <v>6.2774999999999997E-2</v>
      </c>
      <c r="F447" s="153">
        <v>6.4283999999999994E-2</v>
      </c>
      <c r="G447" s="153">
        <v>5.0906E-2</v>
      </c>
      <c r="H447" s="153">
        <v>5.1491000000000002E-2</v>
      </c>
      <c r="I447" s="153">
        <v>5.6642999999999999E-2</v>
      </c>
      <c r="J447" s="153">
        <v>6.3459000000000002E-2</v>
      </c>
      <c r="K447" s="153">
        <v>6.7482E-2</v>
      </c>
      <c r="L447" s="153">
        <v>5.6411999999999997E-2</v>
      </c>
      <c r="M447" s="153">
        <v>5.3995000000000001E-2</v>
      </c>
      <c r="N447" s="153">
        <v>6.9438E-2</v>
      </c>
      <c r="O447" s="153">
        <v>7.3839000000000002E-2</v>
      </c>
      <c r="P447" s="11"/>
      <c r="Q447" s="29"/>
      <c r="R447" s="30"/>
    </row>
    <row r="448" spans="1:18" ht="12" customHeight="1">
      <c r="A448" s="10" t="s">
        <v>328</v>
      </c>
      <c r="B448" s="11" t="s">
        <v>329</v>
      </c>
      <c r="D448" s="153">
        <v>7.3205999999999993E-2</v>
      </c>
      <c r="E448" s="153">
        <v>6.9071999999999995E-2</v>
      </c>
      <c r="F448" s="153">
        <v>7.7225000000000002E-2</v>
      </c>
      <c r="G448" s="153">
        <v>8.5876999999999995E-2</v>
      </c>
      <c r="H448" s="153">
        <v>0.157746</v>
      </c>
      <c r="I448" s="153">
        <v>0.138262</v>
      </c>
      <c r="J448" s="153">
        <v>0.14829700000000001</v>
      </c>
      <c r="K448" s="153">
        <v>0.20393</v>
      </c>
      <c r="L448" s="153">
        <v>0.13314100000000001</v>
      </c>
      <c r="M448" s="153">
        <v>8.9867000000000002E-2</v>
      </c>
      <c r="N448" s="153">
        <v>7.5562000000000004E-2</v>
      </c>
      <c r="O448" s="153">
        <v>7.8744999999999996E-2</v>
      </c>
      <c r="P448" s="11"/>
      <c r="Q448" s="29"/>
      <c r="R448" s="30"/>
    </row>
    <row r="449" spans="1:18" ht="12" customHeight="1">
      <c r="A449" s="10" t="s">
        <v>330</v>
      </c>
      <c r="B449" s="11" t="s">
        <v>331</v>
      </c>
      <c r="D449" s="153">
        <v>0.17683399999999999</v>
      </c>
      <c r="E449" s="153">
        <v>0.18878700000000001</v>
      </c>
      <c r="F449" s="153">
        <v>0.216835</v>
      </c>
      <c r="G449" s="153">
        <v>0.290043</v>
      </c>
      <c r="H449" s="153">
        <v>0.68384500000000004</v>
      </c>
      <c r="I449" s="153">
        <v>0.634799</v>
      </c>
      <c r="J449" s="153">
        <v>0.83421000000000001</v>
      </c>
      <c r="K449" s="153">
        <v>0.98058299999999998</v>
      </c>
      <c r="L449" s="153">
        <v>0.54435699999999998</v>
      </c>
      <c r="M449" s="153">
        <v>0.32114399999999999</v>
      </c>
      <c r="N449" s="153">
        <v>0.23773900000000001</v>
      </c>
      <c r="O449" s="153">
        <v>0.193687</v>
      </c>
      <c r="P449" s="11"/>
      <c r="Q449" s="29"/>
      <c r="R449" s="30"/>
    </row>
    <row r="450" spans="1:18" ht="12" customHeight="1">
      <c r="A450" s="10" t="s">
        <v>332</v>
      </c>
      <c r="B450" s="11" t="s">
        <v>333</v>
      </c>
      <c r="D450" s="153">
        <v>0.33703699999999998</v>
      </c>
      <c r="E450" s="153">
        <v>0.35112700000000002</v>
      </c>
      <c r="F450" s="153">
        <v>0.31088900000000003</v>
      </c>
      <c r="G450" s="153">
        <v>0.38023600000000002</v>
      </c>
      <c r="H450" s="153">
        <v>0.79455299999999995</v>
      </c>
      <c r="I450" s="153">
        <v>0.63632100000000003</v>
      </c>
      <c r="J450" s="153">
        <v>0.74768800000000002</v>
      </c>
      <c r="K450" s="153">
        <v>1.0388029999999999</v>
      </c>
      <c r="L450" s="153">
        <v>0.62268199999999996</v>
      </c>
      <c r="M450" s="153">
        <v>0.36224600000000001</v>
      </c>
      <c r="N450" s="153">
        <v>0.29418299999999997</v>
      </c>
      <c r="O450" s="153">
        <v>0.35422700000000001</v>
      </c>
      <c r="P450" s="11"/>
      <c r="Q450" s="29"/>
      <c r="R450" s="30"/>
    </row>
    <row r="451" spans="1:18" ht="12" customHeight="1">
      <c r="A451" s="10" t="s">
        <v>334</v>
      </c>
      <c r="B451" s="11" t="s">
        <v>335</v>
      </c>
      <c r="D451" s="153">
        <v>0.240837</v>
      </c>
      <c r="E451" s="153">
        <v>0.24299999999999999</v>
      </c>
      <c r="F451" s="153">
        <v>0.25662099999999999</v>
      </c>
      <c r="G451" s="153">
        <v>0.46925099999999997</v>
      </c>
      <c r="H451" s="153">
        <v>0.91768799999999995</v>
      </c>
      <c r="I451" s="153">
        <v>0.70143</v>
      </c>
      <c r="J451" s="153">
        <v>0.90130399999999999</v>
      </c>
      <c r="K451" s="153">
        <v>1.412585</v>
      </c>
      <c r="L451" s="153">
        <v>0.69667100000000004</v>
      </c>
      <c r="M451" s="153">
        <v>0.456509</v>
      </c>
      <c r="N451" s="153">
        <v>0.28606599999999999</v>
      </c>
      <c r="O451" s="153">
        <v>0.29697299999999999</v>
      </c>
      <c r="P451" s="11"/>
      <c r="Q451" s="29"/>
      <c r="R451" s="30"/>
    </row>
    <row r="452" spans="1:18" ht="12" customHeight="1">
      <c r="A452" s="10" t="s">
        <v>336</v>
      </c>
      <c r="B452" s="11" t="s">
        <v>337</v>
      </c>
      <c r="D452" s="153">
        <v>0.57340199999999997</v>
      </c>
      <c r="E452" s="153">
        <v>0.585561</v>
      </c>
      <c r="F452" s="153">
        <v>0.58194599999999996</v>
      </c>
      <c r="G452" s="153">
        <v>0.82298499999999997</v>
      </c>
      <c r="H452" s="153">
        <v>1.5350410000000001</v>
      </c>
      <c r="I452" s="153">
        <v>1.320816</v>
      </c>
      <c r="J452" s="153">
        <v>1.6302190000000001</v>
      </c>
      <c r="K452" s="153">
        <v>2.109801</v>
      </c>
      <c r="L452" s="153">
        <v>1.239746</v>
      </c>
      <c r="M452" s="153">
        <v>0.92183499999999996</v>
      </c>
      <c r="N452" s="153">
        <v>0.620865</v>
      </c>
      <c r="O452" s="153">
        <v>0.60339399999999999</v>
      </c>
      <c r="P452" s="11"/>
      <c r="Q452" s="29"/>
      <c r="R452" s="30"/>
    </row>
    <row r="453" spans="1:18" ht="12" customHeight="1">
      <c r="A453" s="10" t="s">
        <v>338</v>
      </c>
      <c r="B453" s="11" t="s">
        <v>339</v>
      </c>
      <c r="D453" s="153">
        <v>0.12391199999999999</v>
      </c>
      <c r="E453" s="153">
        <v>0.123819</v>
      </c>
      <c r="F453" s="153">
        <v>0.111836</v>
      </c>
      <c r="G453" s="153">
        <v>0.11280800000000001</v>
      </c>
      <c r="H453" s="153">
        <v>0.22953899999999999</v>
      </c>
      <c r="I453" s="153">
        <v>0.14150599999999999</v>
      </c>
      <c r="J453" s="153">
        <v>0.18953500000000001</v>
      </c>
      <c r="K453" s="153">
        <v>0.26784400000000003</v>
      </c>
      <c r="L453" s="153">
        <v>0.20511099999999999</v>
      </c>
      <c r="M453" s="153">
        <v>0.13283200000000001</v>
      </c>
      <c r="N453" s="153">
        <v>0.130549</v>
      </c>
      <c r="O453" s="153">
        <v>0.13602600000000001</v>
      </c>
      <c r="P453" s="11"/>
      <c r="Q453" s="29"/>
      <c r="R453" s="30"/>
    </row>
    <row r="454" spans="1:18" ht="12" customHeight="1">
      <c r="A454" s="10" t="s">
        <v>341</v>
      </c>
      <c r="B454" s="11" t="s">
        <v>342</v>
      </c>
      <c r="D454" s="153">
        <v>0.82852400000000004</v>
      </c>
      <c r="E454" s="153">
        <v>0.83582800000000002</v>
      </c>
      <c r="F454" s="153">
        <v>0.89699200000000001</v>
      </c>
      <c r="G454" s="153">
        <v>1.0379780000000001</v>
      </c>
      <c r="H454" s="153">
        <v>1.420113</v>
      </c>
      <c r="I454" s="153">
        <v>1.2870170000000001</v>
      </c>
      <c r="J454" s="153">
        <v>1.3681920000000001</v>
      </c>
      <c r="K454" s="153">
        <v>1.661645</v>
      </c>
      <c r="L454" s="153">
        <v>1.2918780000000001</v>
      </c>
      <c r="M454" s="153">
        <v>1.052786</v>
      </c>
      <c r="N454" s="153">
        <v>0.86674499999999999</v>
      </c>
      <c r="O454" s="153">
        <v>0.80203999999999998</v>
      </c>
      <c r="P454" s="11"/>
      <c r="Q454" s="29"/>
      <c r="R454" s="30"/>
    </row>
    <row r="455" spans="1:18" ht="12" customHeight="1">
      <c r="A455" s="10" t="s">
        <v>343</v>
      </c>
      <c r="B455" s="11" t="s">
        <v>344</v>
      </c>
      <c r="D455" s="153">
        <v>0.21438599999999999</v>
      </c>
      <c r="E455" s="153">
        <v>0.25263799999999997</v>
      </c>
      <c r="F455" s="153">
        <v>0.197267</v>
      </c>
      <c r="G455" s="153">
        <v>0.31641799999999998</v>
      </c>
      <c r="H455" s="153">
        <v>0.69056799999999996</v>
      </c>
      <c r="I455" s="153">
        <v>0.63310699999999998</v>
      </c>
      <c r="J455" s="153">
        <v>0.74645700000000004</v>
      </c>
      <c r="K455" s="153">
        <v>0.94766399999999995</v>
      </c>
      <c r="L455" s="153">
        <v>0.56620400000000004</v>
      </c>
      <c r="M455" s="153">
        <v>0.33002100000000001</v>
      </c>
      <c r="N455" s="153">
        <v>0.24610000000000001</v>
      </c>
      <c r="O455" s="153">
        <v>0.223772</v>
      </c>
      <c r="P455" s="11"/>
      <c r="Q455" s="29"/>
      <c r="R455" s="30"/>
    </row>
    <row r="456" spans="1:18" ht="12" customHeight="1">
      <c r="A456" s="10" t="s">
        <v>3126</v>
      </c>
      <c r="B456" s="11" t="s">
        <v>340</v>
      </c>
      <c r="D456" s="153">
        <v>0.18096699999999999</v>
      </c>
      <c r="E456" s="153">
        <v>0.187304</v>
      </c>
      <c r="F456" s="153">
        <v>0.20887700000000001</v>
      </c>
      <c r="G456" s="153">
        <v>0.25254500000000002</v>
      </c>
      <c r="H456" s="153">
        <v>0.41548299999999999</v>
      </c>
      <c r="I456" s="153">
        <v>0.33092700000000003</v>
      </c>
      <c r="J456" s="153">
        <v>0.40030900000000003</v>
      </c>
      <c r="K456" s="153">
        <v>0.42259099999999999</v>
      </c>
      <c r="L456" s="153">
        <v>0.33423700000000001</v>
      </c>
      <c r="M456" s="153">
        <v>0.26888899999999999</v>
      </c>
      <c r="N456" s="153">
        <v>0.22289600000000001</v>
      </c>
      <c r="O456" s="153">
        <v>0.19880700000000001</v>
      </c>
      <c r="P456" s="11"/>
      <c r="Q456" s="29"/>
      <c r="R456" s="30"/>
    </row>
    <row r="457" spans="1:18" ht="12" customHeight="1">
      <c r="A457" s="10" t="s">
        <v>3127</v>
      </c>
      <c r="B457" s="11" t="s">
        <v>3128</v>
      </c>
      <c r="D457" s="153">
        <v>0.49417499999999998</v>
      </c>
      <c r="E457" s="153">
        <v>0.491919</v>
      </c>
      <c r="F457" s="153">
        <v>0.526119</v>
      </c>
      <c r="G457" s="153">
        <v>0.60699599999999998</v>
      </c>
      <c r="H457" s="153">
        <v>0.82693099999999997</v>
      </c>
      <c r="I457" s="153">
        <v>0.755104</v>
      </c>
      <c r="J457" s="153">
        <v>0.81570299999999996</v>
      </c>
      <c r="K457" s="153">
        <v>0.86433000000000004</v>
      </c>
      <c r="L457" s="153">
        <v>0.74310399999999999</v>
      </c>
      <c r="M457" s="153">
        <v>0.62585999999999997</v>
      </c>
      <c r="N457" s="153">
        <v>0.52882700000000005</v>
      </c>
      <c r="O457" s="153">
        <v>0.54430699999999999</v>
      </c>
      <c r="P457" s="11"/>
      <c r="Q457" s="29"/>
      <c r="R457" s="30"/>
    </row>
    <row r="458" spans="1:18" ht="12" customHeight="1">
      <c r="A458" s="10" t="s">
        <v>345</v>
      </c>
      <c r="B458" s="11" t="s">
        <v>346</v>
      </c>
      <c r="D458" s="153">
        <v>0.486622</v>
      </c>
      <c r="E458" s="153">
        <v>0.50884099999999999</v>
      </c>
      <c r="F458" s="153">
        <v>0.50489399999999995</v>
      </c>
      <c r="G458" s="153">
        <v>0.67520400000000003</v>
      </c>
      <c r="H458" s="153">
        <v>1.188914</v>
      </c>
      <c r="I458" s="153">
        <v>1.0765960000000001</v>
      </c>
      <c r="J458" s="153">
        <v>1.2941879999999999</v>
      </c>
      <c r="K458" s="153">
        <v>1.52857</v>
      </c>
      <c r="L458" s="153">
        <v>0.965167</v>
      </c>
      <c r="M458" s="153">
        <v>0.70958200000000005</v>
      </c>
      <c r="N458" s="153">
        <v>0.54113800000000001</v>
      </c>
      <c r="O458" s="153">
        <v>0.52951800000000004</v>
      </c>
      <c r="P458" s="11"/>
      <c r="Q458" s="29"/>
      <c r="R458" s="30"/>
    </row>
    <row r="459" spans="1:18" ht="12" customHeight="1">
      <c r="A459" s="10" t="s">
        <v>347</v>
      </c>
      <c r="B459" s="11" t="s">
        <v>348</v>
      </c>
      <c r="D459" s="153">
        <v>0.48247000000000001</v>
      </c>
      <c r="E459" s="153">
        <v>0.50234100000000004</v>
      </c>
      <c r="F459" s="153">
        <v>0.49950299999999997</v>
      </c>
      <c r="G459" s="153">
        <v>0.63276900000000003</v>
      </c>
      <c r="H459" s="153">
        <v>1.0486979999999999</v>
      </c>
      <c r="I459" s="153">
        <v>0.94420000000000004</v>
      </c>
      <c r="J459" s="153">
        <v>1.182299</v>
      </c>
      <c r="K459" s="153">
        <v>1.460359</v>
      </c>
      <c r="L459" s="153">
        <v>0.98382800000000004</v>
      </c>
      <c r="M459" s="153">
        <v>0.68685799999999997</v>
      </c>
      <c r="N459" s="153">
        <v>0.55585700000000005</v>
      </c>
      <c r="O459" s="153">
        <v>0.67610499999999996</v>
      </c>
      <c r="P459" s="11"/>
      <c r="Q459" s="29"/>
      <c r="R459" s="30"/>
    </row>
    <row r="460" spans="1:18" ht="12" customHeight="1">
      <c r="A460" s="10" t="s">
        <v>349</v>
      </c>
      <c r="B460" s="11" t="s">
        <v>529</v>
      </c>
      <c r="D460" s="153">
        <v>0.122735</v>
      </c>
      <c r="E460" s="153">
        <v>0.13449800000000001</v>
      </c>
      <c r="F460" s="153">
        <v>0.154978</v>
      </c>
      <c r="G460" s="153">
        <v>0.15804499999999999</v>
      </c>
      <c r="H460" s="153">
        <v>0.23245499999999999</v>
      </c>
      <c r="I460" s="153">
        <v>0.282414</v>
      </c>
      <c r="J460" s="153">
        <v>0.27940399999999999</v>
      </c>
      <c r="K460" s="153">
        <v>0.32455200000000001</v>
      </c>
      <c r="L460" s="153">
        <v>0.19712099999999999</v>
      </c>
      <c r="M460" s="153">
        <v>0.17684</v>
      </c>
      <c r="N460" s="153">
        <v>0.162775</v>
      </c>
      <c r="O460" s="153">
        <v>0.129941</v>
      </c>
      <c r="P460" s="11"/>
      <c r="Q460" s="29"/>
      <c r="R460" s="30"/>
    </row>
    <row r="461" spans="1:18" ht="12" customHeight="1">
      <c r="A461" s="10" t="s">
        <v>350</v>
      </c>
      <c r="B461" s="11" t="s">
        <v>351</v>
      </c>
      <c r="D461" s="153">
        <v>0.263513</v>
      </c>
      <c r="E461" s="153">
        <v>0.28125800000000001</v>
      </c>
      <c r="F461" s="153">
        <v>0.31653999999999999</v>
      </c>
      <c r="G461" s="153">
        <v>0.343555</v>
      </c>
      <c r="H461" s="153">
        <v>0.410103</v>
      </c>
      <c r="I461" s="153">
        <v>0.43455199999999999</v>
      </c>
      <c r="J461" s="153">
        <v>0.48566199999999998</v>
      </c>
      <c r="K461" s="153">
        <v>0.53920400000000002</v>
      </c>
      <c r="L461" s="153">
        <v>0.38173299999999999</v>
      </c>
      <c r="M461" s="153">
        <v>0.39296500000000001</v>
      </c>
      <c r="N461" s="153">
        <v>0.32861499999999999</v>
      </c>
      <c r="O461" s="153">
        <v>0.27128200000000002</v>
      </c>
      <c r="P461" s="11"/>
      <c r="Q461" s="29"/>
      <c r="R461" s="30"/>
    </row>
    <row r="462" spans="1:18" ht="12" customHeight="1">
      <c r="A462" s="10" t="s">
        <v>352</v>
      </c>
      <c r="B462" s="11" t="s">
        <v>353</v>
      </c>
      <c r="D462" s="153">
        <v>0.20546</v>
      </c>
      <c r="E462" s="153">
        <v>0.219808</v>
      </c>
      <c r="F462" s="153">
        <v>0.28496100000000002</v>
      </c>
      <c r="G462" s="153">
        <v>0.28717100000000001</v>
      </c>
      <c r="H462" s="153">
        <v>0.31254599999999999</v>
      </c>
      <c r="I462" s="153">
        <v>0.32057799999999997</v>
      </c>
      <c r="J462" s="153">
        <v>0.25353500000000001</v>
      </c>
      <c r="K462" s="153">
        <v>0.26256000000000002</v>
      </c>
      <c r="L462" s="153">
        <v>0.26214599999999999</v>
      </c>
      <c r="M462" s="153">
        <v>0.32746999999999998</v>
      </c>
      <c r="N462" s="153">
        <v>0.30533900000000003</v>
      </c>
      <c r="O462" s="153">
        <v>0.260218</v>
      </c>
      <c r="P462" s="11"/>
      <c r="Q462" s="29"/>
      <c r="R462" s="30"/>
    </row>
    <row r="463" spans="1:18" ht="12" customHeight="1">
      <c r="A463" s="10" t="s">
        <v>354</v>
      </c>
      <c r="B463" s="11" t="s">
        <v>355</v>
      </c>
      <c r="D463" s="153">
        <v>0.24157100000000001</v>
      </c>
      <c r="E463" s="153">
        <v>0.33412700000000001</v>
      </c>
      <c r="F463" s="153">
        <v>0.225103</v>
      </c>
      <c r="G463" s="153">
        <v>0.146645</v>
      </c>
      <c r="H463" s="153">
        <v>0.420817</v>
      </c>
      <c r="I463" s="153">
        <v>0.61426999999999998</v>
      </c>
      <c r="J463" s="153">
        <v>0.95105899999999999</v>
      </c>
      <c r="K463" s="153">
        <v>0.97265800000000002</v>
      </c>
      <c r="L463" s="153">
        <v>0.46075199999999999</v>
      </c>
      <c r="M463" s="153">
        <v>0.22917599999999999</v>
      </c>
      <c r="N463" s="153">
        <v>0.15387200000000001</v>
      </c>
      <c r="O463" s="153">
        <v>0.20189199999999999</v>
      </c>
      <c r="P463" s="11"/>
      <c r="Q463" s="29"/>
      <c r="R463" s="30"/>
    </row>
    <row r="464" spans="1:18" ht="12" customHeight="1">
      <c r="A464" s="10" t="s">
        <v>356</v>
      </c>
      <c r="B464" s="11" t="s">
        <v>357</v>
      </c>
      <c r="D464" s="153">
        <v>0.51974600000000004</v>
      </c>
      <c r="E464" s="153">
        <v>0.61263800000000002</v>
      </c>
      <c r="F464" s="153">
        <v>0.52582300000000004</v>
      </c>
      <c r="G464" s="153">
        <v>0.39955000000000002</v>
      </c>
      <c r="H464" s="153">
        <v>0.58528800000000003</v>
      </c>
      <c r="I464" s="153">
        <v>0.61277199999999998</v>
      </c>
      <c r="J464" s="153">
        <v>0.72615099999999999</v>
      </c>
      <c r="K464" s="153">
        <v>0.87029299999999998</v>
      </c>
      <c r="L464" s="153">
        <v>0.60302900000000004</v>
      </c>
      <c r="M464" s="153">
        <v>0.59326999999999996</v>
      </c>
      <c r="N464" s="153">
        <v>0.41283900000000001</v>
      </c>
      <c r="O464" s="153">
        <v>0.46317199999999997</v>
      </c>
      <c r="P464" s="11"/>
      <c r="Q464" s="29"/>
      <c r="R464" s="30"/>
    </row>
    <row r="465" spans="1:18" ht="12" customHeight="1">
      <c r="A465" s="10" t="s">
        <v>358</v>
      </c>
      <c r="B465" s="11" t="s">
        <v>359</v>
      </c>
      <c r="D465" s="153">
        <v>0.30584800000000001</v>
      </c>
      <c r="E465" s="153">
        <v>0.32541300000000001</v>
      </c>
      <c r="F465" s="153">
        <v>0.34034199999999998</v>
      </c>
      <c r="G465" s="153">
        <v>0.32838200000000001</v>
      </c>
      <c r="H465" s="153">
        <v>0.41109600000000002</v>
      </c>
      <c r="I465" s="153">
        <v>0.45914100000000002</v>
      </c>
      <c r="J465" s="153">
        <v>0.53880399999999995</v>
      </c>
      <c r="K465" s="153">
        <v>0.55469599999999997</v>
      </c>
      <c r="L465" s="153">
        <v>0.39933999999999997</v>
      </c>
      <c r="M465" s="153">
        <v>0.39746300000000001</v>
      </c>
      <c r="N465" s="153">
        <v>0.328731</v>
      </c>
      <c r="O465" s="153">
        <v>0.285414</v>
      </c>
      <c r="P465" s="11"/>
      <c r="Q465" s="29"/>
      <c r="R465" s="30"/>
    </row>
    <row r="466" spans="1:18" ht="12" customHeight="1">
      <c r="A466" s="10" t="s">
        <v>360</v>
      </c>
      <c r="B466" s="11" t="s">
        <v>361</v>
      </c>
      <c r="D466" s="153">
        <v>0.60575000000000001</v>
      </c>
      <c r="E466" s="153">
        <v>0.77526099999999998</v>
      </c>
      <c r="F466" s="153">
        <v>0.55768300000000004</v>
      </c>
      <c r="G466" s="153">
        <v>0.27283000000000002</v>
      </c>
      <c r="H466" s="153">
        <v>0.39079199999999997</v>
      </c>
      <c r="I466" s="153">
        <v>0.47423300000000002</v>
      </c>
      <c r="J466" s="153">
        <v>0.63837299999999997</v>
      </c>
      <c r="K466" s="153">
        <v>0.71138199999999996</v>
      </c>
      <c r="L466" s="153">
        <v>0.433975</v>
      </c>
      <c r="M466" s="153">
        <v>0.38011400000000001</v>
      </c>
      <c r="N466" s="153">
        <v>0.30183599999999999</v>
      </c>
      <c r="O466" s="153">
        <v>0.46934300000000001</v>
      </c>
      <c r="P466" s="11"/>
      <c r="Q466" s="29"/>
      <c r="R466" s="30"/>
    </row>
    <row r="467" spans="1:18" ht="12" customHeight="1">
      <c r="A467" s="10" t="s">
        <v>362</v>
      </c>
      <c r="B467" s="11" t="s">
        <v>363</v>
      </c>
      <c r="D467" s="153">
        <v>0.30092099999999999</v>
      </c>
      <c r="E467" s="153">
        <v>0.35899799999999998</v>
      </c>
      <c r="F467" s="153">
        <v>0.29046699999999998</v>
      </c>
      <c r="G467" s="153">
        <v>0.18032000000000001</v>
      </c>
      <c r="H467" s="153">
        <v>0.23538799999999999</v>
      </c>
      <c r="I467" s="153">
        <v>0.30249300000000001</v>
      </c>
      <c r="J467" s="153">
        <v>0.43978400000000001</v>
      </c>
      <c r="K467" s="153">
        <v>0.48358600000000002</v>
      </c>
      <c r="L467" s="153">
        <v>0.31937199999999999</v>
      </c>
      <c r="M467" s="153">
        <v>0.270422</v>
      </c>
      <c r="N467" s="153">
        <v>0.191137</v>
      </c>
      <c r="O467" s="153">
        <v>0.23721200000000001</v>
      </c>
      <c r="P467" s="11"/>
      <c r="Q467" s="29"/>
      <c r="R467" s="30"/>
    </row>
    <row r="468" spans="1:18" ht="12" customHeight="1">
      <c r="A468" s="10" t="s">
        <v>364</v>
      </c>
      <c r="B468" s="11" t="s">
        <v>365</v>
      </c>
      <c r="D468" s="153">
        <v>7.0819999999999994E-2</v>
      </c>
      <c r="E468" s="153">
        <v>0.101744</v>
      </c>
      <c r="F468" s="153">
        <v>8.0083000000000001E-2</v>
      </c>
      <c r="G468" s="153">
        <v>5.0771999999999998E-2</v>
      </c>
      <c r="H468" s="153">
        <v>6.0012999999999997E-2</v>
      </c>
      <c r="I468" s="153">
        <v>8.1074999999999994E-2</v>
      </c>
      <c r="J468" s="153">
        <v>0.102813</v>
      </c>
      <c r="K468" s="153">
        <v>0.124747</v>
      </c>
      <c r="L468" s="153">
        <v>8.0395999999999995E-2</v>
      </c>
      <c r="M468" s="153">
        <v>6.3635999999999998E-2</v>
      </c>
      <c r="N468" s="153">
        <v>4.3555000000000003E-2</v>
      </c>
      <c r="O468" s="153">
        <v>5.3079000000000001E-2</v>
      </c>
      <c r="P468" s="11"/>
      <c r="Q468" s="29"/>
      <c r="R468" s="30"/>
    </row>
    <row r="469" spans="1:18" ht="12" customHeight="1">
      <c r="A469" s="10" t="s">
        <v>366</v>
      </c>
      <c r="B469" s="11" t="s">
        <v>13</v>
      </c>
      <c r="D469" s="153">
        <v>0.87171100000000001</v>
      </c>
      <c r="E469" s="153">
        <v>0.88950200000000001</v>
      </c>
      <c r="F469" s="153">
        <v>0.63917400000000002</v>
      </c>
      <c r="G469" s="153">
        <v>0.63983400000000001</v>
      </c>
      <c r="H469" s="153">
        <v>0.866317</v>
      </c>
      <c r="I469" s="153">
        <v>0.93331699999999995</v>
      </c>
      <c r="J469" s="153">
        <v>1.237517</v>
      </c>
      <c r="K469" s="153">
        <v>1.3575809999999999</v>
      </c>
      <c r="L469" s="153">
        <v>0.93221399999999999</v>
      </c>
      <c r="M469" s="153">
        <v>0.84833999999999998</v>
      </c>
      <c r="N469" s="153">
        <v>0.71323199999999998</v>
      </c>
      <c r="O469" s="153">
        <v>0.80497700000000005</v>
      </c>
      <c r="P469" s="11"/>
      <c r="Q469" s="29"/>
      <c r="R469" s="30"/>
    </row>
    <row r="470" spans="1:18" ht="12" customHeight="1">
      <c r="A470" s="10" t="s">
        <v>367</v>
      </c>
      <c r="B470" s="11" t="s">
        <v>530</v>
      </c>
      <c r="D470" s="153">
        <v>0.42617100000000002</v>
      </c>
      <c r="E470" s="153">
        <v>0.40888200000000002</v>
      </c>
      <c r="F470" s="153">
        <v>0.326625</v>
      </c>
      <c r="G470" s="153">
        <v>0.34995599999999999</v>
      </c>
      <c r="H470" s="153">
        <v>0.44340800000000002</v>
      </c>
      <c r="I470" s="153">
        <v>0.47132800000000002</v>
      </c>
      <c r="J470" s="153">
        <v>0.53419499999999998</v>
      </c>
      <c r="K470" s="153">
        <v>0.59760500000000005</v>
      </c>
      <c r="L470" s="153">
        <v>0.47925299999999998</v>
      </c>
      <c r="M470" s="153">
        <v>0.473715</v>
      </c>
      <c r="N470" s="153">
        <v>0.43250899999999998</v>
      </c>
      <c r="O470" s="153">
        <v>0.41528599999999999</v>
      </c>
      <c r="P470" s="11"/>
      <c r="Q470" s="29"/>
      <c r="R470" s="30"/>
    </row>
    <row r="471" spans="1:18" ht="12" customHeight="1">
      <c r="A471" s="10" t="s">
        <v>368</v>
      </c>
      <c r="B471" s="11" t="s">
        <v>369</v>
      </c>
      <c r="D471" s="153">
        <v>0.16983400000000001</v>
      </c>
      <c r="E471" s="153">
        <v>0.18144099999999999</v>
      </c>
      <c r="F471" s="153">
        <v>0.19731000000000001</v>
      </c>
      <c r="G471" s="153">
        <v>0.21815799999999999</v>
      </c>
      <c r="H471" s="153">
        <v>0.26846999999999999</v>
      </c>
      <c r="I471" s="153">
        <v>0.33883799999999997</v>
      </c>
      <c r="J471" s="153">
        <v>0.43431599999999998</v>
      </c>
      <c r="K471" s="153">
        <v>0.42845299999999997</v>
      </c>
      <c r="L471" s="153">
        <v>0.28093099999999999</v>
      </c>
      <c r="M471" s="153">
        <v>0.26003700000000002</v>
      </c>
      <c r="N471" s="153">
        <v>0.231574</v>
      </c>
      <c r="O471" s="153">
        <v>0.18277399999999999</v>
      </c>
      <c r="P471" s="11"/>
      <c r="Q471" s="29"/>
      <c r="R471" s="30"/>
    </row>
    <row r="472" spans="1:18" ht="12" customHeight="1">
      <c r="A472" s="10" t="s">
        <v>370</v>
      </c>
      <c r="B472" s="11" t="s">
        <v>371</v>
      </c>
      <c r="D472" s="153">
        <v>0.494593</v>
      </c>
      <c r="E472" s="153">
        <v>0.59854300000000005</v>
      </c>
      <c r="F472" s="153">
        <v>0.59864600000000001</v>
      </c>
      <c r="G472" s="153">
        <v>0.72114999999999996</v>
      </c>
      <c r="H472" s="153">
        <v>1.1278140000000001</v>
      </c>
      <c r="I472" s="153">
        <v>1.5961669999999999</v>
      </c>
      <c r="J472" s="153">
        <v>2.3568479999999998</v>
      </c>
      <c r="K472" s="153">
        <v>2.3388209999999998</v>
      </c>
      <c r="L472" s="153">
        <v>1.276826</v>
      </c>
      <c r="M472" s="153">
        <v>0.81060699999999997</v>
      </c>
      <c r="N472" s="153">
        <v>0.63796799999999998</v>
      </c>
      <c r="O472" s="153">
        <v>0.50587800000000005</v>
      </c>
      <c r="P472" s="11"/>
      <c r="Q472" s="29"/>
      <c r="R472" s="30"/>
    </row>
    <row r="473" spans="1:18" ht="12" customHeight="1">
      <c r="A473" s="10" t="s">
        <v>372</v>
      </c>
      <c r="B473" s="11" t="s">
        <v>373</v>
      </c>
      <c r="D473" s="153">
        <v>4.3794E-2</v>
      </c>
      <c r="E473" s="153">
        <v>5.0508999999999998E-2</v>
      </c>
      <c r="F473" s="153">
        <v>5.2935999999999997E-2</v>
      </c>
      <c r="G473" s="153">
        <v>5.9408999999999997E-2</v>
      </c>
      <c r="H473" s="153">
        <v>9.5893999999999993E-2</v>
      </c>
      <c r="I473" s="153">
        <v>0.11495</v>
      </c>
      <c r="J473" s="153">
        <v>0.22540199999999999</v>
      </c>
      <c r="K473" s="153">
        <v>0.20641999999999999</v>
      </c>
      <c r="L473" s="153">
        <v>9.3178999999999998E-2</v>
      </c>
      <c r="M473" s="153">
        <v>7.3408000000000001E-2</v>
      </c>
      <c r="N473" s="153">
        <v>6.2417E-2</v>
      </c>
      <c r="O473" s="153">
        <v>5.2510000000000001E-2</v>
      </c>
      <c r="P473" s="11"/>
      <c r="Q473" s="29"/>
      <c r="R473" s="30"/>
    </row>
    <row r="474" spans="1:18" ht="12" customHeight="1">
      <c r="A474" s="10" t="s">
        <v>374</v>
      </c>
      <c r="B474" s="11" t="s">
        <v>531</v>
      </c>
      <c r="D474" s="153">
        <v>0.718144</v>
      </c>
      <c r="E474" s="153">
        <v>0.72987500000000005</v>
      </c>
      <c r="F474" s="153">
        <v>0.57741299999999995</v>
      </c>
      <c r="G474" s="153">
        <v>0.60441</v>
      </c>
      <c r="H474" s="153">
        <v>0.82760900000000004</v>
      </c>
      <c r="I474" s="153">
        <v>0.82005700000000004</v>
      </c>
      <c r="J474" s="153">
        <v>1.0575319999999999</v>
      </c>
      <c r="K474" s="153">
        <v>1.202631</v>
      </c>
      <c r="L474" s="153">
        <v>0.739842</v>
      </c>
      <c r="M474" s="153">
        <v>0.78374900000000003</v>
      </c>
      <c r="N474" s="153">
        <v>0.67618199999999995</v>
      </c>
      <c r="O474" s="153">
        <v>0.70347800000000005</v>
      </c>
      <c r="P474" s="11"/>
      <c r="Q474" s="29"/>
      <c r="R474" s="30"/>
    </row>
    <row r="475" spans="1:18" ht="12" customHeight="1">
      <c r="A475" s="10" t="s">
        <v>375</v>
      </c>
      <c r="B475" s="11" t="s">
        <v>376</v>
      </c>
      <c r="D475" s="153">
        <v>3.8761999999999998E-2</v>
      </c>
      <c r="E475" s="153">
        <v>4.5519999999999998E-2</v>
      </c>
      <c r="F475" s="153">
        <v>3.8692999999999998E-2</v>
      </c>
      <c r="G475" s="153">
        <v>4.2000999999999997E-2</v>
      </c>
      <c r="H475" s="153">
        <v>6.1903E-2</v>
      </c>
      <c r="I475" s="153">
        <v>7.1356000000000003E-2</v>
      </c>
      <c r="J475" s="153">
        <v>8.4265000000000007E-2</v>
      </c>
      <c r="K475" s="153">
        <v>9.7281000000000006E-2</v>
      </c>
      <c r="L475" s="153">
        <v>5.4153E-2</v>
      </c>
      <c r="M475" s="153">
        <v>6.0462000000000002E-2</v>
      </c>
      <c r="N475" s="153">
        <v>4.8341000000000002E-2</v>
      </c>
      <c r="O475" s="153">
        <v>3.9112000000000001E-2</v>
      </c>
      <c r="P475" s="11"/>
      <c r="Q475" s="29"/>
      <c r="R475" s="30"/>
    </row>
    <row r="476" spans="1:18" ht="12" customHeight="1">
      <c r="A476" s="10" t="s">
        <v>377</v>
      </c>
      <c r="B476" s="11" t="s">
        <v>532</v>
      </c>
      <c r="D476" s="153">
        <v>0.27496300000000001</v>
      </c>
      <c r="E476" s="153">
        <v>0.30185099999999998</v>
      </c>
      <c r="F476" s="153">
        <v>0.32328200000000001</v>
      </c>
      <c r="G476" s="153">
        <v>0.33571299999999998</v>
      </c>
      <c r="H476" s="153">
        <v>0.40698099999999998</v>
      </c>
      <c r="I476" s="153">
        <v>0.41859099999999999</v>
      </c>
      <c r="J476" s="153">
        <v>0.49268200000000001</v>
      </c>
      <c r="K476" s="153">
        <v>0.49252800000000002</v>
      </c>
      <c r="L476" s="153">
        <v>0.40969</v>
      </c>
      <c r="M476" s="153">
        <v>0.39443699999999998</v>
      </c>
      <c r="N476" s="153">
        <v>0.349192</v>
      </c>
      <c r="O476" s="153">
        <v>0.29052600000000001</v>
      </c>
      <c r="P476" s="11"/>
      <c r="Q476" s="29"/>
      <c r="R476" s="30"/>
    </row>
    <row r="477" spans="1:18" ht="12" customHeight="1">
      <c r="A477" s="10" t="s">
        <v>378</v>
      </c>
      <c r="B477" s="11" t="s">
        <v>533</v>
      </c>
      <c r="D477" s="153">
        <v>0.14383199999999999</v>
      </c>
      <c r="E477" s="153">
        <v>0.127137</v>
      </c>
      <c r="F477" s="153">
        <v>0.14171600000000001</v>
      </c>
      <c r="G477" s="153">
        <v>0.146422</v>
      </c>
      <c r="H477" s="153">
        <v>0.29391499999999998</v>
      </c>
      <c r="I477" s="153">
        <v>0.36419200000000002</v>
      </c>
      <c r="J477" s="153">
        <v>0.64041899999999996</v>
      </c>
      <c r="K477" s="153">
        <v>0.65432199999999996</v>
      </c>
      <c r="L477" s="153">
        <v>0.25613200000000003</v>
      </c>
      <c r="M477" s="153">
        <v>0.17796899999999999</v>
      </c>
      <c r="N477" s="153">
        <v>0.15626499999999999</v>
      </c>
      <c r="O477" s="153">
        <v>0.14069599999999999</v>
      </c>
      <c r="P477" s="11"/>
      <c r="Q477" s="29"/>
      <c r="R477" s="30"/>
    </row>
    <row r="478" spans="1:18" ht="12" customHeight="1">
      <c r="A478" s="10" t="s">
        <v>379</v>
      </c>
      <c r="B478" s="11" t="s">
        <v>380</v>
      </c>
      <c r="D478" s="153">
        <v>0.37973299999999999</v>
      </c>
      <c r="E478" s="153">
        <v>0.425566</v>
      </c>
      <c r="F478" s="153">
        <v>0.39627400000000002</v>
      </c>
      <c r="G478" s="153">
        <v>0.43673200000000001</v>
      </c>
      <c r="H478" s="153">
        <v>0.74609499999999995</v>
      </c>
      <c r="I478" s="153">
        <v>1.064738</v>
      </c>
      <c r="J478" s="153">
        <v>1.840217</v>
      </c>
      <c r="K478" s="153">
        <v>1.868206</v>
      </c>
      <c r="L478" s="153">
        <v>0.83867100000000006</v>
      </c>
      <c r="M478" s="153">
        <v>0.50597400000000003</v>
      </c>
      <c r="N478" s="153">
        <v>0.42793900000000001</v>
      </c>
      <c r="O478" s="153">
        <v>0.377716</v>
      </c>
      <c r="P478" s="11"/>
      <c r="Q478" s="29"/>
      <c r="R478" s="30"/>
    </row>
    <row r="479" spans="1:18" ht="12" customHeight="1">
      <c r="A479" s="10" t="s">
        <v>381</v>
      </c>
      <c r="B479" s="11" t="s">
        <v>534</v>
      </c>
      <c r="D479" s="153">
        <v>0.14169599999999999</v>
      </c>
      <c r="E479" s="153">
        <v>0.149009</v>
      </c>
      <c r="F479" s="153">
        <v>0.15079600000000001</v>
      </c>
      <c r="G479" s="153">
        <v>0.15987299999999999</v>
      </c>
      <c r="H479" s="153">
        <v>0.18928700000000001</v>
      </c>
      <c r="I479" s="153">
        <v>0.218555</v>
      </c>
      <c r="J479" s="153">
        <v>0.23854</v>
      </c>
      <c r="K479" s="153">
        <v>0.24216499999999999</v>
      </c>
      <c r="L479" s="153">
        <v>0.20630100000000001</v>
      </c>
      <c r="M479" s="153">
        <v>0.218999</v>
      </c>
      <c r="N479" s="153">
        <v>0.19595599999999999</v>
      </c>
      <c r="O479" s="153">
        <v>0.15534200000000001</v>
      </c>
      <c r="P479" s="11"/>
      <c r="Q479" s="29"/>
      <c r="R479" s="30"/>
    </row>
    <row r="480" spans="1:18" ht="12" customHeight="1">
      <c r="A480" s="10" t="s">
        <v>382</v>
      </c>
      <c r="B480" s="11" t="s">
        <v>535</v>
      </c>
      <c r="D480" s="153">
        <v>0.113708</v>
      </c>
      <c r="E480" s="153">
        <v>0.122534</v>
      </c>
      <c r="F480" s="153">
        <v>0.13306100000000001</v>
      </c>
      <c r="G480" s="153">
        <v>0.132297</v>
      </c>
      <c r="H480" s="153">
        <v>0.17354700000000001</v>
      </c>
      <c r="I480" s="153">
        <v>0.17191300000000001</v>
      </c>
      <c r="J480" s="153">
        <v>0.20758299999999999</v>
      </c>
      <c r="K480" s="153">
        <v>0.224271</v>
      </c>
      <c r="L480" s="153">
        <v>0.18521099999999999</v>
      </c>
      <c r="M480" s="153">
        <v>0.16980999999999999</v>
      </c>
      <c r="N480" s="153">
        <v>0.155135</v>
      </c>
      <c r="O480" s="153">
        <v>0.129745</v>
      </c>
      <c r="P480" s="11"/>
      <c r="Q480" s="29"/>
      <c r="R480" s="30"/>
    </row>
    <row r="481" spans="1:18" ht="12" customHeight="1">
      <c r="A481" s="10" t="s">
        <v>383</v>
      </c>
      <c r="B481" s="11" t="s">
        <v>384</v>
      </c>
      <c r="D481" s="153">
        <v>0.110512</v>
      </c>
      <c r="E481" s="153">
        <v>0.106336</v>
      </c>
      <c r="F481" s="153">
        <v>0.123298</v>
      </c>
      <c r="G481" s="153">
        <v>0.148453</v>
      </c>
      <c r="H481" s="153">
        <v>0.190806</v>
      </c>
      <c r="I481" s="153">
        <v>0.205925</v>
      </c>
      <c r="J481" s="153">
        <v>0.30283199999999999</v>
      </c>
      <c r="K481" s="153">
        <v>0.317023</v>
      </c>
      <c r="L481" s="153">
        <v>0.19686300000000001</v>
      </c>
      <c r="M481" s="153">
        <v>0.175451</v>
      </c>
      <c r="N481" s="153">
        <v>0.15506900000000001</v>
      </c>
      <c r="O481" s="153">
        <v>0.12907099999999999</v>
      </c>
      <c r="P481" s="11"/>
      <c r="Q481" s="29"/>
      <c r="R481" s="30"/>
    </row>
    <row r="482" spans="1:18" ht="12" customHeight="1">
      <c r="A482" s="10" t="s">
        <v>385</v>
      </c>
      <c r="B482" s="11" t="s">
        <v>386</v>
      </c>
      <c r="D482" s="153">
        <v>0.20238600000000001</v>
      </c>
      <c r="E482" s="153">
        <v>0.18929299999999999</v>
      </c>
      <c r="F482" s="153">
        <v>0.188523</v>
      </c>
      <c r="G482" s="153">
        <v>0.20727000000000001</v>
      </c>
      <c r="H482" s="153">
        <v>0.27886100000000003</v>
      </c>
      <c r="I482" s="153">
        <v>0.309618</v>
      </c>
      <c r="J482" s="153">
        <v>0.41607100000000002</v>
      </c>
      <c r="K482" s="153">
        <v>0.45044400000000001</v>
      </c>
      <c r="L482" s="153">
        <v>0.29364800000000002</v>
      </c>
      <c r="M482" s="153">
        <v>0.274536</v>
      </c>
      <c r="N482" s="153">
        <v>0.21257000000000001</v>
      </c>
      <c r="O482" s="153">
        <v>0.177423</v>
      </c>
      <c r="P482" s="11"/>
      <c r="Q482" s="29"/>
      <c r="R482" s="30"/>
    </row>
    <row r="483" spans="1:18" ht="12" customHeight="1">
      <c r="A483" s="10" t="s">
        <v>387</v>
      </c>
      <c r="B483" s="11" t="s">
        <v>388</v>
      </c>
      <c r="D483" s="153">
        <v>5.5723000000000002E-2</v>
      </c>
      <c r="E483" s="153">
        <v>5.4017999999999997E-2</v>
      </c>
      <c r="F483" s="153">
        <v>5.4583E-2</v>
      </c>
      <c r="G483" s="153">
        <v>6.4754000000000006E-2</v>
      </c>
      <c r="H483" s="153">
        <v>0.10062599999999999</v>
      </c>
      <c r="I483" s="153">
        <v>0.113167</v>
      </c>
      <c r="J483" s="153">
        <v>0.16731599999999999</v>
      </c>
      <c r="K483" s="153">
        <v>0.18454300000000001</v>
      </c>
      <c r="L483" s="153">
        <v>0.12223299999999999</v>
      </c>
      <c r="M483" s="153">
        <v>9.0525999999999995E-2</v>
      </c>
      <c r="N483" s="153">
        <v>7.0179000000000005E-2</v>
      </c>
      <c r="O483" s="153">
        <v>6.1973E-2</v>
      </c>
      <c r="P483" s="11"/>
      <c r="Q483" s="29"/>
      <c r="R483" s="30"/>
    </row>
    <row r="484" spans="1:18" ht="12" customHeight="1">
      <c r="A484" s="10" t="s">
        <v>389</v>
      </c>
      <c r="B484" s="11" t="s">
        <v>536</v>
      </c>
      <c r="D484" s="153">
        <v>0.41245199999999999</v>
      </c>
      <c r="E484" s="153">
        <v>0.45868100000000001</v>
      </c>
      <c r="F484" s="153">
        <v>0.473271</v>
      </c>
      <c r="G484" s="153">
        <v>0.503857</v>
      </c>
      <c r="H484" s="153">
        <v>0.57128000000000001</v>
      </c>
      <c r="I484" s="153">
        <v>0.57552300000000001</v>
      </c>
      <c r="J484" s="153">
        <v>0.56113000000000002</v>
      </c>
      <c r="K484" s="153">
        <v>0.61109400000000003</v>
      </c>
      <c r="L484" s="153">
        <v>0.61030399999999996</v>
      </c>
      <c r="M484" s="153">
        <v>0.65298100000000003</v>
      </c>
      <c r="N484" s="153">
        <v>0.60290200000000005</v>
      </c>
      <c r="O484" s="153">
        <v>0.52478899999999995</v>
      </c>
      <c r="P484" s="11"/>
      <c r="Q484" s="29"/>
      <c r="R484" s="30"/>
    </row>
    <row r="485" spans="1:18" ht="12" customHeight="1">
      <c r="A485" s="10" t="s">
        <v>390</v>
      </c>
      <c r="B485" s="11" t="s">
        <v>391</v>
      </c>
      <c r="D485" s="153">
        <v>8.4175E-2</v>
      </c>
      <c r="E485" s="153">
        <v>7.8389E-2</v>
      </c>
      <c r="F485" s="153">
        <v>8.4314E-2</v>
      </c>
      <c r="G485" s="153">
        <v>9.5684000000000005E-2</v>
      </c>
      <c r="H485" s="153">
        <v>0.113286</v>
      </c>
      <c r="I485" s="153">
        <v>0.13309499999999999</v>
      </c>
      <c r="J485" s="153">
        <v>0.151673</v>
      </c>
      <c r="K485" s="153">
        <v>0.154281</v>
      </c>
      <c r="L485" s="153">
        <v>0.131327</v>
      </c>
      <c r="M485" s="153">
        <v>0.124358</v>
      </c>
      <c r="N485" s="153">
        <v>0.113819</v>
      </c>
      <c r="O485" s="153">
        <v>0.102633</v>
      </c>
      <c r="P485" s="11"/>
      <c r="Q485" s="29"/>
      <c r="R485" s="30"/>
    </row>
    <row r="486" spans="1:18" ht="12" customHeight="1">
      <c r="A486" s="10" t="s">
        <v>392</v>
      </c>
      <c r="B486" s="11" t="s">
        <v>393</v>
      </c>
      <c r="D486" s="153">
        <v>0.29690100000000003</v>
      </c>
      <c r="E486" s="153">
        <v>0.34915400000000002</v>
      </c>
      <c r="F486" s="153">
        <v>0.38897300000000001</v>
      </c>
      <c r="G486" s="153">
        <v>0.41648400000000002</v>
      </c>
      <c r="H486" s="153">
        <v>0.45608500000000002</v>
      </c>
      <c r="I486" s="153">
        <v>0.52023200000000003</v>
      </c>
      <c r="J486" s="153">
        <v>0.627525</v>
      </c>
      <c r="K486" s="153">
        <v>0.89380800000000005</v>
      </c>
      <c r="L486" s="153">
        <v>0.53761800000000004</v>
      </c>
      <c r="M486" s="153">
        <v>0.454096</v>
      </c>
      <c r="N486" s="153">
        <v>0.42888100000000001</v>
      </c>
      <c r="O486" s="153">
        <v>0.42145500000000002</v>
      </c>
      <c r="P486" s="11"/>
      <c r="Q486" s="29"/>
      <c r="R486" s="30"/>
    </row>
    <row r="487" spans="1:18" ht="12" customHeight="1">
      <c r="A487" s="10" t="s">
        <v>394</v>
      </c>
      <c r="B487" s="11" t="s">
        <v>395</v>
      </c>
      <c r="D487" s="153">
        <v>0.12783700000000001</v>
      </c>
      <c r="E487" s="153">
        <v>0.17388700000000001</v>
      </c>
      <c r="F487" s="153">
        <v>0.250054</v>
      </c>
      <c r="G487" s="153">
        <v>0.31377100000000002</v>
      </c>
      <c r="H487" s="153">
        <v>0.34082000000000001</v>
      </c>
      <c r="I487" s="153">
        <v>0.59641100000000002</v>
      </c>
      <c r="J487" s="153">
        <v>0.98075500000000004</v>
      </c>
      <c r="K487" s="153">
        <v>1.482165</v>
      </c>
      <c r="L487" s="153">
        <v>0.66169100000000003</v>
      </c>
      <c r="M487" s="153">
        <v>0.28697699999999998</v>
      </c>
      <c r="N487" s="153">
        <v>0.17524600000000001</v>
      </c>
      <c r="O487" s="153">
        <v>0.180478</v>
      </c>
      <c r="P487" s="11"/>
      <c r="Q487" s="29"/>
      <c r="R487" s="30"/>
    </row>
    <row r="488" spans="1:18" ht="12" customHeight="1">
      <c r="A488" s="10" t="s">
        <v>3111</v>
      </c>
      <c r="B488" s="11" t="s">
        <v>3112</v>
      </c>
      <c r="D488" s="153">
        <v>0.21476700000000001</v>
      </c>
      <c r="E488" s="153">
        <v>0.246091</v>
      </c>
      <c r="F488" s="153">
        <v>0.28025600000000001</v>
      </c>
      <c r="G488" s="153">
        <v>0.28297899999999998</v>
      </c>
      <c r="H488" s="153">
        <v>0.30921799999999999</v>
      </c>
      <c r="I488" s="153">
        <v>0.34549800000000003</v>
      </c>
      <c r="J488" s="153">
        <v>0.47075800000000001</v>
      </c>
      <c r="K488" s="153">
        <v>0.80764199999999997</v>
      </c>
      <c r="L488" s="153">
        <v>0.38652399999999998</v>
      </c>
      <c r="M488" s="153">
        <v>0.29649300000000001</v>
      </c>
      <c r="N488" s="153">
        <v>0.285549</v>
      </c>
      <c r="O488" s="153">
        <v>0.27837899999999999</v>
      </c>
      <c r="P488" s="11"/>
      <c r="Q488" s="29"/>
      <c r="R488" s="30"/>
    </row>
    <row r="489" spans="1:18" ht="12" customHeight="1">
      <c r="A489" s="10" t="s">
        <v>3113</v>
      </c>
      <c r="B489" s="11" t="s">
        <v>3057</v>
      </c>
      <c r="D489" s="153">
        <v>0.23351</v>
      </c>
      <c r="E489" s="153">
        <v>0.26269199999999998</v>
      </c>
      <c r="F489" s="153">
        <v>0.293875</v>
      </c>
      <c r="G489" s="153">
        <v>0.30811699999999997</v>
      </c>
      <c r="H489" s="153">
        <v>0.31623000000000001</v>
      </c>
      <c r="I489" s="153">
        <v>0.32841999999999999</v>
      </c>
      <c r="J489" s="153">
        <v>0.34153800000000001</v>
      </c>
      <c r="K489" s="153">
        <v>0.34249200000000002</v>
      </c>
      <c r="L489" s="153">
        <v>0.30255900000000002</v>
      </c>
      <c r="M489" s="153">
        <v>0.31709100000000001</v>
      </c>
      <c r="N489" s="153">
        <v>0.31611499999999998</v>
      </c>
      <c r="O489" s="153">
        <v>0.30810599999999999</v>
      </c>
      <c r="P489" s="11"/>
      <c r="Q489" s="29"/>
      <c r="R489" s="30"/>
    </row>
    <row r="490" spans="1:18" ht="12" customHeight="1">
      <c r="A490" s="10" t="s">
        <v>3114</v>
      </c>
      <c r="B490" s="11" t="s">
        <v>3059</v>
      </c>
      <c r="D490" s="153">
        <v>6.7699999999999996E-2</v>
      </c>
      <c r="E490" s="153">
        <v>7.7248999999999998E-2</v>
      </c>
      <c r="F490" s="153">
        <v>8.6956000000000006E-2</v>
      </c>
      <c r="G490" s="153">
        <v>0.104534</v>
      </c>
      <c r="H490" s="153">
        <v>0.111064</v>
      </c>
      <c r="I490" s="153">
        <v>0.15246000000000001</v>
      </c>
      <c r="J490" s="153">
        <v>0.232713</v>
      </c>
      <c r="K490" s="153">
        <v>0.30576199999999998</v>
      </c>
      <c r="L490" s="153">
        <v>0.17237</v>
      </c>
      <c r="M490" s="153">
        <v>0.112786</v>
      </c>
      <c r="N490" s="153">
        <v>8.0792000000000003E-2</v>
      </c>
      <c r="O490" s="153">
        <v>7.8284000000000006E-2</v>
      </c>
      <c r="P490" s="11"/>
      <c r="Q490" s="29"/>
      <c r="R490" s="30"/>
    </row>
    <row r="491" spans="1:18" ht="12" customHeight="1">
      <c r="A491" s="10" t="s">
        <v>3115</v>
      </c>
      <c r="B491" s="11" t="s">
        <v>396</v>
      </c>
      <c r="D491" s="153">
        <v>9.0175000000000005E-2</v>
      </c>
      <c r="E491" s="153">
        <v>0.124893</v>
      </c>
      <c r="F491" s="153">
        <v>0.155362</v>
      </c>
      <c r="G491" s="153">
        <v>0.18629799999999999</v>
      </c>
      <c r="H491" s="153">
        <v>0.21557000000000001</v>
      </c>
      <c r="I491" s="153">
        <v>0.28218599999999999</v>
      </c>
      <c r="J491" s="153">
        <v>0.42660399999999998</v>
      </c>
      <c r="K491" s="153">
        <v>0.67588400000000004</v>
      </c>
      <c r="L491" s="153">
        <v>0.31385999999999997</v>
      </c>
      <c r="M491" s="153">
        <v>0.18174000000000001</v>
      </c>
      <c r="N491" s="153">
        <v>0.15812000000000001</v>
      </c>
      <c r="O491" s="153">
        <v>0.13398099999999999</v>
      </c>
      <c r="P491" s="11"/>
      <c r="Q491" s="29"/>
      <c r="R491" s="30"/>
    </row>
    <row r="492" spans="1:18" ht="12" customHeight="1">
      <c r="A492" s="10" t="s">
        <v>3116</v>
      </c>
      <c r="B492" s="11" t="s">
        <v>3117</v>
      </c>
      <c r="D492" s="153">
        <v>8.6610000000000006E-2</v>
      </c>
      <c r="E492" s="153">
        <v>0.105443</v>
      </c>
      <c r="F492" s="153">
        <v>0.126855</v>
      </c>
      <c r="G492" s="153">
        <v>0.14221200000000001</v>
      </c>
      <c r="H492" s="153">
        <v>0.16908400000000001</v>
      </c>
      <c r="I492" s="153">
        <v>0.18971199999999999</v>
      </c>
      <c r="J492" s="153">
        <v>0.276007</v>
      </c>
      <c r="K492" s="153">
        <v>0.40139000000000002</v>
      </c>
      <c r="L492" s="153">
        <v>0.21137600000000001</v>
      </c>
      <c r="M492" s="153">
        <v>0.14957400000000001</v>
      </c>
      <c r="N492" s="153">
        <v>0.146006</v>
      </c>
      <c r="O492" s="153">
        <v>0.12906400000000001</v>
      </c>
      <c r="P492" s="11"/>
      <c r="Q492" s="29"/>
      <c r="R492" s="30"/>
    </row>
    <row r="493" spans="1:18" ht="12" customHeight="1">
      <c r="A493" s="10" t="s">
        <v>397</v>
      </c>
      <c r="B493" s="11" t="s">
        <v>537</v>
      </c>
      <c r="D493" s="153">
        <v>5.2201999999999998E-2</v>
      </c>
      <c r="E493" s="153">
        <v>7.4334999999999998E-2</v>
      </c>
      <c r="F493" s="153">
        <v>9.6185000000000007E-2</v>
      </c>
      <c r="G493" s="153">
        <v>0.11480899999999999</v>
      </c>
      <c r="H493" s="153">
        <v>0.110169</v>
      </c>
      <c r="I493" s="153">
        <v>0.10797900000000001</v>
      </c>
      <c r="J493" s="153">
        <v>0.103755</v>
      </c>
      <c r="K493" s="153">
        <v>0.115679</v>
      </c>
      <c r="L493" s="153">
        <v>0.105337</v>
      </c>
      <c r="M493" s="153">
        <v>0.10176200000000001</v>
      </c>
      <c r="N493" s="153">
        <v>7.7592999999999995E-2</v>
      </c>
      <c r="O493" s="153">
        <v>5.0809E-2</v>
      </c>
      <c r="P493" s="11"/>
      <c r="Q493" s="29"/>
      <c r="R493" s="30"/>
    </row>
    <row r="494" spans="1:18" ht="12" customHeight="1">
      <c r="A494" s="16" t="s">
        <v>398</v>
      </c>
      <c r="B494" s="11" t="s">
        <v>538</v>
      </c>
      <c r="D494" s="153">
        <v>6.8357000000000001E-2</v>
      </c>
      <c r="E494" s="153">
        <v>8.7196999999999997E-2</v>
      </c>
      <c r="F494" s="153">
        <v>0.100757</v>
      </c>
      <c r="G494" s="153">
        <v>0.10304099999999999</v>
      </c>
      <c r="H494" s="153">
        <v>0.116314</v>
      </c>
      <c r="I494" s="153">
        <v>0.13861499999999999</v>
      </c>
      <c r="J494" s="153">
        <v>0.143293</v>
      </c>
      <c r="K494" s="153">
        <v>0.165606</v>
      </c>
      <c r="L494" s="153">
        <v>0.132026</v>
      </c>
      <c r="M494" s="153">
        <v>0.13536100000000001</v>
      </c>
      <c r="N494" s="153">
        <v>0.112623</v>
      </c>
      <c r="O494" s="153">
        <v>0.105527</v>
      </c>
      <c r="P494" s="11"/>
      <c r="Q494" s="29"/>
      <c r="R494" s="30"/>
    </row>
    <row r="495" spans="1:18" ht="12" customHeight="1">
      <c r="A495" s="16" t="s">
        <v>399</v>
      </c>
      <c r="B495" s="11" t="s">
        <v>400</v>
      </c>
      <c r="D495" s="153">
        <v>0.173037</v>
      </c>
      <c r="E495" s="153">
        <v>0.19811899999999999</v>
      </c>
      <c r="F495" s="153">
        <v>0.189442</v>
      </c>
      <c r="G495" s="153">
        <v>0.206015</v>
      </c>
      <c r="H495" s="153">
        <v>0.26133699999999999</v>
      </c>
      <c r="I495" s="153">
        <v>0.31025799999999998</v>
      </c>
      <c r="J495" s="153">
        <v>0.39862199999999998</v>
      </c>
      <c r="K495" s="153">
        <v>0.46120499999999998</v>
      </c>
      <c r="L495" s="153">
        <v>0.306008</v>
      </c>
      <c r="M495" s="153">
        <v>0.30140600000000001</v>
      </c>
      <c r="N495" s="153">
        <v>0.24917700000000001</v>
      </c>
      <c r="O495" s="153">
        <v>0.222556</v>
      </c>
      <c r="P495" s="11"/>
      <c r="Q495" s="29"/>
      <c r="R495" s="30"/>
    </row>
    <row r="496" spans="1:18" ht="12" customHeight="1">
      <c r="A496" s="16" t="s">
        <v>401</v>
      </c>
      <c r="B496" s="11" t="s">
        <v>402</v>
      </c>
      <c r="D496" s="153">
        <v>0.343115</v>
      </c>
      <c r="E496" s="153">
        <v>0.40975099999999998</v>
      </c>
      <c r="F496" s="153">
        <v>0.33496300000000001</v>
      </c>
      <c r="G496" s="153">
        <v>0.33382000000000001</v>
      </c>
      <c r="H496" s="153">
        <v>0.39958300000000002</v>
      </c>
      <c r="I496" s="153">
        <v>0.44118400000000002</v>
      </c>
      <c r="J496" s="153">
        <v>0.58501800000000004</v>
      </c>
      <c r="K496" s="153">
        <v>0.668956</v>
      </c>
      <c r="L496" s="153">
        <v>0.47012500000000002</v>
      </c>
      <c r="M496" s="153">
        <v>0.47703000000000001</v>
      </c>
      <c r="N496" s="153">
        <v>0.39992100000000003</v>
      </c>
      <c r="O496" s="153">
        <v>0.43357400000000001</v>
      </c>
      <c r="P496" s="11"/>
      <c r="Q496" s="29"/>
      <c r="R496" s="30"/>
    </row>
    <row r="497" spans="1:18" ht="12" customHeight="1">
      <c r="A497" s="16" t="s">
        <v>403</v>
      </c>
      <c r="B497" s="11" t="s">
        <v>269</v>
      </c>
      <c r="D497" s="153">
        <v>0.13983999999999999</v>
      </c>
      <c r="E497" s="153">
        <v>0.14186099999999999</v>
      </c>
      <c r="F497" s="153">
        <v>0.14449999999999999</v>
      </c>
      <c r="G497" s="153">
        <v>0.16343199999999999</v>
      </c>
      <c r="H497" s="153">
        <v>0.205678</v>
      </c>
      <c r="I497" s="153">
        <v>0.23350399999999999</v>
      </c>
      <c r="J497" s="153">
        <v>0.31117600000000001</v>
      </c>
      <c r="K497" s="153">
        <v>0.380888</v>
      </c>
      <c r="L497" s="153">
        <v>0.232319</v>
      </c>
      <c r="M497" s="153">
        <v>0.240372</v>
      </c>
      <c r="N497" s="153">
        <v>0.18280099999999999</v>
      </c>
      <c r="O497" s="153">
        <v>0.186779</v>
      </c>
      <c r="P497" s="11"/>
      <c r="Q497" s="29"/>
      <c r="R497" s="30"/>
    </row>
    <row r="498" spans="1:18" ht="12" customHeight="1">
      <c r="A498" s="16" t="s">
        <v>404</v>
      </c>
      <c r="B498" s="11" t="s">
        <v>405</v>
      </c>
      <c r="D498" s="153">
        <v>6.8303000000000003E-2</v>
      </c>
      <c r="E498" s="153">
        <v>8.8650000000000007E-2</v>
      </c>
      <c r="F498" s="153">
        <v>9.7508999999999998E-2</v>
      </c>
      <c r="G498" s="153">
        <v>0.119017</v>
      </c>
      <c r="H498" s="153">
        <v>0.18645900000000001</v>
      </c>
      <c r="I498" s="153">
        <v>0.66310400000000003</v>
      </c>
      <c r="J498" s="153">
        <v>1.9900070000000001</v>
      </c>
      <c r="K498" s="153">
        <v>2.3178429999999999</v>
      </c>
      <c r="L498" s="153">
        <v>0.51627599999999996</v>
      </c>
      <c r="M498" s="153">
        <v>0.15470700000000001</v>
      </c>
      <c r="N498" s="153">
        <v>0.118936</v>
      </c>
      <c r="O498" s="153">
        <v>8.4373000000000004E-2</v>
      </c>
      <c r="P498" s="11"/>
      <c r="Q498" s="29"/>
      <c r="R498" s="30"/>
    </row>
    <row r="499" spans="1:18" ht="12" customHeight="1">
      <c r="A499" s="16" t="s">
        <v>406</v>
      </c>
      <c r="B499" s="11" t="s">
        <v>23</v>
      </c>
      <c r="D499" s="153">
        <v>0.129384</v>
      </c>
      <c r="E499" s="153">
        <v>0.14654600000000001</v>
      </c>
      <c r="F499" s="153">
        <v>0.126334</v>
      </c>
      <c r="G499" s="153">
        <v>0.12699099999999999</v>
      </c>
      <c r="H499" s="153">
        <v>0.16362699999999999</v>
      </c>
      <c r="I499" s="153">
        <v>0.19822899999999999</v>
      </c>
      <c r="J499" s="153">
        <v>0.25396800000000003</v>
      </c>
      <c r="K499" s="153">
        <v>0.28298499999999999</v>
      </c>
      <c r="L499" s="153">
        <v>0.19842799999999999</v>
      </c>
      <c r="M499" s="153">
        <v>0.17283699999999999</v>
      </c>
      <c r="N499" s="153">
        <v>0.162934</v>
      </c>
      <c r="O499" s="153">
        <v>0.153811</v>
      </c>
      <c r="P499" s="11"/>
      <c r="Q499" s="29"/>
      <c r="R499" s="30"/>
    </row>
    <row r="500" spans="1:18" ht="12" customHeight="1">
      <c r="A500" s="10" t="s">
        <v>407</v>
      </c>
      <c r="B500" s="11" t="s">
        <v>22</v>
      </c>
      <c r="D500" s="153">
        <v>0.113959</v>
      </c>
      <c r="E500" s="153">
        <v>0.12962299999999999</v>
      </c>
      <c r="F500" s="153">
        <v>0.140371</v>
      </c>
      <c r="G500" s="153">
        <v>0.13694400000000001</v>
      </c>
      <c r="H500" s="153">
        <v>0.14698</v>
      </c>
      <c r="I500" s="153">
        <v>0.14877599999999999</v>
      </c>
      <c r="J500" s="153">
        <v>0.14439199999999999</v>
      </c>
      <c r="K500" s="153">
        <v>0.14560000000000001</v>
      </c>
      <c r="L500" s="153">
        <v>0.162966</v>
      </c>
      <c r="M500" s="153">
        <v>0.17479700000000001</v>
      </c>
      <c r="N500" s="153">
        <v>0.16014999999999999</v>
      </c>
      <c r="O500" s="153">
        <v>0.13906199999999999</v>
      </c>
      <c r="P500" s="11"/>
      <c r="Q500" s="29"/>
      <c r="R500" s="30"/>
    </row>
    <row r="501" spans="1:18" ht="12" customHeight="1">
      <c r="A501" s="10" t="s">
        <v>408</v>
      </c>
      <c r="B501" s="11" t="s">
        <v>21</v>
      </c>
      <c r="D501" s="153">
        <v>0.12160600000000001</v>
      </c>
      <c r="E501" s="153">
        <v>0.126554</v>
      </c>
      <c r="F501" s="153">
        <v>0.121721</v>
      </c>
      <c r="G501" s="153">
        <v>0.120064</v>
      </c>
      <c r="H501" s="153">
        <v>0.15662799999999999</v>
      </c>
      <c r="I501" s="153">
        <v>0.211646</v>
      </c>
      <c r="J501" s="153">
        <v>0.25711699999999998</v>
      </c>
      <c r="K501" s="153">
        <v>0.304531</v>
      </c>
      <c r="L501" s="153">
        <v>0.216254</v>
      </c>
      <c r="M501" s="153">
        <v>0.202317</v>
      </c>
      <c r="N501" s="153">
        <v>0.17072699999999999</v>
      </c>
      <c r="O501" s="153">
        <v>0.14996799999999999</v>
      </c>
      <c r="P501" s="11"/>
      <c r="Q501" s="29"/>
      <c r="R501" s="30"/>
    </row>
    <row r="502" spans="1:18" ht="12" customHeight="1">
      <c r="A502" s="10" t="s">
        <v>409</v>
      </c>
      <c r="B502" s="11" t="s">
        <v>410</v>
      </c>
      <c r="D502" s="153">
        <v>7.9203999999999997E-2</v>
      </c>
      <c r="E502" s="153">
        <v>9.1849E-2</v>
      </c>
      <c r="F502" s="153">
        <v>9.7524E-2</v>
      </c>
      <c r="G502" s="153">
        <v>0.109831</v>
      </c>
      <c r="H502" s="153">
        <v>0.135213</v>
      </c>
      <c r="I502" s="153">
        <v>0.161888</v>
      </c>
      <c r="J502" s="153">
        <v>0.193768</v>
      </c>
      <c r="K502" s="153">
        <v>0.23314299999999999</v>
      </c>
      <c r="L502" s="153">
        <v>0.18634300000000001</v>
      </c>
      <c r="M502" s="153">
        <v>0.15909000000000001</v>
      </c>
      <c r="N502" s="153">
        <v>0.13503200000000001</v>
      </c>
      <c r="O502" s="153">
        <v>0.110746</v>
      </c>
      <c r="P502" s="11"/>
      <c r="Q502" s="29"/>
      <c r="R502" s="30"/>
    </row>
    <row r="503" spans="1:18" ht="12" customHeight="1">
      <c r="A503" s="10" t="s">
        <v>411</v>
      </c>
      <c r="B503" s="11" t="s">
        <v>412</v>
      </c>
      <c r="D503" s="153">
        <v>0.17372799999999999</v>
      </c>
      <c r="E503" s="153">
        <v>0.216889</v>
      </c>
      <c r="F503" s="153">
        <v>0.17702200000000001</v>
      </c>
      <c r="G503" s="153">
        <v>0.16016</v>
      </c>
      <c r="H503" s="153">
        <v>0.17942900000000001</v>
      </c>
      <c r="I503" s="153">
        <v>0.208901</v>
      </c>
      <c r="J503" s="153">
        <v>0.24951599999999999</v>
      </c>
      <c r="K503" s="153">
        <v>0.29384700000000002</v>
      </c>
      <c r="L503" s="153">
        <v>0.17724100000000001</v>
      </c>
      <c r="M503" s="153">
        <v>0.194129</v>
      </c>
      <c r="N503" s="153">
        <v>0.17430499999999999</v>
      </c>
      <c r="O503" s="153">
        <v>0.17699599999999999</v>
      </c>
      <c r="P503" s="11"/>
      <c r="Q503" s="29"/>
      <c r="R503" s="30"/>
    </row>
    <row r="504" spans="1:18" ht="12" customHeight="1">
      <c r="A504" s="10" t="s">
        <v>413</v>
      </c>
      <c r="B504" s="11" t="s">
        <v>414</v>
      </c>
      <c r="D504" s="153">
        <v>0.103593</v>
      </c>
      <c r="E504" s="153">
        <v>0.160551</v>
      </c>
      <c r="F504" s="153">
        <v>0.126774</v>
      </c>
      <c r="G504" s="153">
        <v>0.12523899999999999</v>
      </c>
      <c r="H504" s="153">
        <v>0.15409400000000001</v>
      </c>
      <c r="I504" s="153">
        <v>0.21407699999999999</v>
      </c>
      <c r="J504" s="153">
        <v>0.31370900000000002</v>
      </c>
      <c r="K504" s="153">
        <v>0.33912100000000001</v>
      </c>
      <c r="L504" s="153">
        <v>0.18087500000000001</v>
      </c>
      <c r="M504" s="153">
        <v>0.15578500000000001</v>
      </c>
      <c r="N504" s="153">
        <v>0.119812</v>
      </c>
      <c r="O504" s="153">
        <v>0.12275899999999999</v>
      </c>
      <c r="P504" s="11"/>
      <c r="Q504" s="29"/>
      <c r="R504" s="30"/>
    </row>
    <row r="505" spans="1:18" ht="12" customHeight="1">
      <c r="A505" s="10" t="s">
        <v>415</v>
      </c>
      <c r="B505" s="11" t="s">
        <v>416</v>
      </c>
      <c r="D505" s="153">
        <v>5.5550000000000002E-2</v>
      </c>
      <c r="E505" s="153">
        <v>6.2795000000000004E-2</v>
      </c>
      <c r="F505" s="153">
        <v>7.3360999999999996E-2</v>
      </c>
      <c r="G505" s="153">
        <v>7.4884000000000006E-2</v>
      </c>
      <c r="H505" s="153">
        <v>9.4538999999999998E-2</v>
      </c>
      <c r="I505" s="153">
        <v>9.3373999999999999E-2</v>
      </c>
      <c r="J505" s="153">
        <v>0.13672799999999999</v>
      </c>
      <c r="K505" s="153">
        <v>0.12609200000000001</v>
      </c>
      <c r="L505" s="153">
        <v>8.5573999999999997E-2</v>
      </c>
      <c r="M505" s="153">
        <v>9.2536999999999994E-2</v>
      </c>
      <c r="N505" s="153">
        <v>8.6666000000000007E-2</v>
      </c>
      <c r="O505" s="153">
        <v>7.3880000000000001E-2</v>
      </c>
      <c r="P505" s="11"/>
      <c r="Q505" s="29"/>
      <c r="R505" s="30"/>
    </row>
    <row r="506" spans="1:18" ht="12" customHeight="1">
      <c r="A506" s="10" t="s">
        <v>417</v>
      </c>
      <c r="B506" s="11" t="s">
        <v>418</v>
      </c>
      <c r="D506" s="153">
        <v>9.1176999999999994E-2</v>
      </c>
      <c r="E506" s="153">
        <v>0.121141</v>
      </c>
      <c r="F506" s="153">
        <v>0.145375</v>
      </c>
      <c r="G506" s="153">
        <v>0.152089</v>
      </c>
      <c r="H506" s="153">
        <v>0.19860700000000001</v>
      </c>
      <c r="I506" s="153">
        <v>0.23943999999999999</v>
      </c>
      <c r="J506" s="153">
        <v>0.34232299999999999</v>
      </c>
      <c r="K506" s="153">
        <v>0.33910699999999999</v>
      </c>
      <c r="L506" s="153">
        <v>0.18729699999999999</v>
      </c>
      <c r="M506" s="153">
        <v>0.18709999999999999</v>
      </c>
      <c r="N506" s="153">
        <v>0.17142499999999999</v>
      </c>
      <c r="O506" s="153">
        <v>9.1565999999999995E-2</v>
      </c>
      <c r="P506" s="11"/>
      <c r="Q506" s="29"/>
      <c r="R506" s="30"/>
    </row>
    <row r="507" spans="1:18" ht="12" customHeight="1">
      <c r="A507" s="10" t="s">
        <v>419</v>
      </c>
      <c r="B507" s="11" t="s">
        <v>420</v>
      </c>
      <c r="D507" s="153">
        <v>0.263567</v>
      </c>
      <c r="E507" s="153">
        <v>0.29524099999999998</v>
      </c>
      <c r="F507" s="153">
        <v>0.27242100000000002</v>
      </c>
      <c r="G507" s="153">
        <v>0.20877999999999999</v>
      </c>
      <c r="H507" s="153">
        <v>0.27328999999999998</v>
      </c>
      <c r="I507" s="153">
        <v>0.30933500000000003</v>
      </c>
      <c r="J507" s="153">
        <v>0.45206600000000002</v>
      </c>
      <c r="K507" s="153">
        <v>0.52698599999999995</v>
      </c>
      <c r="L507" s="153">
        <v>0.28327200000000002</v>
      </c>
      <c r="M507" s="153">
        <v>0.29935299999999998</v>
      </c>
      <c r="N507" s="153">
        <v>0.26393</v>
      </c>
      <c r="O507" s="153">
        <v>0.21820200000000001</v>
      </c>
      <c r="P507" s="11"/>
      <c r="Q507" s="29"/>
      <c r="R507" s="30"/>
    </row>
    <row r="508" spans="1:18" ht="12" customHeight="1">
      <c r="A508" s="10" t="s">
        <v>421</v>
      </c>
      <c r="B508" s="11" t="s">
        <v>422</v>
      </c>
      <c r="D508" s="153">
        <v>0.18243999999999999</v>
      </c>
      <c r="E508" s="153">
        <v>0.21034800000000001</v>
      </c>
      <c r="F508" s="153">
        <v>0.20616100000000001</v>
      </c>
      <c r="G508" s="153">
        <v>0.16145300000000001</v>
      </c>
      <c r="H508" s="153">
        <v>0.214111</v>
      </c>
      <c r="I508" s="153">
        <v>0.237899</v>
      </c>
      <c r="J508" s="153">
        <v>0.33133699999999999</v>
      </c>
      <c r="K508" s="153">
        <v>0.363626</v>
      </c>
      <c r="L508" s="153">
        <v>0.229937</v>
      </c>
      <c r="M508" s="153">
        <v>0.25482500000000002</v>
      </c>
      <c r="N508" s="153">
        <v>0.2051</v>
      </c>
      <c r="O508" s="153">
        <v>0.18271499999999999</v>
      </c>
      <c r="P508" s="11"/>
      <c r="Q508" s="29"/>
      <c r="R508" s="30"/>
    </row>
    <row r="509" spans="1:18" ht="12" customHeight="1">
      <c r="A509" s="10" t="s">
        <v>423</v>
      </c>
      <c r="B509" s="11" t="s">
        <v>424</v>
      </c>
      <c r="D509" s="153">
        <v>0.21889400000000001</v>
      </c>
      <c r="E509" s="153">
        <v>0.2913</v>
      </c>
      <c r="F509" s="153">
        <v>0.29938399999999998</v>
      </c>
      <c r="G509" s="153">
        <v>0.26217299999999999</v>
      </c>
      <c r="H509" s="153">
        <v>0.28425899999999998</v>
      </c>
      <c r="I509" s="153">
        <v>0.438861</v>
      </c>
      <c r="J509" s="153">
        <v>0.67954999999999999</v>
      </c>
      <c r="K509" s="153">
        <v>0.39587099999999997</v>
      </c>
      <c r="L509" s="153">
        <v>0.27990300000000001</v>
      </c>
      <c r="M509" s="153">
        <v>0.30864599999999998</v>
      </c>
      <c r="N509" s="153">
        <v>0.25786300000000001</v>
      </c>
      <c r="O509" s="153">
        <v>0.228155</v>
      </c>
      <c r="P509" s="11"/>
      <c r="Q509" s="29"/>
      <c r="R509" s="30"/>
    </row>
    <row r="510" spans="1:18" ht="12" customHeight="1">
      <c r="A510" s="10" t="s">
        <v>425</v>
      </c>
      <c r="B510" s="11" t="s">
        <v>426</v>
      </c>
      <c r="D510" s="153">
        <v>0.243814</v>
      </c>
      <c r="E510" s="153">
        <v>0.26748100000000002</v>
      </c>
      <c r="F510" s="153">
        <v>0.29152</v>
      </c>
      <c r="G510" s="153">
        <v>0.295709</v>
      </c>
      <c r="H510" s="153">
        <v>0.33150000000000002</v>
      </c>
      <c r="I510" s="153">
        <v>0.40567300000000001</v>
      </c>
      <c r="J510" s="153">
        <v>0.461839</v>
      </c>
      <c r="K510" s="153">
        <v>0.38533499999999998</v>
      </c>
      <c r="L510" s="153">
        <v>0.31640800000000002</v>
      </c>
      <c r="M510" s="153">
        <v>0.37256</v>
      </c>
      <c r="N510" s="153">
        <v>0.337866</v>
      </c>
      <c r="O510" s="153">
        <v>0.266876</v>
      </c>
      <c r="P510" s="11"/>
      <c r="Q510" s="29"/>
      <c r="R510" s="30"/>
    </row>
    <row r="511" spans="1:18" ht="12" customHeight="1">
      <c r="A511" s="10" t="s">
        <v>427</v>
      </c>
      <c r="B511" s="11" t="s">
        <v>428</v>
      </c>
      <c r="D511" s="153">
        <v>0.14388100000000001</v>
      </c>
      <c r="E511" s="153">
        <v>0.18743399999999999</v>
      </c>
      <c r="F511" s="153">
        <v>0.197403</v>
      </c>
      <c r="G511" s="153">
        <v>0.17349999999999999</v>
      </c>
      <c r="H511" s="153">
        <v>0.21879699999999999</v>
      </c>
      <c r="I511" s="153">
        <v>0.327017</v>
      </c>
      <c r="J511" s="153">
        <v>0.47750100000000001</v>
      </c>
      <c r="K511" s="153">
        <v>0.30773600000000001</v>
      </c>
      <c r="L511" s="153">
        <v>0.205677</v>
      </c>
      <c r="M511" s="153">
        <v>0.23070499999999999</v>
      </c>
      <c r="N511" s="153">
        <v>0.18357399999999999</v>
      </c>
      <c r="O511" s="153">
        <v>0.157525</v>
      </c>
      <c r="P511" s="11"/>
      <c r="Q511" s="29"/>
      <c r="R511" s="30"/>
    </row>
    <row r="512" spans="1:18" ht="12" customHeight="1">
      <c r="A512" s="10" t="s">
        <v>429</v>
      </c>
      <c r="B512" s="11" t="s">
        <v>430</v>
      </c>
      <c r="D512" s="153">
        <v>0.29036499999999998</v>
      </c>
      <c r="E512" s="153">
        <v>0.41078999999999999</v>
      </c>
      <c r="F512" s="153">
        <v>0.54143799999999997</v>
      </c>
      <c r="G512" s="153">
        <v>0.408833</v>
      </c>
      <c r="H512" s="153">
        <v>0.28267799999999998</v>
      </c>
      <c r="I512" s="153">
        <v>0.55337700000000001</v>
      </c>
      <c r="J512" s="153">
        <v>0.86158999999999997</v>
      </c>
      <c r="K512" s="153">
        <v>0.53036300000000003</v>
      </c>
      <c r="L512" s="153">
        <v>0.50065800000000005</v>
      </c>
      <c r="M512" s="153">
        <v>0.367531</v>
      </c>
      <c r="N512" s="153">
        <v>0.29449999999999998</v>
      </c>
      <c r="O512" s="153">
        <v>0.31958700000000001</v>
      </c>
      <c r="P512" s="11"/>
      <c r="Q512" s="29"/>
      <c r="R512" s="30"/>
    </row>
    <row r="513" spans="1:18" ht="12" customHeight="1">
      <c r="A513" s="10" t="s">
        <v>432</v>
      </c>
      <c r="B513" s="127" t="s">
        <v>431</v>
      </c>
      <c r="D513" s="153">
        <v>3.078E-3</v>
      </c>
      <c r="E513" s="153">
        <v>3.8530000000000001E-3</v>
      </c>
      <c r="F513" s="153">
        <v>4.8040000000000001E-3</v>
      </c>
      <c r="G513" s="153">
        <v>9.1529999999999997E-3</v>
      </c>
      <c r="H513" s="153">
        <v>2.1578E-2</v>
      </c>
      <c r="I513" s="153">
        <v>4.6496000000000003E-2</v>
      </c>
      <c r="J513" s="153">
        <v>6.3800999999999997E-2</v>
      </c>
      <c r="K513" s="153">
        <v>3.1018E-2</v>
      </c>
      <c r="L513" s="153">
        <v>1.4468999999999999E-2</v>
      </c>
      <c r="M513" s="153">
        <v>8.3350000000000004E-3</v>
      </c>
      <c r="N513" s="153">
        <v>5.2760000000000003E-3</v>
      </c>
      <c r="O513" s="153">
        <v>3.9709999999999997E-3</v>
      </c>
      <c r="P513" s="127"/>
      <c r="Q513" s="29"/>
      <c r="R513" s="30"/>
    </row>
    <row r="514" spans="1:18" ht="12" customHeight="1">
      <c r="A514" s="10" t="s">
        <v>433</v>
      </c>
      <c r="B514" s="127" t="s">
        <v>434</v>
      </c>
      <c r="D514" s="153">
        <v>0.64154</v>
      </c>
      <c r="E514" s="153">
        <v>0.64538099999999998</v>
      </c>
      <c r="F514" s="153">
        <v>0.75167700000000004</v>
      </c>
      <c r="G514" s="153">
        <v>0.76083900000000004</v>
      </c>
      <c r="H514" s="153">
        <v>0.89393100000000003</v>
      </c>
      <c r="I514" s="153">
        <v>0.85359399999999996</v>
      </c>
      <c r="J514" s="153">
        <v>1.042699</v>
      </c>
      <c r="K514" s="153">
        <v>0.98709999999999998</v>
      </c>
      <c r="L514" s="153">
        <v>0.857159</v>
      </c>
      <c r="M514" s="153">
        <v>0.86470899999999995</v>
      </c>
      <c r="N514" s="153">
        <v>0.82199500000000003</v>
      </c>
      <c r="O514" s="153">
        <v>0.63680000000000003</v>
      </c>
      <c r="P514" s="127"/>
      <c r="Q514" s="29"/>
      <c r="R514" s="30"/>
    </row>
    <row r="515" spans="1:18" ht="12" customHeight="1">
      <c r="A515" s="10" t="s">
        <v>435</v>
      </c>
      <c r="B515" s="127" t="s">
        <v>436</v>
      </c>
      <c r="D515" s="153">
        <v>0.25960899999999998</v>
      </c>
      <c r="E515" s="153">
        <v>0.28259499999999999</v>
      </c>
      <c r="F515" s="153">
        <v>0.33044099999999998</v>
      </c>
      <c r="G515" s="153">
        <v>0.361788</v>
      </c>
      <c r="H515" s="153">
        <v>0.53751099999999996</v>
      </c>
      <c r="I515" s="153">
        <v>0.64413100000000001</v>
      </c>
      <c r="J515" s="153">
        <v>1.0297510000000001</v>
      </c>
      <c r="K515" s="153">
        <v>0.71118800000000004</v>
      </c>
      <c r="L515" s="153">
        <v>0.4209</v>
      </c>
      <c r="M515" s="153">
        <v>0.383073</v>
      </c>
      <c r="N515" s="153">
        <v>0.33718999999999999</v>
      </c>
      <c r="O515" s="153">
        <v>0.25177500000000003</v>
      </c>
      <c r="P515" s="127"/>
      <c r="Q515" s="29"/>
      <c r="R515" s="30"/>
    </row>
    <row r="516" spans="1:18" ht="12" customHeight="1">
      <c r="A516" s="10" t="s">
        <v>437</v>
      </c>
      <c r="B516" s="127" t="s">
        <v>438</v>
      </c>
      <c r="D516" s="153">
        <v>0.15061099999999999</v>
      </c>
      <c r="E516" s="153">
        <v>0.15307100000000001</v>
      </c>
      <c r="F516" s="153">
        <v>0.19631999999999999</v>
      </c>
      <c r="G516" s="153">
        <v>0.20182800000000001</v>
      </c>
      <c r="H516" s="153">
        <v>0.44273499999999999</v>
      </c>
      <c r="I516" s="153">
        <v>0.73543499999999995</v>
      </c>
      <c r="J516" s="153">
        <v>1.6622429999999999</v>
      </c>
      <c r="K516" s="153">
        <v>0.83226800000000001</v>
      </c>
      <c r="L516" s="153">
        <v>0.32112299999999999</v>
      </c>
      <c r="M516" s="153">
        <v>0.24410000000000001</v>
      </c>
      <c r="N516" s="153">
        <v>0.19054199999999999</v>
      </c>
      <c r="O516" s="153">
        <v>0.14193800000000001</v>
      </c>
      <c r="P516" s="127"/>
      <c r="Q516" s="29"/>
      <c r="R516" s="30"/>
    </row>
    <row r="517" spans="1:18" ht="12" customHeight="1">
      <c r="A517" s="10" t="s">
        <v>439</v>
      </c>
      <c r="B517" s="127" t="s">
        <v>440</v>
      </c>
      <c r="D517" s="153">
        <v>0.21775700000000001</v>
      </c>
      <c r="E517" s="153">
        <v>0.26092799999999999</v>
      </c>
      <c r="F517" s="153">
        <v>0.31326500000000002</v>
      </c>
      <c r="G517" s="153">
        <v>0.33831299999999997</v>
      </c>
      <c r="H517" s="153">
        <v>0.53797899999999998</v>
      </c>
      <c r="I517" s="153">
        <v>0.63666100000000003</v>
      </c>
      <c r="J517" s="153">
        <v>1.147281</v>
      </c>
      <c r="K517" s="153">
        <v>0.76497000000000004</v>
      </c>
      <c r="L517" s="153">
        <v>0.42417899999999997</v>
      </c>
      <c r="M517" s="153">
        <v>0.34938599999999997</v>
      </c>
      <c r="N517" s="153">
        <v>0.31797700000000001</v>
      </c>
      <c r="O517" s="153">
        <v>0.27264500000000003</v>
      </c>
      <c r="P517" s="127"/>
      <c r="Q517" s="29"/>
      <c r="R517" s="30"/>
    </row>
    <row r="518" spans="1:18" ht="12" customHeight="1">
      <c r="A518" s="10" t="s">
        <v>441</v>
      </c>
      <c r="B518" s="127" t="s">
        <v>442</v>
      </c>
      <c r="D518" s="153">
        <v>0.41369600000000001</v>
      </c>
      <c r="E518" s="153">
        <v>0.468277</v>
      </c>
      <c r="F518" s="153">
        <v>0.53688400000000003</v>
      </c>
      <c r="G518" s="153">
        <v>0.55538799999999999</v>
      </c>
      <c r="H518" s="153">
        <v>0.97489000000000003</v>
      </c>
      <c r="I518" s="153">
        <v>1.1693089999999999</v>
      </c>
      <c r="J518" s="153">
        <v>2.210197</v>
      </c>
      <c r="K518" s="153">
        <v>1.4263699999999999</v>
      </c>
      <c r="L518" s="153">
        <v>0.68082100000000001</v>
      </c>
      <c r="M518" s="153">
        <v>0.63042500000000001</v>
      </c>
      <c r="N518" s="153">
        <v>0.59556100000000001</v>
      </c>
      <c r="O518" s="153">
        <v>0.43076599999999998</v>
      </c>
      <c r="P518" s="127"/>
      <c r="Q518" s="29"/>
      <c r="R518" s="30"/>
    </row>
    <row r="519" spans="1:18" ht="12" customHeight="1">
      <c r="A519" s="10" t="s">
        <v>443</v>
      </c>
      <c r="B519" s="127" t="s">
        <v>444</v>
      </c>
      <c r="D519" s="153">
        <v>0.381212</v>
      </c>
      <c r="E519" s="153">
        <v>0.43134600000000001</v>
      </c>
      <c r="F519" s="153">
        <v>0.44221300000000002</v>
      </c>
      <c r="G519" s="153">
        <v>0.28922799999999999</v>
      </c>
      <c r="H519" s="153">
        <v>0.30295100000000003</v>
      </c>
      <c r="I519" s="153">
        <v>0.50463000000000002</v>
      </c>
      <c r="J519" s="153">
        <v>0.93504900000000002</v>
      </c>
      <c r="K519" s="153">
        <v>0.56790399999999996</v>
      </c>
      <c r="L519" s="153">
        <v>0.302315</v>
      </c>
      <c r="M519" s="153">
        <v>0.25575999999999999</v>
      </c>
      <c r="N519" s="153">
        <v>0.2273</v>
      </c>
      <c r="O519" s="153">
        <v>0.28839900000000002</v>
      </c>
      <c r="P519" s="127"/>
      <c r="Q519" s="29"/>
      <c r="R519" s="30"/>
    </row>
    <row r="520" spans="1:18" ht="12" customHeight="1">
      <c r="A520" s="10" t="s">
        <v>445</v>
      </c>
      <c r="B520" s="127" t="s">
        <v>446</v>
      </c>
      <c r="D520" s="153">
        <v>0.175451</v>
      </c>
      <c r="E520" s="153">
        <v>0.215617</v>
      </c>
      <c r="F520" s="153">
        <v>0.240756</v>
      </c>
      <c r="G520" s="153">
        <v>0.17139099999999999</v>
      </c>
      <c r="H520" s="153">
        <v>0.148558</v>
      </c>
      <c r="I520" s="153">
        <v>0.21013299999999999</v>
      </c>
      <c r="J520" s="153">
        <v>0.44519700000000001</v>
      </c>
      <c r="K520" s="153">
        <v>0.281862</v>
      </c>
      <c r="L520" s="153">
        <v>0.17493</v>
      </c>
      <c r="M520" s="153">
        <v>0.14427200000000001</v>
      </c>
      <c r="N520" s="153">
        <v>0.128721</v>
      </c>
      <c r="O520" s="153">
        <v>0.165492</v>
      </c>
      <c r="P520" s="127"/>
      <c r="Q520" s="29"/>
      <c r="R520" s="30"/>
    </row>
    <row r="521" spans="1:18" ht="12" customHeight="1">
      <c r="A521" s="10" t="s">
        <v>447</v>
      </c>
      <c r="B521" s="127" t="s">
        <v>448</v>
      </c>
      <c r="D521" s="153">
        <v>0.20053699999999999</v>
      </c>
      <c r="E521" s="153">
        <v>0.22648499999999999</v>
      </c>
      <c r="F521" s="153">
        <v>0.25630199999999997</v>
      </c>
      <c r="G521" s="153">
        <v>0.23605499999999999</v>
      </c>
      <c r="H521" s="153">
        <v>0.25703999999999999</v>
      </c>
      <c r="I521" s="153">
        <v>0.33870699999999998</v>
      </c>
      <c r="J521" s="153">
        <v>0.50900299999999998</v>
      </c>
      <c r="K521" s="153">
        <v>0.375282</v>
      </c>
      <c r="L521" s="153">
        <v>0.26163500000000001</v>
      </c>
      <c r="M521" s="153">
        <v>0.21995600000000001</v>
      </c>
      <c r="N521" s="153">
        <v>0.2069</v>
      </c>
      <c r="O521" s="153">
        <v>0.18062900000000001</v>
      </c>
      <c r="P521" s="127"/>
      <c r="Q521" s="29"/>
      <c r="R521" s="30"/>
    </row>
    <row r="522" spans="1:18" ht="12" customHeight="1">
      <c r="A522" s="10" t="s">
        <v>452</v>
      </c>
      <c r="B522" s="127" t="s">
        <v>451</v>
      </c>
      <c r="D522" s="153">
        <v>4.2555000000000003E-2</v>
      </c>
      <c r="E522" s="153">
        <v>6.7033999999999996E-2</v>
      </c>
      <c r="F522" s="153">
        <v>8.9862999999999998E-2</v>
      </c>
      <c r="G522" s="153">
        <v>8.1057000000000004E-2</v>
      </c>
      <c r="H522" s="153">
        <v>0.10040399999999999</v>
      </c>
      <c r="I522" s="153">
        <v>0.17645</v>
      </c>
      <c r="J522" s="153">
        <v>0.39055499999999999</v>
      </c>
      <c r="K522" s="153">
        <v>0.234818</v>
      </c>
      <c r="L522" s="153">
        <v>0.110129</v>
      </c>
      <c r="M522" s="153">
        <v>0.105404</v>
      </c>
      <c r="N522" s="153">
        <v>8.3067000000000002E-2</v>
      </c>
      <c r="O522" s="153">
        <v>5.6467999999999997E-2</v>
      </c>
      <c r="P522" s="127"/>
      <c r="Q522" s="29"/>
      <c r="R522" s="30"/>
    </row>
    <row r="523" spans="1:18" ht="12" customHeight="1">
      <c r="A523" s="10" t="s">
        <v>454</v>
      </c>
      <c r="B523" s="127" t="s">
        <v>453</v>
      </c>
      <c r="D523" s="153">
        <v>3.2699999999999998E-4</v>
      </c>
      <c r="E523" s="153">
        <v>4.3600000000000003E-4</v>
      </c>
      <c r="F523" s="153">
        <v>2.22E-4</v>
      </c>
      <c r="G523" s="153">
        <v>2.99E-4</v>
      </c>
      <c r="H523" s="153">
        <v>4.0200000000000001E-4</v>
      </c>
      <c r="I523" s="153">
        <v>7.3800000000000005E-4</v>
      </c>
      <c r="J523" s="153">
        <v>6.1600000000000001E-4</v>
      </c>
      <c r="K523" s="153">
        <v>5.5400000000000002E-4</v>
      </c>
      <c r="L523" s="153">
        <v>2.31E-4</v>
      </c>
      <c r="M523" s="153">
        <v>5.31E-4</v>
      </c>
      <c r="N523" s="153">
        <v>3.86E-4</v>
      </c>
      <c r="O523" s="153">
        <v>5.3499999999999999E-4</v>
      </c>
      <c r="P523" s="127"/>
      <c r="Q523" s="29"/>
      <c r="R523" s="30"/>
    </row>
    <row r="524" spans="1:18" ht="12" customHeight="1">
      <c r="A524" s="10" t="s">
        <v>455</v>
      </c>
      <c r="B524" s="127" t="s">
        <v>456</v>
      </c>
      <c r="D524" s="153">
        <v>0.12503500000000001</v>
      </c>
      <c r="E524" s="153">
        <v>0.162138</v>
      </c>
      <c r="F524" s="153">
        <v>0.21088000000000001</v>
      </c>
      <c r="G524" s="153">
        <v>0.127108</v>
      </c>
      <c r="H524" s="153">
        <v>0.17611099999999999</v>
      </c>
      <c r="I524" s="153">
        <v>0.32170300000000002</v>
      </c>
      <c r="J524" s="153">
        <v>0.53917899999999996</v>
      </c>
      <c r="K524" s="153">
        <v>0.36929299999999998</v>
      </c>
      <c r="L524" s="153">
        <v>0.23394300000000001</v>
      </c>
      <c r="M524" s="153">
        <v>0.15107499999999999</v>
      </c>
      <c r="N524" s="153">
        <v>0.132877</v>
      </c>
      <c r="O524" s="153">
        <v>0.11712</v>
      </c>
      <c r="P524" s="127"/>
      <c r="Q524" s="29"/>
      <c r="R524" s="30"/>
    </row>
    <row r="525" spans="1:18" ht="12" customHeight="1">
      <c r="A525" s="10" t="s">
        <v>457</v>
      </c>
      <c r="B525" s="127" t="s">
        <v>3026</v>
      </c>
      <c r="D525" s="153">
        <v>0.119058</v>
      </c>
      <c r="E525" s="153">
        <v>0.161611</v>
      </c>
      <c r="F525" s="153">
        <v>0.174232</v>
      </c>
      <c r="G525" s="153">
        <v>0.15742600000000001</v>
      </c>
      <c r="H525" s="153">
        <v>0.18252499999999999</v>
      </c>
      <c r="I525" s="153">
        <v>0.24409</v>
      </c>
      <c r="J525" s="153">
        <v>0.32432899999999998</v>
      </c>
      <c r="K525" s="153">
        <v>0.26628200000000002</v>
      </c>
      <c r="L525" s="153">
        <v>0.194831</v>
      </c>
      <c r="M525" s="153">
        <v>0.17729800000000001</v>
      </c>
      <c r="N525" s="153">
        <v>0.174063</v>
      </c>
      <c r="O525" s="153">
        <v>0.11308799999999999</v>
      </c>
      <c r="P525" s="127"/>
      <c r="Q525" s="29"/>
      <c r="R525" s="30"/>
    </row>
    <row r="526" spans="1:18" ht="12" customHeight="1">
      <c r="A526" s="10" t="s">
        <v>458</v>
      </c>
      <c r="B526" s="127" t="s">
        <v>459</v>
      </c>
      <c r="D526" s="153">
        <v>0.158944</v>
      </c>
      <c r="E526" s="153">
        <v>0.18897900000000001</v>
      </c>
      <c r="F526" s="153">
        <v>0.20841899999999999</v>
      </c>
      <c r="G526" s="153">
        <v>0.18924299999999999</v>
      </c>
      <c r="H526" s="153">
        <v>0.20874200000000001</v>
      </c>
      <c r="I526" s="153">
        <v>0.35372700000000001</v>
      </c>
      <c r="J526" s="153">
        <v>0.44623200000000002</v>
      </c>
      <c r="K526" s="153">
        <v>0.353495</v>
      </c>
      <c r="L526" s="153">
        <v>0.26287899999999997</v>
      </c>
      <c r="M526" s="153">
        <v>0.217506</v>
      </c>
      <c r="N526" s="153">
        <v>0.20585899999999999</v>
      </c>
      <c r="O526" s="153">
        <v>0.14432800000000001</v>
      </c>
      <c r="P526" s="127"/>
      <c r="Q526" s="29"/>
      <c r="R526" s="30"/>
    </row>
    <row r="527" spans="1:18" ht="12" customHeight="1">
      <c r="A527" s="10" t="s">
        <v>549</v>
      </c>
      <c r="B527" s="127" t="s">
        <v>550</v>
      </c>
      <c r="D527" s="153">
        <v>0.52830500000000002</v>
      </c>
      <c r="E527" s="153">
        <v>0.53949100000000005</v>
      </c>
      <c r="F527" s="153">
        <v>0.60437700000000005</v>
      </c>
      <c r="G527" s="153">
        <v>0.57212799999999997</v>
      </c>
      <c r="H527" s="153">
        <v>0.66180399999999995</v>
      </c>
      <c r="I527" s="153">
        <v>0.83633599999999997</v>
      </c>
      <c r="J527" s="153">
        <v>0.96590399999999998</v>
      </c>
      <c r="K527" s="153">
        <v>0.84376899999999999</v>
      </c>
      <c r="L527" s="153">
        <v>0.72530300000000003</v>
      </c>
      <c r="M527" s="153">
        <v>0.67445200000000005</v>
      </c>
      <c r="N527" s="153">
        <v>0.65386500000000003</v>
      </c>
      <c r="O527" s="153">
        <v>0.47392000000000001</v>
      </c>
      <c r="P527" s="127"/>
      <c r="Q527" s="29"/>
      <c r="R527" s="30"/>
    </row>
    <row r="528" spans="1:18" ht="12" customHeight="1">
      <c r="A528" s="10" t="s">
        <v>551</v>
      </c>
      <c r="B528" s="127" t="s">
        <v>552</v>
      </c>
      <c r="D528" s="153">
        <v>0.102172</v>
      </c>
      <c r="E528" s="153">
        <v>0.13009299999999999</v>
      </c>
      <c r="F528" s="153">
        <v>0.17907200000000001</v>
      </c>
      <c r="G528" s="153">
        <v>0.15926899999999999</v>
      </c>
      <c r="H528" s="153">
        <v>0.35300799999999999</v>
      </c>
      <c r="I528" s="153">
        <v>0.50528700000000004</v>
      </c>
      <c r="J528" s="153">
        <v>1.1202540000000001</v>
      </c>
      <c r="K528" s="153">
        <v>0.514822</v>
      </c>
      <c r="L528" s="153">
        <v>0.24121000000000001</v>
      </c>
      <c r="M528" s="153">
        <v>0.18674099999999999</v>
      </c>
      <c r="N528" s="153">
        <v>0.155893</v>
      </c>
      <c r="O528" s="153">
        <v>0.11068699999999999</v>
      </c>
      <c r="P528" s="127"/>
      <c r="Q528" s="29"/>
      <c r="R528" s="30"/>
    </row>
    <row r="529" spans="1:18" ht="12" customHeight="1">
      <c r="A529" s="10" t="s">
        <v>553</v>
      </c>
      <c r="B529" s="127" t="s">
        <v>554</v>
      </c>
      <c r="D529" s="153">
        <v>0.31607299999999999</v>
      </c>
      <c r="E529" s="153">
        <v>0.36789500000000003</v>
      </c>
      <c r="F529" s="153">
        <v>0.43199500000000002</v>
      </c>
      <c r="G529" s="153">
        <v>0.443079</v>
      </c>
      <c r="H529" s="153">
        <v>0.64235799999999998</v>
      </c>
      <c r="I529" s="153">
        <v>0.73958800000000002</v>
      </c>
      <c r="J529" s="153">
        <v>0.91882799999999998</v>
      </c>
      <c r="K529" s="153">
        <v>0.73975800000000003</v>
      </c>
      <c r="L529" s="153">
        <v>0.57280900000000001</v>
      </c>
      <c r="M529" s="153">
        <v>0.45725500000000002</v>
      </c>
      <c r="N529" s="153">
        <v>0.43671500000000002</v>
      </c>
      <c r="O529" s="153">
        <v>0.29936299999999999</v>
      </c>
      <c r="P529" s="127"/>
      <c r="Q529" s="29"/>
      <c r="R529" s="30"/>
    </row>
    <row r="530" spans="1:18" ht="12" customHeight="1">
      <c r="A530" s="10" t="s">
        <v>555</v>
      </c>
      <c r="B530" s="127" t="s">
        <v>556</v>
      </c>
      <c r="D530" s="153">
        <v>3.0799999999999998E-3</v>
      </c>
      <c r="E530" s="153">
        <v>6.1469999999999997E-3</v>
      </c>
      <c r="F530" s="153">
        <v>7.1799999999999998E-3</v>
      </c>
      <c r="G530" s="153">
        <v>8.5850000000000006E-3</v>
      </c>
      <c r="H530" s="153">
        <v>6.3420000000000004E-3</v>
      </c>
      <c r="I530" s="153">
        <v>4.2119999999999996E-3</v>
      </c>
      <c r="J530" s="153">
        <v>4.8419999999999999E-3</v>
      </c>
      <c r="K530" s="153">
        <v>6.11E-3</v>
      </c>
      <c r="L530" s="153">
        <v>6.1409999999999998E-3</v>
      </c>
      <c r="M530" s="153">
        <v>5.6239999999999997E-3</v>
      </c>
      <c r="N530" s="153">
        <v>3.7550000000000001E-3</v>
      </c>
      <c r="O530" s="153">
        <v>2.957E-3</v>
      </c>
      <c r="P530" s="127"/>
      <c r="Q530" s="29"/>
      <c r="R530" s="30"/>
    </row>
    <row r="531" spans="1:18" ht="12" customHeight="1">
      <c r="A531" s="10" t="s">
        <v>460</v>
      </c>
      <c r="B531" s="127" t="s">
        <v>461</v>
      </c>
      <c r="D531" s="153">
        <v>0.79115500000000005</v>
      </c>
      <c r="E531" s="153">
        <v>1.111686</v>
      </c>
      <c r="F531" s="153">
        <v>0.70394900000000005</v>
      </c>
      <c r="G531" s="153">
        <v>0.45969199999999999</v>
      </c>
      <c r="H531" s="153">
        <v>0.49868200000000001</v>
      </c>
      <c r="I531" s="153">
        <v>0.57393499999999997</v>
      </c>
      <c r="J531" s="153">
        <v>0.931593</v>
      </c>
      <c r="K531" s="153">
        <v>0.856379</v>
      </c>
      <c r="L531" s="153">
        <v>0.63271599999999995</v>
      </c>
      <c r="M531" s="153">
        <v>0.492647</v>
      </c>
      <c r="N531" s="153">
        <v>0.32328800000000002</v>
      </c>
      <c r="O531" s="153">
        <v>0.57516999999999996</v>
      </c>
      <c r="P531" s="127"/>
      <c r="Q531" s="29"/>
      <c r="R531" s="30"/>
    </row>
    <row r="532" spans="1:18" ht="12" customHeight="1">
      <c r="A532" s="10" t="s">
        <v>462</v>
      </c>
      <c r="B532" s="127" t="s">
        <v>463</v>
      </c>
      <c r="D532" s="153">
        <v>0.42022199999999998</v>
      </c>
      <c r="E532" s="153">
        <v>0.523706</v>
      </c>
      <c r="F532" s="153">
        <v>0.39708300000000002</v>
      </c>
      <c r="G532" s="153">
        <v>0.358039</v>
      </c>
      <c r="H532" s="153">
        <v>0.52521700000000004</v>
      </c>
      <c r="I532" s="153">
        <v>0.56183099999999997</v>
      </c>
      <c r="J532" s="153">
        <v>0.81077399999999999</v>
      </c>
      <c r="K532" s="153">
        <v>0.72672999999999999</v>
      </c>
      <c r="L532" s="153">
        <v>0.53661700000000001</v>
      </c>
      <c r="M532" s="153">
        <v>0.45413900000000001</v>
      </c>
      <c r="N532" s="153">
        <v>0.27762399999999998</v>
      </c>
      <c r="O532" s="153">
        <v>0.29775600000000002</v>
      </c>
      <c r="P532" s="127"/>
      <c r="Q532" s="29"/>
      <c r="R532" s="30"/>
    </row>
    <row r="533" spans="1:18" ht="12" customHeight="1">
      <c r="A533" s="10" t="s">
        <v>464</v>
      </c>
      <c r="B533" s="127" t="s">
        <v>465</v>
      </c>
      <c r="D533" s="153">
        <v>8.0504000000000006E-2</v>
      </c>
      <c r="E533" s="153">
        <v>8.4054000000000004E-2</v>
      </c>
      <c r="F533" s="153">
        <v>9.3383999999999995E-2</v>
      </c>
      <c r="G533" s="153">
        <v>0.10388600000000001</v>
      </c>
      <c r="H533" s="153">
        <v>0.13068399999999999</v>
      </c>
      <c r="I533" s="153">
        <v>0.13237599999999999</v>
      </c>
      <c r="J533" s="153">
        <v>0.12998499999999999</v>
      </c>
      <c r="K533" s="153">
        <v>0.12634200000000001</v>
      </c>
      <c r="L533" s="153">
        <v>0.12611600000000001</v>
      </c>
      <c r="M533" s="153">
        <v>0.122805</v>
      </c>
      <c r="N533" s="153">
        <v>0.120307</v>
      </c>
      <c r="O533" s="153">
        <v>0.110427</v>
      </c>
      <c r="P533" s="127"/>
      <c r="Q533" s="29"/>
      <c r="R533" s="30"/>
    </row>
    <row r="534" spans="1:18" ht="12" customHeight="1">
      <c r="A534" s="10" t="s">
        <v>466</v>
      </c>
      <c r="B534" s="127" t="s">
        <v>467</v>
      </c>
      <c r="D534" s="153">
        <v>0.14569699999999999</v>
      </c>
      <c r="E534" s="153">
        <v>0.14452899999999999</v>
      </c>
      <c r="F534" s="153">
        <v>0.18826799999999999</v>
      </c>
      <c r="G534" s="153">
        <v>0.215642</v>
      </c>
      <c r="H534" s="153">
        <v>0.26343100000000003</v>
      </c>
      <c r="I534" s="153">
        <v>0.283474</v>
      </c>
      <c r="J534" s="153">
        <v>0.28433900000000001</v>
      </c>
      <c r="K534" s="153">
        <v>0.27588000000000001</v>
      </c>
      <c r="L534" s="153">
        <v>0.26276500000000003</v>
      </c>
      <c r="M534" s="153">
        <v>0.234126</v>
      </c>
      <c r="N534" s="153">
        <v>0.20757300000000001</v>
      </c>
      <c r="O534" s="153">
        <v>0.20457400000000001</v>
      </c>
      <c r="P534" s="127"/>
      <c r="Q534" s="29"/>
      <c r="R534" s="30"/>
    </row>
    <row r="535" spans="1:18" ht="12" customHeight="1">
      <c r="A535" s="10" t="s">
        <v>468</v>
      </c>
      <c r="B535" s="127" t="s">
        <v>469</v>
      </c>
      <c r="D535" s="153">
        <v>0.915802</v>
      </c>
      <c r="E535" s="153">
        <v>1.257763</v>
      </c>
      <c r="F535" s="153">
        <v>0.74809700000000001</v>
      </c>
      <c r="G535" s="153">
        <v>0.32086100000000001</v>
      </c>
      <c r="H535" s="153">
        <v>0.39044400000000001</v>
      </c>
      <c r="I535" s="153">
        <v>0.57172000000000001</v>
      </c>
      <c r="J535" s="153">
        <v>1.0930629999999999</v>
      </c>
      <c r="K535" s="153">
        <v>0.98368500000000003</v>
      </c>
      <c r="L535" s="153">
        <v>0.66964000000000001</v>
      </c>
      <c r="M535" s="153">
        <v>0.604541</v>
      </c>
      <c r="N535" s="153">
        <v>0.235764</v>
      </c>
      <c r="O535" s="153">
        <v>0.58451500000000001</v>
      </c>
      <c r="P535" s="127"/>
      <c r="Q535" s="29"/>
      <c r="R535" s="30"/>
    </row>
    <row r="536" spans="1:18" ht="12" customHeight="1">
      <c r="A536" s="10" t="s">
        <v>470</v>
      </c>
      <c r="B536" s="127" t="s">
        <v>471</v>
      </c>
      <c r="D536" s="153">
        <v>0.21346100000000001</v>
      </c>
      <c r="E536" s="153">
        <v>0.27932000000000001</v>
      </c>
      <c r="F536" s="153">
        <v>0.22691500000000001</v>
      </c>
      <c r="G536" s="153">
        <v>0.20743</v>
      </c>
      <c r="H536" s="153">
        <v>0.28378799999999998</v>
      </c>
      <c r="I536" s="153">
        <v>0.29576200000000002</v>
      </c>
      <c r="J536" s="153">
        <v>0.39922000000000002</v>
      </c>
      <c r="K536" s="153">
        <v>0.36640299999999998</v>
      </c>
      <c r="L536" s="153">
        <v>0.29510399999999998</v>
      </c>
      <c r="M536" s="153">
        <v>0.26121699999999998</v>
      </c>
      <c r="N536" s="153">
        <v>0.17108899999999999</v>
      </c>
      <c r="O536" s="153">
        <v>0.182196</v>
      </c>
      <c r="P536" s="127"/>
      <c r="Q536" s="29"/>
      <c r="R536" s="30"/>
    </row>
    <row r="537" spans="1:18" ht="12" customHeight="1">
      <c r="A537" s="10" t="s">
        <v>472</v>
      </c>
      <c r="B537" s="127" t="s">
        <v>473</v>
      </c>
      <c r="D537" s="153">
        <v>5.2491999999999997E-2</v>
      </c>
      <c r="E537" s="153">
        <v>7.1874999999999994E-2</v>
      </c>
      <c r="F537" s="153">
        <v>0.13669799999999999</v>
      </c>
      <c r="G537" s="153">
        <v>0.306427</v>
      </c>
      <c r="H537" s="153">
        <v>0.30157899999999999</v>
      </c>
      <c r="I537" s="153">
        <v>0.31813200000000003</v>
      </c>
      <c r="J537" s="153">
        <v>0.53488199999999997</v>
      </c>
      <c r="K537" s="153">
        <v>0.40746599999999999</v>
      </c>
      <c r="L537" s="153">
        <v>0.362734</v>
      </c>
      <c r="M537" s="153">
        <v>0.28296199999999999</v>
      </c>
      <c r="N537" s="153">
        <v>8.2640000000000005E-2</v>
      </c>
      <c r="O537" s="153">
        <v>6.8878999999999996E-2</v>
      </c>
      <c r="P537" s="127"/>
      <c r="Q537" s="29"/>
      <c r="R537" s="30"/>
    </row>
    <row r="538" spans="1:18" ht="12" customHeight="1">
      <c r="A538" s="10" t="s">
        <v>2996</v>
      </c>
      <c r="B538" s="127" t="s">
        <v>2997</v>
      </c>
      <c r="D538" s="155" t="s">
        <v>546</v>
      </c>
      <c r="E538" s="155" t="s">
        <v>546</v>
      </c>
      <c r="F538" s="155" t="s">
        <v>546</v>
      </c>
      <c r="G538" s="155" t="s">
        <v>546</v>
      </c>
      <c r="H538" s="155" t="s">
        <v>546</v>
      </c>
      <c r="I538" s="155" t="s">
        <v>546</v>
      </c>
      <c r="J538" s="155" t="s">
        <v>546</v>
      </c>
      <c r="K538" s="155" t="s">
        <v>546</v>
      </c>
      <c r="L538" s="155" t="s">
        <v>546</v>
      </c>
      <c r="M538" s="155" t="s">
        <v>546</v>
      </c>
      <c r="N538" s="155" t="s">
        <v>546</v>
      </c>
      <c r="O538" s="155" t="s">
        <v>546</v>
      </c>
      <c r="P538" s="127"/>
      <c r="Q538" s="29"/>
      <c r="R538" s="30"/>
    </row>
    <row r="539" spans="1:18" ht="12" customHeight="1">
      <c r="A539" s="10" t="s">
        <v>3190</v>
      </c>
      <c r="B539" s="127" t="s">
        <v>3110</v>
      </c>
      <c r="D539" s="153">
        <v>5.0021000000000003E-2</v>
      </c>
      <c r="E539" s="153">
        <v>2.0756E-2</v>
      </c>
      <c r="F539" s="153">
        <v>3.2517999999999998E-2</v>
      </c>
      <c r="G539" s="153">
        <v>5.0465000000000003E-2</v>
      </c>
      <c r="H539" s="153">
        <v>6.2053999999999998E-2</v>
      </c>
      <c r="I539" s="153">
        <v>7.5715000000000005E-2</v>
      </c>
      <c r="J539" s="153">
        <v>8.6220000000000005E-2</v>
      </c>
      <c r="K539" s="153">
        <v>8.1919000000000006E-2</v>
      </c>
      <c r="L539" s="153">
        <v>4.8785000000000002E-2</v>
      </c>
      <c r="M539" s="153">
        <v>3.6852000000000003E-2</v>
      </c>
      <c r="N539" s="153">
        <v>3.109E-2</v>
      </c>
      <c r="O539" s="153">
        <v>2.0761000000000002E-2</v>
      </c>
      <c r="P539" s="127"/>
      <c r="Q539" s="29"/>
      <c r="R539" s="30"/>
    </row>
    <row r="540" spans="1:18" ht="12" customHeight="1">
      <c r="A540" s="10" t="s">
        <v>2990</v>
      </c>
      <c r="B540" s="127" t="s">
        <v>2991</v>
      </c>
      <c r="D540" s="155" t="s">
        <v>546</v>
      </c>
      <c r="E540" s="155" t="s">
        <v>546</v>
      </c>
      <c r="F540" s="155" t="s">
        <v>546</v>
      </c>
      <c r="G540" s="155" t="s">
        <v>546</v>
      </c>
      <c r="H540" s="155" t="s">
        <v>546</v>
      </c>
      <c r="I540" s="155" t="s">
        <v>546</v>
      </c>
      <c r="J540" s="155" t="s">
        <v>546</v>
      </c>
      <c r="K540" s="155" t="s">
        <v>546</v>
      </c>
      <c r="L540" s="155" t="s">
        <v>546</v>
      </c>
      <c r="M540" s="155" t="s">
        <v>546</v>
      </c>
      <c r="N540" s="155" t="s">
        <v>546</v>
      </c>
      <c r="O540" s="155" t="s">
        <v>546</v>
      </c>
      <c r="P540" s="127"/>
      <c r="Q540" s="29"/>
      <c r="R540" s="30"/>
    </row>
    <row r="541" spans="1:18" ht="12" customHeight="1">
      <c r="A541" s="10" t="s">
        <v>475</v>
      </c>
      <c r="B541" s="127" t="s">
        <v>474</v>
      </c>
      <c r="D541" s="153">
        <v>4.2568000000000002E-2</v>
      </c>
      <c r="E541" s="153">
        <v>3.5236000000000003E-2</v>
      </c>
      <c r="F541" s="153">
        <v>3.6812999999999999E-2</v>
      </c>
      <c r="G541" s="153">
        <v>4.2314999999999998E-2</v>
      </c>
      <c r="H541" s="153">
        <v>5.6326000000000001E-2</v>
      </c>
      <c r="I541" s="153">
        <v>6.3825000000000007E-2</v>
      </c>
      <c r="J541" s="153">
        <v>8.6987999999999996E-2</v>
      </c>
      <c r="K541" s="153">
        <v>9.4844999999999999E-2</v>
      </c>
      <c r="L541" s="153">
        <v>5.2319999999999998E-2</v>
      </c>
      <c r="M541" s="153">
        <v>5.5745999999999997E-2</v>
      </c>
      <c r="N541" s="153">
        <v>4.6517999999999997E-2</v>
      </c>
      <c r="O541" s="153">
        <v>3.6631999999999998E-2</v>
      </c>
      <c r="P541" s="127"/>
      <c r="Q541" s="29"/>
      <c r="R541" s="30"/>
    </row>
    <row r="542" spans="1:18" ht="12" customHeight="1">
      <c r="A542" s="10" t="s">
        <v>3017</v>
      </c>
      <c r="B542" s="127" t="s">
        <v>3018</v>
      </c>
      <c r="D542" s="155" t="s">
        <v>546</v>
      </c>
      <c r="E542" s="155" t="s">
        <v>546</v>
      </c>
      <c r="F542" s="155" t="s">
        <v>546</v>
      </c>
      <c r="G542" s="155" t="s">
        <v>546</v>
      </c>
      <c r="H542" s="155" t="s">
        <v>546</v>
      </c>
      <c r="I542" s="155" t="s">
        <v>546</v>
      </c>
      <c r="J542" s="155" t="s">
        <v>546</v>
      </c>
      <c r="K542" s="155" t="s">
        <v>546</v>
      </c>
      <c r="L542" s="155" t="s">
        <v>546</v>
      </c>
      <c r="M542" s="155" t="s">
        <v>546</v>
      </c>
      <c r="N542" s="155" t="s">
        <v>546</v>
      </c>
      <c r="O542" s="155" t="s">
        <v>546</v>
      </c>
      <c r="P542" s="127"/>
      <c r="Q542" s="29"/>
      <c r="R542" s="30"/>
    </row>
    <row r="543" spans="1:18" ht="12" customHeight="1">
      <c r="A543" s="10" t="s">
        <v>2849</v>
      </c>
      <c r="B543" s="127" t="s">
        <v>2850</v>
      </c>
      <c r="D543" s="153">
        <v>1.4187999999999999E-2</v>
      </c>
      <c r="E543" s="153">
        <v>1.3131E-2</v>
      </c>
      <c r="F543" s="153">
        <v>1.6729999999999998E-2</v>
      </c>
      <c r="G543" s="153">
        <v>2.0535999999999999E-2</v>
      </c>
      <c r="H543" s="153">
        <v>2.1387E-2</v>
      </c>
      <c r="I543" s="153">
        <v>4.6920999999999997E-2</v>
      </c>
      <c r="J543" s="153">
        <v>0.12587100000000001</v>
      </c>
      <c r="K543" s="153">
        <v>0.13445599999999999</v>
      </c>
      <c r="L543" s="153">
        <v>8.1301999999999999E-2</v>
      </c>
      <c r="M543" s="153">
        <v>3.2468999999999998E-2</v>
      </c>
      <c r="N543" s="153">
        <v>1.9838000000000001E-2</v>
      </c>
      <c r="O543" s="153">
        <v>2.0208E-2</v>
      </c>
      <c r="P543" s="127"/>
      <c r="Q543" s="29"/>
      <c r="R543" s="30"/>
    </row>
    <row r="544" spans="1:18" ht="12" customHeight="1">
      <c r="A544" s="10" t="s">
        <v>2851</v>
      </c>
      <c r="B544" s="127" t="s">
        <v>2852</v>
      </c>
      <c r="D544" s="153">
        <v>3.4509999999999999E-2</v>
      </c>
      <c r="E544" s="153">
        <v>2.7137000000000001E-2</v>
      </c>
      <c r="F544" s="153">
        <v>3.6484999999999997E-2</v>
      </c>
      <c r="G544" s="153">
        <v>5.4793000000000001E-2</v>
      </c>
      <c r="H544" s="153">
        <v>5.3061999999999998E-2</v>
      </c>
      <c r="I544" s="153">
        <v>5.8809E-2</v>
      </c>
      <c r="J544" s="153">
        <v>8.7007000000000001E-2</v>
      </c>
      <c r="K544" s="153">
        <v>8.473E-2</v>
      </c>
      <c r="L544" s="153">
        <v>6.1855E-2</v>
      </c>
      <c r="M544" s="153">
        <v>5.1733000000000001E-2</v>
      </c>
      <c r="N544" s="153">
        <v>3.4953999999999999E-2</v>
      </c>
      <c r="O544" s="153">
        <v>4.4351000000000002E-2</v>
      </c>
      <c r="P544" s="127"/>
      <c r="Q544" s="29"/>
      <c r="R544" s="30"/>
    </row>
    <row r="545" spans="1:18" ht="12" customHeight="1">
      <c r="A545" s="10" t="s">
        <v>2853</v>
      </c>
      <c r="B545" s="127" t="s">
        <v>2854</v>
      </c>
      <c r="D545" s="153">
        <v>2.6251E-2</v>
      </c>
      <c r="E545" s="153">
        <v>2.026E-2</v>
      </c>
      <c r="F545" s="153">
        <v>2.5937000000000002E-2</v>
      </c>
      <c r="G545" s="153">
        <v>3.8753999999999997E-2</v>
      </c>
      <c r="H545" s="153">
        <v>5.1348999999999999E-2</v>
      </c>
      <c r="I545" s="153">
        <v>0.10041899999999999</v>
      </c>
      <c r="J545" s="153">
        <v>0.22248799999999999</v>
      </c>
      <c r="K545" s="153">
        <v>0.29253099999999999</v>
      </c>
      <c r="L545" s="153">
        <v>0.12864500000000001</v>
      </c>
      <c r="M545" s="153">
        <v>6.0677000000000002E-2</v>
      </c>
      <c r="N545" s="153">
        <v>3.2252000000000003E-2</v>
      </c>
      <c r="O545" s="153">
        <v>3.8751000000000001E-2</v>
      </c>
      <c r="P545" s="127"/>
      <c r="Q545" s="29"/>
      <c r="R545" s="30"/>
    </row>
    <row r="546" spans="1:18" ht="12" customHeight="1">
      <c r="A546" s="10" t="s">
        <v>557</v>
      </c>
      <c r="B546" s="127" t="s">
        <v>558</v>
      </c>
      <c r="D546" s="153">
        <v>3.4200000000000001E-2</v>
      </c>
      <c r="E546" s="153">
        <v>3.8121000000000002E-2</v>
      </c>
      <c r="F546" s="153">
        <v>4.4079E-2</v>
      </c>
      <c r="G546" s="153">
        <v>4.3548000000000003E-2</v>
      </c>
      <c r="H546" s="153">
        <v>4.3346999999999997E-2</v>
      </c>
      <c r="I546" s="153">
        <v>4.3008999999999999E-2</v>
      </c>
      <c r="J546" s="153">
        <v>4.2360000000000002E-2</v>
      </c>
      <c r="K546" s="153">
        <v>4.2832000000000002E-2</v>
      </c>
      <c r="L546" s="153">
        <v>4.1778999999999997E-2</v>
      </c>
      <c r="M546" s="153">
        <v>4.7983999999999999E-2</v>
      </c>
      <c r="N546" s="153">
        <v>4.5545000000000002E-2</v>
      </c>
      <c r="O546" s="153">
        <v>5.1410999999999998E-2</v>
      </c>
      <c r="P546" s="127"/>
      <c r="Q546" s="29"/>
      <c r="R546" s="30"/>
    </row>
    <row r="547" spans="1:18" ht="12" customHeight="1">
      <c r="A547" s="10" t="s">
        <v>559</v>
      </c>
      <c r="B547" s="127" t="s">
        <v>3197</v>
      </c>
      <c r="D547" s="153">
        <v>5.1898E-2</v>
      </c>
      <c r="E547" s="153">
        <v>6.3317999999999999E-2</v>
      </c>
      <c r="F547" s="153">
        <v>6.9152000000000005E-2</v>
      </c>
      <c r="G547" s="153">
        <v>8.6601999999999998E-2</v>
      </c>
      <c r="H547" s="153">
        <v>8.9040999999999995E-2</v>
      </c>
      <c r="I547" s="153">
        <v>8.2447999999999994E-2</v>
      </c>
      <c r="J547" s="153">
        <v>9.6558000000000005E-2</v>
      </c>
      <c r="K547" s="153">
        <v>0.101506</v>
      </c>
      <c r="L547" s="153">
        <v>7.9601000000000005E-2</v>
      </c>
      <c r="M547" s="153">
        <v>8.9163000000000006E-2</v>
      </c>
      <c r="N547" s="153">
        <v>7.5353000000000003E-2</v>
      </c>
      <c r="O547" s="153">
        <v>6.4852999999999994E-2</v>
      </c>
      <c r="P547" s="127"/>
      <c r="Q547" s="29"/>
      <c r="R547" s="30"/>
    </row>
    <row r="548" spans="1:18" ht="12" customHeight="1">
      <c r="A548" s="10" t="s">
        <v>560</v>
      </c>
      <c r="B548" s="127" t="s">
        <v>3198</v>
      </c>
      <c r="D548" s="153">
        <v>0.291993</v>
      </c>
      <c r="E548" s="153">
        <v>0.28487600000000002</v>
      </c>
      <c r="F548" s="153">
        <v>0.278451</v>
      </c>
      <c r="G548" s="153">
        <v>0.29323300000000002</v>
      </c>
      <c r="H548" s="153">
        <v>0.34443499999999999</v>
      </c>
      <c r="I548" s="153">
        <v>0.32447100000000001</v>
      </c>
      <c r="J548" s="153">
        <v>0.38462200000000002</v>
      </c>
      <c r="K548" s="153">
        <v>0.439803</v>
      </c>
      <c r="L548" s="153">
        <v>0.240505</v>
      </c>
      <c r="M548" s="153">
        <v>0.24171599999999999</v>
      </c>
      <c r="N548" s="153">
        <v>0.19248599999999999</v>
      </c>
      <c r="O548" s="153">
        <v>0.20791699999999999</v>
      </c>
      <c r="P548" s="127"/>
      <c r="Q548" s="29"/>
      <c r="R548" s="30"/>
    </row>
    <row r="549" spans="1:18" ht="12" customHeight="1">
      <c r="A549" s="10" t="s">
        <v>561</v>
      </c>
      <c r="B549" s="127" t="s">
        <v>3199</v>
      </c>
      <c r="D549" s="153">
        <v>6.0023E-2</v>
      </c>
      <c r="E549" s="153">
        <v>8.1017000000000006E-2</v>
      </c>
      <c r="F549" s="153">
        <v>9.6255999999999994E-2</v>
      </c>
      <c r="G549" s="153">
        <v>0.12753900000000001</v>
      </c>
      <c r="H549" s="153">
        <v>0.161796</v>
      </c>
      <c r="I549" s="153">
        <v>0.16717499999999999</v>
      </c>
      <c r="J549" s="153">
        <v>0.203351</v>
      </c>
      <c r="K549" s="153">
        <v>0.22600300000000001</v>
      </c>
      <c r="L549" s="153">
        <v>0.151861</v>
      </c>
      <c r="M549" s="153">
        <v>0.12642500000000001</v>
      </c>
      <c r="N549" s="153">
        <v>9.8859000000000002E-2</v>
      </c>
      <c r="O549" s="153">
        <v>7.1881E-2</v>
      </c>
      <c r="P549" s="127"/>
      <c r="Q549" s="29"/>
      <c r="R549" s="30"/>
    </row>
    <row r="550" spans="1:18" ht="12" customHeight="1">
      <c r="A550" s="10" t="s">
        <v>478</v>
      </c>
      <c r="B550" s="127" t="s">
        <v>2855</v>
      </c>
      <c r="D550" s="155" t="s">
        <v>546</v>
      </c>
      <c r="E550" s="155" t="s">
        <v>546</v>
      </c>
      <c r="F550" s="155" t="s">
        <v>546</v>
      </c>
      <c r="G550" s="155" t="s">
        <v>546</v>
      </c>
      <c r="H550" s="155" t="s">
        <v>546</v>
      </c>
      <c r="I550" s="155" t="s">
        <v>546</v>
      </c>
      <c r="J550" s="155" t="s">
        <v>546</v>
      </c>
      <c r="K550" s="155" t="s">
        <v>546</v>
      </c>
      <c r="L550" s="155" t="s">
        <v>546</v>
      </c>
      <c r="M550" s="155" t="s">
        <v>546</v>
      </c>
      <c r="N550" s="155" t="s">
        <v>546</v>
      </c>
      <c r="O550" s="155" t="s">
        <v>546</v>
      </c>
      <c r="P550" s="127"/>
      <c r="Q550" s="29"/>
      <c r="R550" s="30"/>
    </row>
    <row r="551" spans="1:18" ht="12" customHeight="1">
      <c r="A551" s="10" t="s">
        <v>2992</v>
      </c>
      <c r="B551" s="127" t="s">
        <v>2993</v>
      </c>
      <c r="D551" s="155" t="s">
        <v>546</v>
      </c>
      <c r="E551" s="155" t="s">
        <v>546</v>
      </c>
      <c r="F551" s="155" t="s">
        <v>546</v>
      </c>
      <c r="G551" s="155" t="s">
        <v>546</v>
      </c>
      <c r="H551" s="155" t="s">
        <v>546</v>
      </c>
      <c r="I551" s="155" t="s">
        <v>546</v>
      </c>
      <c r="J551" s="155" t="s">
        <v>546</v>
      </c>
      <c r="K551" s="155" t="s">
        <v>546</v>
      </c>
      <c r="L551" s="155" t="s">
        <v>546</v>
      </c>
      <c r="M551" s="155" t="s">
        <v>546</v>
      </c>
      <c r="N551" s="155" t="s">
        <v>546</v>
      </c>
      <c r="O551" s="155" t="s">
        <v>546</v>
      </c>
      <c r="P551" s="127"/>
      <c r="Q551" s="29"/>
      <c r="R551" s="30"/>
    </row>
    <row r="552" spans="1:18" ht="12" customHeight="1">
      <c r="A552" s="10" t="s">
        <v>3232</v>
      </c>
      <c r="B552" s="127"/>
      <c r="C552" s="153"/>
      <c r="D552" s="153"/>
      <c r="E552" s="153"/>
      <c r="F552" s="153"/>
      <c r="G552" s="153"/>
      <c r="H552" s="153"/>
      <c r="I552" s="153"/>
      <c r="J552" s="153"/>
      <c r="K552" s="153"/>
      <c r="L552" s="153"/>
      <c r="M552" s="153"/>
      <c r="N552" s="153"/>
      <c r="O552" s="153"/>
      <c r="P552" s="127"/>
      <c r="Q552" s="29"/>
      <c r="R552" s="30"/>
    </row>
    <row r="553" spans="1:18" ht="12" customHeight="1">
      <c r="A553" s="10" t="s">
        <v>29</v>
      </c>
      <c r="B553" s="127" t="s">
        <v>3139</v>
      </c>
      <c r="D553" s="153">
        <v>0.35158400000000001</v>
      </c>
      <c r="E553" s="153">
        <v>0.40209400000000001</v>
      </c>
      <c r="F553" s="153">
        <v>0.48422999999999999</v>
      </c>
      <c r="G553" s="153">
        <v>0.49043199999999998</v>
      </c>
      <c r="H553" s="153">
        <v>0.49882399999999999</v>
      </c>
      <c r="I553" s="153">
        <v>0.47792899999999999</v>
      </c>
      <c r="J553" s="153">
        <v>0.53420400000000001</v>
      </c>
      <c r="K553" s="153">
        <v>0.52538799999999997</v>
      </c>
      <c r="L553" s="153">
        <v>0.463231</v>
      </c>
      <c r="M553" s="153">
        <v>0.50438799999999995</v>
      </c>
      <c r="N553" s="153">
        <v>0.47039999999999998</v>
      </c>
      <c r="O553" s="153">
        <v>0.52952500000000002</v>
      </c>
      <c r="P553" s="127"/>
      <c r="Q553" s="29"/>
      <c r="R553" s="30"/>
    </row>
    <row r="554" spans="1:18" ht="12" customHeight="1">
      <c r="A554" s="10" t="s">
        <v>30</v>
      </c>
      <c r="B554" s="127" t="s">
        <v>31</v>
      </c>
      <c r="D554" s="153">
        <v>0.16634499999999999</v>
      </c>
      <c r="E554" s="153">
        <v>0.19473399999999999</v>
      </c>
      <c r="F554" s="153">
        <v>0.23755299999999999</v>
      </c>
      <c r="G554" s="153">
        <v>0.23103000000000001</v>
      </c>
      <c r="H554" s="153">
        <v>0.28891</v>
      </c>
      <c r="I554" s="153">
        <v>0.26032</v>
      </c>
      <c r="J554" s="153">
        <v>0.32019700000000001</v>
      </c>
      <c r="K554" s="153">
        <v>0.33604499999999998</v>
      </c>
      <c r="L554" s="153">
        <v>0.228959</v>
      </c>
      <c r="M554" s="153">
        <v>0.272115</v>
      </c>
      <c r="N554" s="153">
        <v>0.20271</v>
      </c>
      <c r="O554" s="153">
        <v>0.229159</v>
      </c>
      <c r="P554" s="127"/>
      <c r="Q554" s="29"/>
      <c r="R554" s="30"/>
    </row>
    <row r="555" spans="1:18" ht="12" customHeight="1">
      <c r="A555" s="10" t="s">
        <v>32</v>
      </c>
      <c r="B555" s="127" t="s">
        <v>33</v>
      </c>
      <c r="D555" s="153">
        <v>0.11539000000000001</v>
      </c>
      <c r="E555" s="153">
        <v>0.14944199999999999</v>
      </c>
      <c r="F555" s="153">
        <v>0.18664800000000001</v>
      </c>
      <c r="G555" s="153">
        <v>0.17612900000000001</v>
      </c>
      <c r="H555" s="153">
        <v>0.23761599999999999</v>
      </c>
      <c r="I555" s="153">
        <v>0.20366200000000001</v>
      </c>
      <c r="J555" s="153">
        <v>0.28587400000000002</v>
      </c>
      <c r="K555" s="153">
        <v>0.33751199999999998</v>
      </c>
      <c r="L555" s="153">
        <v>0.19351099999999999</v>
      </c>
      <c r="M555" s="153">
        <v>0.23272499999999999</v>
      </c>
      <c r="N555" s="153">
        <v>0.116566</v>
      </c>
      <c r="O555" s="153">
        <v>0.13342699999999999</v>
      </c>
      <c r="P555" s="127"/>
      <c r="Q555" s="29"/>
      <c r="R555" s="30"/>
    </row>
    <row r="556" spans="1:18" ht="12" customHeight="1">
      <c r="A556" s="10" t="s">
        <v>34</v>
      </c>
      <c r="B556" s="127" t="s">
        <v>35</v>
      </c>
      <c r="D556" s="153">
        <v>8.7051000000000003E-2</v>
      </c>
      <c r="E556" s="153">
        <v>9.2314999999999994E-2</v>
      </c>
      <c r="F556" s="153">
        <v>0.1232</v>
      </c>
      <c r="G556" s="153">
        <v>0.126251</v>
      </c>
      <c r="H556" s="153">
        <v>0.15570700000000001</v>
      </c>
      <c r="I556" s="153">
        <v>0.13453000000000001</v>
      </c>
      <c r="J556" s="153">
        <v>0.16822300000000001</v>
      </c>
      <c r="K556" s="153">
        <v>0.18775600000000001</v>
      </c>
      <c r="L556" s="153">
        <v>0.12956500000000001</v>
      </c>
      <c r="M556" s="153">
        <v>0.13503699999999999</v>
      </c>
      <c r="N556" s="153">
        <v>0.113507</v>
      </c>
      <c r="O556" s="153">
        <v>0.120042</v>
      </c>
      <c r="P556" s="127"/>
      <c r="Q556" s="29"/>
      <c r="R556" s="30"/>
    </row>
    <row r="557" spans="1:18" ht="12" customHeight="1">
      <c r="A557" s="10" t="s">
        <v>36</v>
      </c>
      <c r="B557" s="127" t="s">
        <v>37</v>
      </c>
      <c r="D557" s="153">
        <v>6.7124000000000003E-2</v>
      </c>
      <c r="E557" s="153">
        <v>7.2625999999999996E-2</v>
      </c>
      <c r="F557" s="153">
        <v>9.7487000000000004E-2</v>
      </c>
      <c r="G557" s="153">
        <v>0.109363</v>
      </c>
      <c r="H557" s="153">
        <v>0.11308799999999999</v>
      </c>
      <c r="I557" s="153">
        <v>0.10340100000000001</v>
      </c>
      <c r="J557" s="153">
        <v>0.122729</v>
      </c>
      <c r="K557" s="153">
        <v>0.124102</v>
      </c>
      <c r="L557" s="153">
        <v>0.105223</v>
      </c>
      <c r="M557" s="153">
        <v>0.107987</v>
      </c>
      <c r="N557" s="153">
        <v>8.498E-2</v>
      </c>
      <c r="O557" s="153">
        <v>8.931E-2</v>
      </c>
      <c r="P557" s="127"/>
      <c r="Q557" s="29"/>
      <c r="R557" s="30"/>
    </row>
    <row r="558" spans="1:18" ht="12" customHeight="1">
      <c r="A558" s="10" t="s">
        <v>38</v>
      </c>
      <c r="B558" s="127" t="s">
        <v>39</v>
      </c>
      <c r="D558" s="154">
        <v>0.15828100000000001</v>
      </c>
      <c r="E558" s="154">
        <v>0.20345299999999999</v>
      </c>
      <c r="F558" s="154">
        <v>0.29827799999999999</v>
      </c>
      <c r="G558" s="154">
        <v>0.33862599999999998</v>
      </c>
      <c r="H558" s="154">
        <v>0.46473199999999998</v>
      </c>
      <c r="I558" s="154">
        <v>0.43374699999999999</v>
      </c>
      <c r="J558" s="154">
        <v>0.556454</v>
      </c>
      <c r="K558" s="154">
        <v>0.663883</v>
      </c>
      <c r="L558" s="154">
        <v>0.41550599999999999</v>
      </c>
      <c r="M558" s="154">
        <v>0.39871299999999998</v>
      </c>
      <c r="N558" s="154">
        <v>0.25255499999999997</v>
      </c>
      <c r="O558" s="154">
        <v>0.30986200000000003</v>
      </c>
      <c r="P558" s="127"/>
      <c r="Q558" s="29"/>
      <c r="R558" s="30"/>
    </row>
    <row r="559" spans="1:18" ht="12" customHeight="1">
      <c r="A559" s="10" t="s">
        <v>40</v>
      </c>
      <c r="B559" s="127" t="s">
        <v>41</v>
      </c>
      <c r="D559" s="154">
        <v>1.4211E-2</v>
      </c>
      <c r="E559" s="154">
        <v>1.5975E-2</v>
      </c>
      <c r="F559" s="154">
        <v>2.1561E-2</v>
      </c>
      <c r="G559" s="154">
        <v>2.2726E-2</v>
      </c>
      <c r="H559" s="154">
        <v>2.6265E-2</v>
      </c>
      <c r="I559" s="154">
        <v>2.4247999999999999E-2</v>
      </c>
      <c r="J559" s="154">
        <v>2.9326000000000001E-2</v>
      </c>
      <c r="K559" s="154">
        <v>3.1106999999999999E-2</v>
      </c>
      <c r="L559" s="154">
        <v>2.6176999999999999E-2</v>
      </c>
      <c r="M559" s="154">
        <v>2.605E-2</v>
      </c>
      <c r="N559" s="154">
        <v>2.1784999999999999E-2</v>
      </c>
      <c r="O559" s="154">
        <v>1.7103E-2</v>
      </c>
      <c r="P559" s="127"/>
      <c r="Q559" s="29"/>
      <c r="R559" s="30"/>
    </row>
    <row r="560" spans="1:18" ht="12" customHeight="1">
      <c r="A560" s="10" t="s">
        <v>42</v>
      </c>
      <c r="B560" s="127" t="s">
        <v>43</v>
      </c>
      <c r="D560" s="154">
        <v>3.3140000000000003E-2</v>
      </c>
      <c r="E560" s="154">
        <v>3.6824999999999997E-2</v>
      </c>
      <c r="F560" s="154">
        <v>4.6295000000000003E-2</v>
      </c>
      <c r="G560" s="154">
        <v>5.3780000000000001E-2</v>
      </c>
      <c r="H560" s="154">
        <v>6.3075000000000006E-2</v>
      </c>
      <c r="I560" s="154">
        <v>6.2161000000000001E-2</v>
      </c>
      <c r="J560" s="154">
        <v>8.0033000000000007E-2</v>
      </c>
      <c r="K560" s="154">
        <v>8.8219000000000006E-2</v>
      </c>
      <c r="L560" s="154">
        <v>4.7335000000000002E-2</v>
      </c>
      <c r="M560" s="154">
        <v>5.1570999999999999E-2</v>
      </c>
      <c r="N560" s="154">
        <v>4.0833000000000001E-2</v>
      </c>
      <c r="O560" s="154">
        <v>3.8197000000000002E-2</v>
      </c>
      <c r="P560" s="127"/>
      <c r="Q560" s="29"/>
      <c r="R560" s="30"/>
    </row>
    <row r="561" spans="1:18" ht="12" customHeight="1">
      <c r="A561" s="10" t="s">
        <v>44</v>
      </c>
      <c r="B561" s="127" t="s">
        <v>45</v>
      </c>
      <c r="D561" s="154">
        <v>4.1959999999999997E-2</v>
      </c>
      <c r="E561" s="154">
        <v>4.7694E-2</v>
      </c>
      <c r="F561" s="154">
        <v>7.3848999999999998E-2</v>
      </c>
      <c r="G561" s="154">
        <v>0.10161100000000001</v>
      </c>
      <c r="H561" s="154">
        <v>0.15104500000000001</v>
      </c>
      <c r="I561" s="154">
        <v>0.12739200000000001</v>
      </c>
      <c r="J561" s="154">
        <v>0.18298300000000001</v>
      </c>
      <c r="K561" s="154">
        <v>0.20930699999999999</v>
      </c>
      <c r="L561" s="154">
        <v>0.107597</v>
      </c>
      <c r="M561" s="154">
        <v>9.5254000000000005E-2</v>
      </c>
      <c r="N561" s="154">
        <v>5.9298999999999998E-2</v>
      </c>
      <c r="O561" s="154">
        <v>6.4160999999999996E-2</v>
      </c>
      <c r="P561" s="127"/>
      <c r="Q561" s="29"/>
      <c r="R561" s="30"/>
    </row>
    <row r="562" spans="1:18" ht="12" customHeight="1">
      <c r="A562" s="10" t="s">
        <v>46</v>
      </c>
      <c r="B562" s="127" t="s">
        <v>47</v>
      </c>
      <c r="D562" s="154">
        <v>3.2239999999999998E-2</v>
      </c>
      <c r="E562" s="154">
        <v>4.8266999999999997E-2</v>
      </c>
      <c r="F562" s="154">
        <v>5.5667000000000001E-2</v>
      </c>
      <c r="G562" s="154">
        <v>8.3529000000000006E-2</v>
      </c>
      <c r="H562" s="154">
        <v>0.152092</v>
      </c>
      <c r="I562" s="154">
        <v>0.1085</v>
      </c>
      <c r="J562" s="154">
        <v>0.21492700000000001</v>
      </c>
      <c r="K562" s="154">
        <v>0.28065400000000001</v>
      </c>
      <c r="L562" s="154">
        <v>9.4788999999999998E-2</v>
      </c>
      <c r="M562" s="154">
        <v>7.9723000000000002E-2</v>
      </c>
      <c r="N562" s="154">
        <v>3.5131999999999997E-2</v>
      </c>
      <c r="O562" s="154">
        <v>4.3310000000000001E-2</v>
      </c>
      <c r="P562" s="127"/>
      <c r="Q562" s="29"/>
      <c r="R562" s="30"/>
    </row>
    <row r="563" spans="1:18" ht="12" customHeight="1">
      <c r="A563" s="10" t="s">
        <v>48</v>
      </c>
      <c r="B563" s="127" t="s">
        <v>49</v>
      </c>
      <c r="D563" s="154">
        <v>1.7122999999999999E-2</v>
      </c>
      <c r="E563" s="154">
        <v>2.1519E-2</v>
      </c>
      <c r="F563" s="154">
        <v>2.7570000000000001E-2</v>
      </c>
      <c r="G563" s="154">
        <v>3.5439999999999999E-2</v>
      </c>
      <c r="H563" s="154">
        <v>6.1587999999999997E-2</v>
      </c>
      <c r="I563" s="154">
        <v>4.8873E-2</v>
      </c>
      <c r="J563" s="154">
        <v>7.9917000000000002E-2</v>
      </c>
      <c r="K563" s="154">
        <v>0.102094</v>
      </c>
      <c r="L563" s="154">
        <v>4.8681000000000002E-2</v>
      </c>
      <c r="M563" s="154">
        <v>4.6650999999999998E-2</v>
      </c>
      <c r="N563" s="154">
        <v>2.1609E-2</v>
      </c>
      <c r="O563" s="154">
        <v>2.5742000000000001E-2</v>
      </c>
      <c r="P563" s="127"/>
      <c r="Q563" s="29"/>
      <c r="R563" s="30"/>
    </row>
    <row r="564" spans="1:18" ht="12" customHeight="1">
      <c r="A564" s="10" t="s">
        <v>50</v>
      </c>
      <c r="B564" s="127" t="s">
        <v>27</v>
      </c>
      <c r="D564" s="154">
        <v>9.0559999999999998E-3</v>
      </c>
      <c r="E564" s="154">
        <v>8.2089999999999993E-3</v>
      </c>
      <c r="F564" s="154">
        <v>5.548E-3</v>
      </c>
      <c r="G564" s="154">
        <v>5.2779999999999997E-3</v>
      </c>
      <c r="H564" s="154">
        <v>7.2870000000000001E-3</v>
      </c>
      <c r="I564" s="154">
        <v>1.0026999999999999E-2</v>
      </c>
      <c r="J564" s="154">
        <v>1.0038999999999999E-2</v>
      </c>
      <c r="K564" s="154">
        <v>8.548E-3</v>
      </c>
      <c r="L564" s="154">
        <v>6.5440000000000003E-3</v>
      </c>
      <c r="M564" s="154">
        <v>6.2979999999999998E-3</v>
      </c>
      <c r="N564" s="154">
        <v>5.6059999999999999E-3</v>
      </c>
      <c r="O564" s="154">
        <v>4.8209999999999998E-3</v>
      </c>
      <c r="P564" s="127"/>
      <c r="Q564" s="29"/>
      <c r="R564" s="30"/>
    </row>
    <row r="565" spans="1:18" ht="12" customHeight="1">
      <c r="A565" s="10" t="s">
        <v>51</v>
      </c>
      <c r="B565" s="11" t="s">
        <v>52</v>
      </c>
      <c r="D565" s="154">
        <v>5.8380000000000003E-3</v>
      </c>
      <c r="E565" s="154">
        <v>6.7029999999999998E-3</v>
      </c>
      <c r="F565" s="154">
        <v>8.3169999999999997E-3</v>
      </c>
      <c r="G565" s="154">
        <v>1.0999999999999999E-2</v>
      </c>
      <c r="H565" s="154">
        <v>1.5368E-2</v>
      </c>
      <c r="I565" s="154">
        <v>1.8024999999999999E-2</v>
      </c>
      <c r="J565" s="154">
        <v>2.0171999999999999E-2</v>
      </c>
      <c r="K565" s="154">
        <v>2.0303000000000002E-2</v>
      </c>
      <c r="L565" s="154">
        <v>1.7236000000000001E-2</v>
      </c>
      <c r="M565" s="154">
        <v>1.4906000000000001E-2</v>
      </c>
      <c r="N565" s="154">
        <v>8.0829999999999999E-3</v>
      </c>
      <c r="O565" s="154">
        <v>6.2719999999999998E-3</v>
      </c>
      <c r="P565" s="11"/>
      <c r="Q565" s="29"/>
      <c r="R565" s="30"/>
    </row>
    <row r="566" spans="1:18" ht="12" customHeight="1">
      <c r="A566" s="10" t="s">
        <v>53</v>
      </c>
      <c r="B566" s="11" t="s">
        <v>54</v>
      </c>
      <c r="D566" s="154">
        <v>3.0818000000000002E-2</v>
      </c>
      <c r="E566" s="154">
        <v>3.4027000000000002E-2</v>
      </c>
      <c r="F566" s="154">
        <v>3.7789000000000003E-2</v>
      </c>
      <c r="G566" s="154">
        <v>6.1232000000000002E-2</v>
      </c>
      <c r="H566" s="154">
        <v>0.21576400000000001</v>
      </c>
      <c r="I566" s="154">
        <v>0.84533199999999997</v>
      </c>
      <c r="J566" s="154">
        <v>1.4305589999999999</v>
      </c>
      <c r="K566" s="154">
        <v>1.5388679999999999</v>
      </c>
      <c r="L566" s="154">
        <v>0.59621100000000005</v>
      </c>
      <c r="M566" s="154">
        <v>7.7990000000000004E-2</v>
      </c>
      <c r="N566" s="154">
        <v>3.6788000000000001E-2</v>
      </c>
      <c r="O566" s="154">
        <v>3.3862999999999997E-2</v>
      </c>
      <c r="P566" s="11"/>
      <c r="Q566" s="29"/>
      <c r="R566" s="30"/>
    </row>
    <row r="567" spans="1:18" ht="12" customHeight="1">
      <c r="A567" s="10" t="s">
        <v>55</v>
      </c>
      <c r="B567" s="11" t="s">
        <v>24</v>
      </c>
      <c r="D567" s="154">
        <v>1.2973999999999999E-2</v>
      </c>
      <c r="E567" s="154">
        <v>1.3651999999999999E-2</v>
      </c>
      <c r="F567" s="154">
        <v>1.3540999999999999E-2</v>
      </c>
      <c r="G567" s="154">
        <v>2.2752000000000001E-2</v>
      </c>
      <c r="H567" s="154">
        <v>0.254471</v>
      </c>
      <c r="I567" s="154">
        <v>1.2251399999999999</v>
      </c>
      <c r="J567" s="154">
        <v>2.1257139999999999</v>
      </c>
      <c r="K567" s="154">
        <v>2.1993179999999999</v>
      </c>
      <c r="L567" s="154">
        <v>0.98547799999999997</v>
      </c>
      <c r="M567" s="154">
        <v>3.5816000000000001E-2</v>
      </c>
      <c r="N567" s="154">
        <v>1.3037E-2</v>
      </c>
      <c r="O567" s="154">
        <v>1.0695E-2</v>
      </c>
      <c r="P567" s="11"/>
      <c r="Q567" s="29"/>
      <c r="R567" s="30"/>
    </row>
    <row r="568" spans="1:18" ht="12" customHeight="1">
      <c r="A568" s="10" t="s">
        <v>56</v>
      </c>
      <c r="B568" s="11" t="s">
        <v>57</v>
      </c>
      <c r="D568" s="154">
        <v>0.29539300000000002</v>
      </c>
      <c r="E568" s="154">
        <v>0.31554100000000002</v>
      </c>
      <c r="F568" s="154">
        <v>0.23794899999999999</v>
      </c>
      <c r="G568" s="154">
        <v>0.14832799999999999</v>
      </c>
      <c r="H568" s="154">
        <v>0.15407799999999999</v>
      </c>
      <c r="I568" s="154">
        <v>0.16034200000000001</v>
      </c>
      <c r="J568" s="154">
        <v>0.18026600000000001</v>
      </c>
      <c r="K568" s="154">
        <v>0.21290600000000001</v>
      </c>
      <c r="L568" s="154">
        <v>0.16716600000000001</v>
      </c>
      <c r="M568" s="154">
        <v>0.188585</v>
      </c>
      <c r="N568" s="154">
        <v>0.14180899999999999</v>
      </c>
      <c r="O568" s="154">
        <v>0.19612199999999999</v>
      </c>
      <c r="P568" s="11"/>
      <c r="Q568" s="29"/>
      <c r="R568" s="30"/>
    </row>
    <row r="569" spans="1:18" ht="12" customHeight="1">
      <c r="A569" s="10" t="s">
        <v>58</v>
      </c>
      <c r="B569" s="11" t="s">
        <v>59</v>
      </c>
      <c r="D569" s="154">
        <v>6.7784999999999998E-2</v>
      </c>
      <c r="E569" s="154">
        <v>6.1989000000000002E-2</v>
      </c>
      <c r="F569" s="154">
        <v>3.8719000000000003E-2</v>
      </c>
      <c r="G569" s="154">
        <v>3.6325000000000003E-2</v>
      </c>
      <c r="H569" s="154">
        <v>3.9254999999999998E-2</v>
      </c>
      <c r="I569" s="154">
        <v>4.8709000000000002E-2</v>
      </c>
      <c r="J569" s="154">
        <v>6.4797999999999994E-2</v>
      </c>
      <c r="K569" s="154">
        <v>5.6515999999999997E-2</v>
      </c>
      <c r="L569" s="154">
        <v>4.9556999999999997E-2</v>
      </c>
      <c r="M569" s="154">
        <v>4.0395E-2</v>
      </c>
      <c r="N569" s="154">
        <v>2.8132999999999998E-2</v>
      </c>
      <c r="O569" s="154">
        <v>3.6066000000000001E-2</v>
      </c>
      <c r="P569" s="11"/>
      <c r="Q569" s="29"/>
      <c r="R569" s="30"/>
    </row>
    <row r="570" spans="1:18" ht="12" customHeight="1">
      <c r="A570" s="10" t="s">
        <v>60</v>
      </c>
      <c r="B570" s="11" t="s">
        <v>61</v>
      </c>
      <c r="D570" s="154">
        <v>0.82659400000000005</v>
      </c>
      <c r="E570" s="154">
        <v>0.86434200000000005</v>
      </c>
      <c r="F570" s="154">
        <v>1.209268</v>
      </c>
      <c r="G570" s="154">
        <v>1.2551620000000001</v>
      </c>
      <c r="H570" s="154">
        <v>1.4274119999999999</v>
      </c>
      <c r="I570" s="154">
        <v>1.3286899999999999</v>
      </c>
      <c r="J570" s="154">
        <v>1.5998810000000001</v>
      </c>
      <c r="K570" s="154">
        <v>1.6412</v>
      </c>
      <c r="L570" s="154">
        <v>1.321717</v>
      </c>
      <c r="M570" s="154">
        <v>1.4512830000000001</v>
      </c>
      <c r="N570" s="154">
        <v>1.1535759999999999</v>
      </c>
      <c r="O570" s="154">
        <v>1.5856650000000001</v>
      </c>
      <c r="P570" s="11"/>
      <c r="Q570" s="29"/>
      <c r="R570" s="30"/>
    </row>
    <row r="571" spans="1:18" ht="12" customHeight="1">
      <c r="A571" s="10" t="s">
        <v>62</v>
      </c>
      <c r="B571" s="11" t="s">
        <v>513</v>
      </c>
      <c r="D571" s="154">
        <v>3.2128999999999998E-2</v>
      </c>
      <c r="E571" s="154">
        <v>3.5628E-2</v>
      </c>
      <c r="F571" s="154">
        <v>4.5183000000000001E-2</v>
      </c>
      <c r="G571" s="154">
        <v>4.8715000000000001E-2</v>
      </c>
      <c r="H571" s="154">
        <v>6.9305000000000005E-2</v>
      </c>
      <c r="I571" s="154">
        <v>5.3169000000000001E-2</v>
      </c>
      <c r="J571" s="154">
        <v>8.8676000000000005E-2</v>
      </c>
      <c r="K571" s="154">
        <v>8.8199E-2</v>
      </c>
      <c r="L571" s="154">
        <v>5.1291000000000003E-2</v>
      </c>
      <c r="M571" s="154">
        <v>5.7431000000000003E-2</v>
      </c>
      <c r="N571" s="154">
        <v>3.9099000000000002E-2</v>
      </c>
      <c r="O571" s="154">
        <v>4.6856000000000002E-2</v>
      </c>
      <c r="P571" s="11"/>
      <c r="Q571" s="29"/>
      <c r="R571" s="30"/>
    </row>
    <row r="572" spans="1:18" ht="12" customHeight="1">
      <c r="A572" s="10" t="s">
        <v>63</v>
      </c>
      <c r="B572" s="11" t="s">
        <v>64</v>
      </c>
      <c r="D572" s="154">
        <v>7.8863000000000003E-2</v>
      </c>
      <c r="E572" s="154">
        <v>8.727E-2</v>
      </c>
      <c r="F572" s="154">
        <v>9.8757999999999999E-2</v>
      </c>
      <c r="G572" s="154">
        <v>0.10398300000000001</v>
      </c>
      <c r="H572" s="154">
        <v>0.17383699999999999</v>
      </c>
      <c r="I572" s="154">
        <v>0.15872700000000001</v>
      </c>
      <c r="J572" s="154">
        <v>0.23469300000000001</v>
      </c>
      <c r="K572" s="154">
        <v>0.27299400000000001</v>
      </c>
      <c r="L572" s="154">
        <v>0.14244799999999999</v>
      </c>
      <c r="M572" s="154">
        <v>0.132186</v>
      </c>
      <c r="N572" s="154">
        <v>8.6324999999999999E-2</v>
      </c>
      <c r="O572" s="154">
        <v>0.108239</v>
      </c>
      <c r="P572" s="11"/>
      <c r="Q572" s="29"/>
      <c r="R572" s="30"/>
    </row>
    <row r="573" spans="1:18" ht="12" customHeight="1">
      <c r="A573" s="10" t="s">
        <v>65</v>
      </c>
      <c r="B573" s="11" t="s">
        <v>66</v>
      </c>
      <c r="D573" s="154">
        <v>0.20222000000000001</v>
      </c>
      <c r="E573" s="154">
        <v>0.248198</v>
      </c>
      <c r="F573" s="154">
        <v>0.26877400000000001</v>
      </c>
      <c r="G573" s="154">
        <v>0.23630799999999999</v>
      </c>
      <c r="H573" s="154">
        <v>0.33190599999999998</v>
      </c>
      <c r="I573" s="154">
        <v>0.25590499999999999</v>
      </c>
      <c r="J573" s="154">
        <v>0.31261800000000001</v>
      </c>
      <c r="K573" s="154">
        <v>0.34695599999999999</v>
      </c>
      <c r="L573" s="154">
        <v>0.30312600000000001</v>
      </c>
      <c r="M573" s="154">
        <v>0.34255799999999997</v>
      </c>
      <c r="N573" s="154">
        <v>0.248449</v>
      </c>
      <c r="O573" s="154">
        <v>0.27784799999999998</v>
      </c>
      <c r="P573" s="11"/>
      <c r="Q573" s="29"/>
      <c r="R573" s="30"/>
    </row>
    <row r="574" spans="1:18" ht="12" customHeight="1">
      <c r="A574" s="10" t="s">
        <v>67</v>
      </c>
      <c r="B574" s="11" t="s">
        <v>68</v>
      </c>
      <c r="D574" s="154">
        <v>0.164771</v>
      </c>
      <c r="E574" s="154">
        <v>0.244173</v>
      </c>
      <c r="F574" s="154">
        <v>8.0686999999999995E-2</v>
      </c>
      <c r="G574" s="154">
        <v>7.0169999999999996E-2</v>
      </c>
      <c r="H574" s="154">
        <v>0.154367</v>
      </c>
      <c r="I574" s="154">
        <v>0.116326</v>
      </c>
      <c r="J574" s="154">
        <v>0.197463</v>
      </c>
      <c r="K574" s="154">
        <v>0.21987000000000001</v>
      </c>
      <c r="L574" s="154">
        <v>0.108569</v>
      </c>
      <c r="M574" s="154">
        <v>0.119343</v>
      </c>
      <c r="N574" s="154">
        <v>5.5964E-2</v>
      </c>
      <c r="O574" s="154">
        <v>0.13327600000000001</v>
      </c>
      <c r="P574" s="11"/>
      <c r="Q574" s="29"/>
      <c r="R574" s="30"/>
    </row>
    <row r="575" spans="1:18" ht="12" customHeight="1">
      <c r="A575" s="10" t="s">
        <v>69</v>
      </c>
      <c r="B575" s="11" t="s">
        <v>70</v>
      </c>
      <c r="D575" s="154">
        <v>6.5363000000000004E-2</v>
      </c>
      <c r="E575" s="154">
        <v>7.8421000000000005E-2</v>
      </c>
      <c r="F575" s="154">
        <v>8.4781999999999996E-2</v>
      </c>
      <c r="G575" s="154">
        <v>0.101081</v>
      </c>
      <c r="H575" s="154">
        <v>0.145403</v>
      </c>
      <c r="I575" s="154">
        <v>0.14133399999999999</v>
      </c>
      <c r="J575" s="154">
        <v>0.17615600000000001</v>
      </c>
      <c r="K575" s="154">
        <v>0.19393199999999999</v>
      </c>
      <c r="L575" s="154">
        <v>0.127362</v>
      </c>
      <c r="M575" s="154">
        <v>0.113012</v>
      </c>
      <c r="N575" s="154">
        <v>9.4283000000000006E-2</v>
      </c>
      <c r="O575" s="154">
        <v>8.5806999999999994E-2</v>
      </c>
      <c r="P575" s="11"/>
      <c r="Q575" s="29"/>
      <c r="R575" s="30"/>
    </row>
    <row r="576" spans="1:18" ht="12" customHeight="1">
      <c r="A576" s="10" t="s">
        <v>71</v>
      </c>
      <c r="B576" s="11" t="s">
        <v>514</v>
      </c>
      <c r="D576" s="154">
        <v>3.0831999999999998E-2</v>
      </c>
      <c r="E576" s="154">
        <v>3.2398000000000003E-2</v>
      </c>
      <c r="F576" s="154">
        <v>3.6214999999999997E-2</v>
      </c>
      <c r="G576" s="154">
        <v>4.0832E-2</v>
      </c>
      <c r="H576" s="154">
        <v>5.8238999999999999E-2</v>
      </c>
      <c r="I576" s="154">
        <v>5.2303000000000002E-2</v>
      </c>
      <c r="J576" s="154">
        <v>6.3724000000000003E-2</v>
      </c>
      <c r="K576" s="154">
        <v>7.7051999999999995E-2</v>
      </c>
      <c r="L576" s="154">
        <v>4.6924E-2</v>
      </c>
      <c r="M576" s="154">
        <v>4.5839999999999999E-2</v>
      </c>
      <c r="N576" s="154">
        <v>4.0517999999999998E-2</v>
      </c>
      <c r="O576" s="154">
        <v>3.3659000000000001E-2</v>
      </c>
      <c r="P576" s="11"/>
      <c r="Q576" s="29"/>
      <c r="R576" s="30"/>
    </row>
    <row r="577" spans="1:18" ht="12" customHeight="1">
      <c r="A577" s="10" t="s">
        <v>72</v>
      </c>
      <c r="B577" s="11" t="s">
        <v>73</v>
      </c>
      <c r="D577" s="154">
        <v>2.3838999999999999E-2</v>
      </c>
      <c r="E577" s="154">
        <v>2.7290999999999999E-2</v>
      </c>
      <c r="F577" s="154">
        <v>2.7720000000000002E-2</v>
      </c>
      <c r="G577" s="154">
        <v>3.4188000000000003E-2</v>
      </c>
      <c r="H577" s="154">
        <v>6.1515E-2</v>
      </c>
      <c r="I577" s="154">
        <v>4.4692000000000003E-2</v>
      </c>
      <c r="J577" s="154">
        <v>5.8677E-2</v>
      </c>
      <c r="K577" s="154">
        <v>5.7897999999999998E-2</v>
      </c>
      <c r="L577" s="154">
        <v>3.8461000000000002E-2</v>
      </c>
      <c r="M577" s="154">
        <v>3.6004000000000001E-2</v>
      </c>
      <c r="N577" s="154">
        <v>3.3041000000000001E-2</v>
      </c>
      <c r="O577" s="154">
        <v>2.6674E-2</v>
      </c>
      <c r="P577" s="11"/>
      <c r="Q577" s="29"/>
      <c r="R577" s="30"/>
    </row>
    <row r="578" spans="1:18" ht="12" customHeight="1">
      <c r="A578" s="10" t="s">
        <v>74</v>
      </c>
      <c r="B578" s="11" t="s">
        <v>75</v>
      </c>
      <c r="D578" s="154">
        <v>0.342945</v>
      </c>
      <c r="E578" s="154">
        <v>0.37096299999999999</v>
      </c>
      <c r="F578" s="154">
        <v>0.53859100000000004</v>
      </c>
      <c r="G578" s="154">
        <v>0.60902900000000004</v>
      </c>
      <c r="H578" s="154">
        <v>0.79095599999999999</v>
      </c>
      <c r="I578" s="154">
        <v>0.82701100000000005</v>
      </c>
      <c r="J578" s="154">
        <v>1.0960289999999999</v>
      </c>
      <c r="K578" s="154">
        <v>1.1551100000000001</v>
      </c>
      <c r="L578" s="154">
        <v>0.75442299999999995</v>
      </c>
      <c r="M578" s="154">
        <v>0.68365600000000004</v>
      </c>
      <c r="N578" s="154">
        <v>0.56735400000000002</v>
      </c>
      <c r="O578" s="154">
        <v>0.60920200000000002</v>
      </c>
      <c r="P578" s="11"/>
      <c r="Q578" s="29"/>
      <c r="R578" s="30"/>
    </row>
    <row r="579" spans="1:18" ht="12" customHeight="1">
      <c r="A579" s="10" t="s">
        <v>76</v>
      </c>
      <c r="B579" s="11" t="s">
        <v>77</v>
      </c>
      <c r="D579" s="154">
        <v>1.7614999999999999E-2</v>
      </c>
      <c r="E579" s="154">
        <v>2.0354000000000001E-2</v>
      </c>
      <c r="F579" s="154">
        <v>2.5100999999999998E-2</v>
      </c>
      <c r="G579" s="154">
        <v>2.9038000000000001E-2</v>
      </c>
      <c r="H579" s="154">
        <v>4.7706999999999999E-2</v>
      </c>
      <c r="I579" s="154">
        <v>7.4273000000000006E-2</v>
      </c>
      <c r="J579" s="154">
        <v>0.16283</v>
      </c>
      <c r="K579" s="154">
        <v>0.17860300000000001</v>
      </c>
      <c r="L579" s="154">
        <v>3.9461000000000003E-2</v>
      </c>
      <c r="M579" s="154">
        <v>4.5828000000000001E-2</v>
      </c>
      <c r="N579" s="154">
        <v>1.8280000000000001E-2</v>
      </c>
      <c r="O579" s="154">
        <v>1.6879999999999999E-2</v>
      </c>
      <c r="P579" s="11"/>
      <c r="Q579" s="29"/>
      <c r="R579" s="30"/>
    </row>
    <row r="580" spans="1:18" ht="12" customHeight="1">
      <c r="A580" s="10" t="s">
        <v>78</v>
      </c>
      <c r="B580" s="11" t="s">
        <v>79</v>
      </c>
      <c r="D580" s="154">
        <v>5.8842999999999999E-2</v>
      </c>
      <c r="E580" s="154">
        <v>5.8422000000000002E-2</v>
      </c>
      <c r="F580" s="154">
        <v>0.14327699999999999</v>
      </c>
      <c r="G580" s="154">
        <v>0.24831600000000001</v>
      </c>
      <c r="H580" s="154">
        <v>0.44727299999999998</v>
      </c>
      <c r="I580" s="154">
        <v>0.470192</v>
      </c>
      <c r="J580" s="154">
        <v>0.90120699999999998</v>
      </c>
      <c r="K580" s="154">
        <v>0.98053100000000004</v>
      </c>
      <c r="L580" s="154">
        <v>0.30585200000000001</v>
      </c>
      <c r="M580" s="154">
        <v>0.28643000000000002</v>
      </c>
      <c r="N580" s="154">
        <v>6.9466E-2</v>
      </c>
      <c r="O580" s="154">
        <v>9.7295000000000006E-2</v>
      </c>
      <c r="P580" s="11"/>
      <c r="Q580" s="29"/>
      <c r="R580" s="30"/>
    </row>
    <row r="581" spans="1:18" ht="12" customHeight="1">
      <c r="A581" s="10" t="s">
        <v>80</v>
      </c>
      <c r="B581" s="11" t="s">
        <v>81</v>
      </c>
      <c r="D581" s="154">
        <v>3.0367000000000002E-2</v>
      </c>
      <c r="E581" s="154">
        <v>3.0168E-2</v>
      </c>
      <c r="F581" s="154">
        <v>4.8316999999999999E-2</v>
      </c>
      <c r="G581" s="154">
        <v>6.7702999999999999E-2</v>
      </c>
      <c r="H581" s="154">
        <v>0.123922</v>
      </c>
      <c r="I581" s="154">
        <v>0.147366</v>
      </c>
      <c r="J581" s="154">
        <v>0.30011300000000002</v>
      </c>
      <c r="K581" s="154">
        <v>0.33328200000000002</v>
      </c>
      <c r="L581" s="154">
        <v>0.103671</v>
      </c>
      <c r="M581" s="154">
        <v>9.0077000000000004E-2</v>
      </c>
      <c r="N581" s="154">
        <v>3.7109999999999997E-2</v>
      </c>
      <c r="O581" s="154">
        <v>3.5811999999999997E-2</v>
      </c>
      <c r="P581" s="11"/>
      <c r="Q581" s="29"/>
      <c r="R581" s="30"/>
    </row>
    <row r="582" spans="1:18" ht="12" customHeight="1">
      <c r="A582" s="10" t="s">
        <v>82</v>
      </c>
      <c r="B582" s="11" t="s">
        <v>83</v>
      </c>
      <c r="D582" s="154">
        <v>2.1073999999999999E-2</v>
      </c>
      <c r="E582" s="154">
        <v>2.5568E-2</v>
      </c>
      <c r="F582" s="154">
        <v>5.3441000000000002E-2</v>
      </c>
      <c r="G582" s="154">
        <v>5.5379999999999999E-2</v>
      </c>
      <c r="H582" s="154">
        <v>0.119157</v>
      </c>
      <c r="I582" s="154">
        <v>0.17312900000000001</v>
      </c>
      <c r="J582" s="154">
        <v>0.36903399999999997</v>
      </c>
      <c r="K582" s="154">
        <v>0.31936700000000001</v>
      </c>
      <c r="L582" s="154">
        <v>0.11587799999999999</v>
      </c>
      <c r="M582" s="154">
        <v>6.1141000000000001E-2</v>
      </c>
      <c r="N582" s="154">
        <v>3.2354000000000001E-2</v>
      </c>
      <c r="O582" s="154">
        <v>2.4871999999999998E-2</v>
      </c>
      <c r="P582" s="11"/>
      <c r="Q582" s="29"/>
      <c r="R582" s="30"/>
    </row>
    <row r="583" spans="1:18" ht="12" customHeight="1">
      <c r="A583" s="10" t="s">
        <v>84</v>
      </c>
      <c r="B583" s="11" t="s">
        <v>85</v>
      </c>
      <c r="D583" s="154">
        <v>0.16770499999999999</v>
      </c>
      <c r="E583" s="154">
        <v>0.244224</v>
      </c>
      <c r="F583" s="154">
        <v>0.226655</v>
      </c>
      <c r="G583" s="154">
        <v>0.24356700000000001</v>
      </c>
      <c r="H583" s="154">
        <v>0.25126199999999999</v>
      </c>
      <c r="I583" s="154">
        <v>0.36558600000000002</v>
      </c>
      <c r="J583" s="154">
        <v>0.34227600000000002</v>
      </c>
      <c r="K583" s="154">
        <v>0.300182</v>
      </c>
      <c r="L583" s="154">
        <v>0.28225499999999998</v>
      </c>
      <c r="M583" s="154">
        <v>0.28039999999999998</v>
      </c>
      <c r="N583" s="154">
        <v>0.21779000000000001</v>
      </c>
      <c r="O583" s="154">
        <v>0.22506200000000001</v>
      </c>
      <c r="P583" s="11"/>
      <c r="Q583" s="29"/>
      <c r="R583" s="30"/>
    </row>
    <row r="584" spans="1:18" ht="12" customHeight="1">
      <c r="A584" s="10" t="s">
        <v>86</v>
      </c>
      <c r="B584" s="11" t="s">
        <v>87</v>
      </c>
      <c r="D584" s="154">
        <v>0.116341</v>
      </c>
      <c r="E584" s="154">
        <v>0.135959</v>
      </c>
      <c r="F584" s="154">
        <v>0.15365599999999999</v>
      </c>
      <c r="G584" s="154">
        <v>0.17277899999999999</v>
      </c>
      <c r="H584" s="154">
        <v>0.20483999999999999</v>
      </c>
      <c r="I584" s="154">
        <v>0.23097500000000001</v>
      </c>
      <c r="J584" s="154">
        <v>0.31038199999999999</v>
      </c>
      <c r="K584" s="154">
        <v>0.32280399999999998</v>
      </c>
      <c r="L584" s="154">
        <v>0.22340299999999999</v>
      </c>
      <c r="M584" s="154">
        <v>0.19698199999999999</v>
      </c>
      <c r="N584" s="154">
        <v>0.157079</v>
      </c>
      <c r="O584" s="154">
        <v>0.17454500000000001</v>
      </c>
      <c r="P584" s="11"/>
      <c r="Q584" s="29"/>
      <c r="R584" s="30"/>
    </row>
    <row r="585" spans="1:18" ht="12" customHeight="1">
      <c r="A585" s="10" t="s">
        <v>88</v>
      </c>
      <c r="B585" s="11" t="s">
        <v>89</v>
      </c>
      <c r="D585" s="154">
        <v>0.17159099999999999</v>
      </c>
      <c r="E585" s="154">
        <v>0.194274</v>
      </c>
      <c r="F585" s="154">
        <v>0.25361800000000001</v>
      </c>
      <c r="G585" s="154">
        <v>0.38987899999999998</v>
      </c>
      <c r="H585" s="154">
        <v>0.44967600000000002</v>
      </c>
      <c r="I585" s="154">
        <v>0.42883199999999999</v>
      </c>
      <c r="J585" s="154">
        <v>0.68089100000000002</v>
      </c>
      <c r="K585" s="154">
        <v>0.72793099999999999</v>
      </c>
      <c r="L585" s="154">
        <v>0.42969299999999999</v>
      </c>
      <c r="M585" s="154">
        <v>0.41042400000000001</v>
      </c>
      <c r="N585" s="154">
        <v>0.25752799999999998</v>
      </c>
      <c r="O585" s="154">
        <v>0.33001999999999998</v>
      </c>
      <c r="P585" s="11"/>
      <c r="Q585" s="29"/>
      <c r="R585" s="30"/>
    </row>
    <row r="586" spans="1:18" ht="12" customHeight="1">
      <c r="A586" s="10" t="s">
        <v>90</v>
      </c>
      <c r="B586" s="11" t="s">
        <v>91</v>
      </c>
      <c r="D586" s="154">
        <v>6.6716999999999999E-2</v>
      </c>
      <c r="E586" s="154">
        <v>0.106294</v>
      </c>
      <c r="F586" s="154">
        <v>9.3751000000000001E-2</v>
      </c>
      <c r="G586" s="154">
        <v>0.155358</v>
      </c>
      <c r="H586" s="154">
        <v>0.147706</v>
      </c>
      <c r="I586" s="154">
        <v>0.153366</v>
      </c>
      <c r="J586" s="154">
        <v>0.25395499999999999</v>
      </c>
      <c r="K586" s="154">
        <v>0.223552</v>
      </c>
      <c r="L586" s="154">
        <v>0.141872</v>
      </c>
      <c r="M586" s="154">
        <v>0.150587</v>
      </c>
      <c r="N586" s="154">
        <v>8.6522000000000002E-2</v>
      </c>
      <c r="O586" s="154">
        <v>7.9631999999999994E-2</v>
      </c>
      <c r="P586" s="11"/>
      <c r="Q586" s="29"/>
      <c r="R586" s="30"/>
    </row>
    <row r="587" spans="1:18" ht="12" customHeight="1">
      <c r="A587" s="10" t="s">
        <v>92</v>
      </c>
      <c r="B587" s="11" t="s">
        <v>93</v>
      </c>
      <c r="D587" s="154">
        <v>0.66688999999999998</v>
      </c>
      <c r="E587" s="154">
        <v>0.77612099999999995</v>
      </c>
      <c r="F587" s="154">
        <v>0.81679000000000002</v>
      </c>
      <c r="G587" s="154">
        <v>0.90089900000000001</v>
      </c>
      <c r="H587" s="154">
        <v>1.0841000000000001</v>
      </c>
      <c r="I587" s="154">
        <v>1.2877609999999999</v>
      </c>
      <c r="J587" s="154">
        <v>1.537374</v>
      </c>
      <c r="K587" s="154">
        <v>1.6799010000000001</v>
      </c>
      <c r="L587" s="154">
        <v>1.31891</v>
      </c>
      <c r="M587" s="154">
        <v>1.1321889999999999</v>
      </c>
      <c r="N587" s="154">
        <v>0.90464100000000003</v>
      </c>
      <c r="O587" s="154">
        <v>1.0998479999999999</v>
      </c>
      <c r="P587" s="11"/>
      <c r="Q587" s="29"/>
      <c r="R587" s="30"/>
    </row>
    <row r="588" spans="1:18" ht="12" customHeight="1">
      <c r="A588" s="10" t="s">
        <v>94</v>
      </c>
      <c r="B588" s="11" t="s">
        <v>95</v>
      </c>
      <c r="D588" s="154">
        <v>4.6336000000000002E-2</v>
      </c>
      <c r="E588" s="154">
        <v>5.6727E-2</v>
      </c>
      <c r="F588" s="154">
        <v>5.7895000000000002E-2</v>
      </c>
      <c r="G588" s="154">
        <v>6.1947000000000002E-2</v>
      </c>
      <c r="H588" s="154">
        <v>7.9022999999999996E-2</v>
      </c>
      <c r="I588" s="154">
        <v>8.2942000000000002E-2</v>
      </c>
      <c r="J588" s="154">
        <v>0.119087</v>
      </c>
      <c r="K588" s="154">
        <v>0.118883</v>
      </c>
      <c r="L588" s="154">
        <v>8.1083000000000002E-2</v>
      </c>
      <c r="M588" s="154">
        <v>7.8007999999999994E-2</v>
      </c>
      <c r="N588" s="154">
        <v>6.0432E-2</v>
      </c>
      <c r="O588" s="154">
        <v>5.3272E-2</v>
      </c>
      <c r="P588" s="11"/>
      <c r="Q588" s="29"/>
      <c r="R588" s="30"/>
    </row>
    <row r="589" spans="1:18" ht="12" customHeight="1">
      <c r="A589" s="10" t="s">
        <v>96</v>
      </c>
      <c r="B589" s="11" t="s">
        <v>97</v>
      </c>
      <c r="D589" s="154">
        <v>4.1133999999999997E-2</v>
      </c>
      <c r="E589" s="154">
        <v>4.6996000000000003E-2</v>
      </c>
      <c r="F589" s="154">
        <v>5.8471000000000002E-2</v>
      </c>
      <c r="G589" s="154">
        <v>5.1284999999999997E-2</v>
      </c>
      <c r="H589" s="154">
        <v>6.3467999999999997E-2</v>
      </c>
      <c r="I589" s="154">
        <v>7.0768999999999999E-2</v>
      </c>
      <c r="J589" s="154">
        <v>9.4076000000000007E-2</v>
      </c>
      <c r="K589" s="154">
        <v>9.4364000000000003E-2</v>
      </c>
      <c r="L589" s="154">
        <v>6.7838999999999997E-2</v>
      </c>
      <c r="M589" s="154">
        <v>5.9580000000000001E-2</v>
      </c>
      <c r="N589" s="154">
        <v>4.8883999999999997E-2</v>
      </c>
      <c r="O589" s="154">
        <v>5.0068000000000001E-2</v>
      </c>
      <c r="P589" s="11"/>
      <c r="Q589" s="29"/>
      <c r="R589" s="30"/>
    </row>
    <row r="590" spans="1:18" ht="12" customHeight="1">
      <c r="A590" s="10" t="s">
        <v>98</v>
      </c>
      <c r="B590" s="11" t="s">
        <v>99</v>
      </c>
      <c r="D590" s="154">
        <v>2.1333000000000001E-2</v>
      </c>
      <c r="E590" s="154">
        <v>2.5301000000000001E-2</v>
      </c>
      <c r="F590" s="154">
        <v>2.8237999999999999E-2</v>
      </c>
      <c r="G590" s="154">
        <v>3.0270999999999999E-2</v>
      </c>
      <c r="H590" s="154">
        <v>3.7824999999999998E-2</v>
      </c>
      <c r="I590" s="154">
        <v>4.3394000000000002E-2</v>
      </c>
      <c r="J590" s="154">
        <v>6.3834000000000002E-2</v>
      </c>
      <c r="K590" s="154">
        <v>6.4269000000000007E-2</v>
      </c>
      <c r="L590" s="154">
        <v>4.0189999999999997E-2</v>
      </c>
      <c r="M590" s="154">
        <v>3.3267999999999999E-2</v>
      </c>
      <c r="N590" s="154">
        <v>2.7910000000000001E-2</v>
      </c>
      <c r="O590" s="154">
        <v>2.4209999999999999E-2</v>
      </c>
      <c r="P590" s="11"/>
      <c r="Q590" s="29"/>
      <c r="R590" s="30"/>
    </row>
    <row r="591" spans="1:18" ht="12" customHeight="1">
      <c r="A591" s="10" t="s">
        <v>100</v>
      </c>
      <c r="B591" s="11" t="s">
        <v>101</v>
      </c>
      <c r="D591" s="154">
        <v>0.143705</v>
      </c>
      <c r="E591" s="154">
        <v>0.18021799999999999</v>
      </c>
      <c r="F591" s="154">
        <v>0.16066800000000001</v>
      </c>
      <c r="G591" s="154">
        <v>0.15477299999999999</v>
      </c>
      <c r="H591" s="154">
        <v>0.201433</v>
      </c>
      <c r="I591" s="154">
        <v>0.21381500000000001</v>
      </c>
      <c r="J591" s="154">
        <v>0.27749200000000002</v>
      </c>
      <c r="K591" s="154">
        <v>0.251135</v>
      </c>
      <c r="L591" s="154">
        <v>0.19395899999999999</v>
      </c>
      <c r="M591" s="154">
        <v>0.16855899999999999</v>
      </c>
      <c r="N591" s="154">
        <v>0.14596999999999999</v>
      </c>
      <c r="O591" s="154">
        <v>0.22159699999999999</v>
      </c>
      <c r="P591" s="11"/>
      <c r="Q591" s="29"/>
      <c r="R591" s="30"/>
    </row>
    <row r="592" spans="1:18" ht="12" customHeight="1">
      <c r="A592" s="10" t="s">
        <v>102</v>
      </c>
      <c r="B592" s="11" t="s">
        <v>103</v>
      </c>
      <c r="D592" s="154">
        <v>2.9340999999999999E-2</v>
      </c>
      <c r="E592" s="154">
        <v>4.1022000000000003E-2</v>
      </c>
      <c r="F592" s="154">
        <v>3.8649999999999997E-2</v>
      </c>
      <c r="G592" s="154">
        <v>4.0131E-2</v>
      </c>
      <c r="H592" s="154">
        <v>5.7232999999999999E-2</v>
      </c>
      <c r="I592" s="154">
        <v>6.4870999999999998E-2</v>
      </c>
      <c r="J592" s="154">
        <v>9.2202999999999993E-2</v>
      </c>
      <c r="K592" s="154">
        <v>8.7170999999999998E-2</v>
      </c>
      <c r="L592" s="154">
        <v>5.9587000000000001E-2</v>
      </c>
      <c r="M592" s="154">
        <v>4.4773E-2</v>
      </c>
      <c r="N592" s="154">
        <v>3.3093999999999998E-2</v>
      </c>
      <c r="O592" s="154">
        <v>3.6119999999999999E-2</v>
      </c>
      <c r="P592" s="11"/>
      <c r="Q592" s="29"/>
      <c r="R592" s="30"/>
    </row>
    <row r="593" spans="1:18" ht="12" customHeight="1">
      <c r="A593" s="10" t="s">
        <v>104</v>
      </c>
      <c r="B593" s="11" t="s">
        <v>105</v>
      </c>
      <c r="D593" s="154">
        <v>0.103852</v>
      </c>
      <c r="E593" s="154">
        <v>0.171072</v>
      </c>
      <c r="F593" s="154">
        <v>0.137877</v>
      </c>
      <c r="G593" s="154">
        <v>0.195437</v>
      </c>
      <c r="H593" s="154">
        <v>0.231327</v>
      </c>
      <c r="I593" s="154">
        <v>0.24293899999999999</v>
      </c>
      <c r="J593" s="154">
        <v>0.37684400000000001</v>
      </c>
      <c r="K593" s="154">
        <v>0.35495900000000002</v>
      </c>
      <c r="L593" s="154">
        <v>0.21643799999999999</v>
      </c>
      <c r="M593" s="154">
        <v>0.20935100000000001</v>
      </c>
      <c r="N593" s="154">
        <v>0.107179</v>
      </c>
      <c r="O593" s="154">
        <v>0.123214</v>
      </c>
      <c r="P593" s="11"/>
      <c r="Q593" s="29"/>
      <c r="R593" s="30"/>
    </row>
    <row r="594" spans="1:18" ht="12" customHeight="1">
      <c r="A594" s="10" t="s">
        <v>107</v>
      </c>
      <c r="B594" s="11" t="s">
        <v>106</v>
      </c>
      <c r="D594" s="154">
        <v>0.62143199999999998</v>
      </c>
      <c r="E594" s="154">
        <v>0.83169300000000002</v>
      </c>
      <c r="F594" s="154">
        <v>0.95991099999999996</v>
      </c>
      <c r="G594" s="154">
        <v>1.0547800000000001</v>
      </c>
      <c r="H594" s="154">
        <v>1.174725</v>
      </c>
      <c r="I594" s="154">
        <v>1.1974830000000001</v>
      </c>
      <c r="J594" s="154">
        <v>1.409035</v>
      </c>
      <c r="K594" s="154">
        <v>1.295955</v>
      </c>
      <c r="L594" s="154">
        <v>1.1762490000000001</v>
      </c>
      <c r="M594" s="154">
        <v>1.0950470000000001</v>
      </c>
      <c r="N594" s="154">
        <v>0.87453199999999998</v>
      </c>
      <c r="O594" s="154">
        <v>1.09209</v>
      </c>
      <c r="P594" s="11"/>
      <c r="Q594" s="29"/>
      <c r="R594" s="30"/>
    </row>
    <row r="595" spans="1:18" ht="12" customHeight="1">
      <c r="A595" s="10" t="s">
        <v>109</v>
      </c>
      <c r="B595" s="11" t="s">
        <v>108</v>
      </c>
      <c r="D595" s="154">
        <v>5.9211E-2</v>
      </c>
      <c r="E595" s="154">
        <v>6.9009000000000001E-2</v>
      </c>
      <c r="F595" s="154">
        <v>6.9640999999999995E-2</v>
      </c>
      <c r="G595" s="154">
        <v>8.4110000000000004E-2</v>
      </c>
      <c r="H595" s="154">
        <v>0.10373400000000001</v>
      </c>
      <c r="I595" s="154">
        <v>0.111961</v>
      </c>
      <c r="J595" s="154">
        <v>0.155917</v>
      </c>
      <c r="K595" s="154">
        <v>0.134853</v>
      </c>
      <c r="L595" s="154">
        <v>0.11196200000000001</v>
      </c>
      <c r="M595" s="154">
        <v>9.1650999999999996E-2</v>
      </c>
      <c r="N595" s="154">
        <v>7.2616E-2</v>
      </c>
      <c r="O595" s="154">
        <v>6.2276999999999999E-2</v>
      </c>
      <c r="P595" s="11"/>
      <c r="Q595" s="29"/>
      <c r="R595" s="30"/>
    </row>
    <row r="596" spans="1:18" ht="12" customHeight="1">
      <c r="A596" s="10" t="s">
        <v>111</v>
      </c>
      <c r="B596" s="11" t="s">
        <v>110</v>
      </c>
      <c r="D596" s="154">
        <v>2.4878999999999998E-2</v>
      </c>
      <c r="E596" s="154">
        <v>3.0568000000000001E-2</v>
      </c>
      <c r="F596" s="154">
        <v>3.2780999999999998E-2</v>
      </c>
      <c r="G596" s="154">
        <v>4.0122999999999999E-2</v>
      </c>
      <c r="H596" s="154">
        <v>4.3805999999999998E-2</v>
      </c>
      <c r="I596" s="154">
        <v>5.2325999999999998E-2</v>
      </c>
      <c r="J596" s="154">
        <v>7.2013999999999995E-2</v>
      </c>
      <c r="K596" s="154">
        <v>6.2059000000000003E-2</v>
      </c>
      <c r="L596" s="154">
        <v>4.5137999999999998E-2</v>
      </c>
      <c r="M596" s="154">
        <v>4.2899E-2</v>
      </c>
      <c r="N596" s="154">
        <v>4.6938000000000001E-2</v>
      </c>
      <c r="O596" s="154">
        <v>4.7280000000000003E-2</v>
      </c>
      <c r="P596" s="11"/>
      <c r="Q596" s="29"/>
      <c r="R596" s="30"/>
    </row>
    <row r="597" spans="1:18" ht="12" customHeight="1">
      <c r="A597" s="10" t="s">
        <v>113</v>
      </c>
      <c r="B597" s="11" t="s">
        <v>112</v>
      </c>
      <c r="D597" s="154">
        <v>0.18165600000000001</v>
      </c>
      <c r="E597" s="154">
        <v>0.21692600000000001</v>
      </c>
      <c r="F597" s="154">
        <v>0.253494</v>
      </c>
      <c r="G597" s="154">
        <v>0.276806</v>
      </c>
      <c r="H597" s="154">
        <v>0.33133299999999999</v>
      </c>
      <c r="I597" s="154">
        <v>0.39602999999999999</v>
      </c>
      <c r="J597" s="154">
        <v>0.483819</v>
      </c>
      <c r="K597" s="154">
        <v>0.37904500000000002</v>
      </c>
      <c r="L597" s="154">
        <v>0.36090800000000001</v>
      </c>
      <c r="M597" s="154">
        <v>0.32330199999999998</v>
      </c>
      <c r="N597" s="154">
        <v>0.26665899999999998</v>
      </c>
      <c r="O597" s="154">
        <v>0.29845899999999997</v>
      </c>
      <c r="P597" s="11"/>
      <c r="Q597" s="29"/>
      <c r="R597" s="30"/>
    </row>
    <row r="598" spans="1:18" ht="12" customHeight="1">
      <c r="A598" s="10" t="s">
        <v>114</v>
      </c>
      <c r="B598" s="11" t="s">
        <v>115</v>
      </c>
      <c r="D598" s="154">
        <v>0.55137100000000006</v>
      </c>
      <c r="E598" s="154">
        <v>0.39751500000000001</v>
      </c>
      <c r="F598" s="154">
        <v>0.48611300000000002</v>
      </c>
      <c r="G598" s="154">
        <v>0.48059200000000002</v>
      </c>
      <c r="H598" s="154">
        <v>0.51238899999999998</v>
      </c>
      <c r="I598" s="154">
        <v>0.73151600000000006</v>
      </c>
      <c r="J598" s="154">
        <v>0.63945799999999997</v>
      </c>
      <c r="K598" s="154">
        <v>0.55857500000000004</v>
      </c>
      <c r="L598" s="154">
        <v>0.63147299999999995</v>
      </c>
      <c r="M598" s="154">
        <v>0.54036300000000004</v>
      </c>
      <c r="N598" s="154">
        <v>0.51588599999999996</v>
      </c>
      <c r="O598" s="154">
        <v>0.48706899999999997</v>
      </c>
      <c r="P598" s="11"/>
      <c r="Q598" s="29"/>
      <c r="R598" s="30"/>
    </row>
    <row r="599" spans="1:18" ht="12" customHeight="1">
      <c r="A599" s="10" t="s">
        <v>116</v>
      </c>
      <c r="B599" s="11" t="s">
        <v>117</v>
      </c>
      <c r="D599" s="154">
        <v>1.2534E-2</v>
      </c>
      <c r="E599" s="154">
        <v>1.4465E-2</v>
      </c>
      <c r="F599" s="154">
        <v>1.9254E-2</v>
      </c>
      <c r="G599" s="154">
        <v>2.1513000000000001E-2</v>
      </c>
      <c r="H599" s="154">
        <v>2.4063999999999999E-2</v>
      </c>
      <c r="I599" s="154">
        <v>2.9159000000000001E-2</v>
      </c>
      <c r="J599" s="154">
        <v>2.9807E-2</v>
      </c>
      <c r="K599" s="154">
        <v>3.0197000000000002E-2</v>
      </c>
      <c r="L599" s="154">
        <v>2.7496E-2</v>
      </c>
      <c r="M599" s="154">
        <v>2.2209E-2</v>
      </c>
      <c r="N599" s="154">
        <v>1.7545999999999999E-2</v>
      </c>
      <c r="O599" s="154">
        <v>1.4604000000000001E-2</v>
      </c>
      <c r="P599" s="11"/>
      <c r="Q599" s="29"/>
      <c r="R599" s="30"/>
    </row>
    <row r="600" spans="1:18" ht="12" customHeight="1">
      <c r="A600" s="10" t="s">
        <v>118</v>
      </c>
      <c r="B600" s="11" t="s">
        <v>119</v>
      </c>
      <c r="D600" s="154">
        <v>3.4289E-2</v>
      </c>
      <c r="E600" s="154">
        <v>5.4602999999999999E-2</v>
      </c>
      <c r="F600" s="154">
        <v>3.8503000000000003E-2</v>
      </c>
      <c r="G600" s="154">
        <v>3.805E-2</v>
      </c>
      <c r="H600" s="154">
        <v>4.9395000000000001E-2</v>
      </c>
      <c r="I600" s="154">
        <v>5.7972000000000003E-2</v>
      </c>
      <c r="J600" s="154">
        <v>8.8374999999999995E-2</v>
      </c>
      <c r="K600" s="154">
        <v>7.7826999999999993E-2</v>
      </c>
      <c r="L600" s="154">
        <v>5.101E-2</v>
      </c>
      <c r="M600" s="154">
        <v>4.1012E-2</v>
      </c>
      <c r="N600" s="154">
        <v>3.0544000000000002E-2</v>
      </c>
      <c r="O600" s="154">
        <v>3.1899999999999998E-2</v>
      </c>
      <c r="P600" s="11"/>
      <c r="Q600" s="29"/>
      <c r="R600" s="30"/>
    </row>
    <row r="601" spans="1:18" ht="12" customHeight="1">
      <c r="A601" s="10" t="s">
        <v>121</v>
      </c>
      <c r="B601" s="11" t="s">
        <v>120</v>
      </c>
      <c r="D601" s="154">
        <v>2.5277999999999998E-2</v>
      </c>
      <c r="E601" s="154">
        <v>3.1514E-2</v>
      </c>
      <c r="F601" s="154">
        <v>4.3137000000000002E-2</v>
      </c>
      <c r="G601" s="154">
        <v>5.0340999999999997E-2</v>
      </c>
      <c r="H601" s="154">
        <v>9.1447000000000001E-2</v>
      </c>
      <c r="I601" s="154">
        <v>0.11908000000000001</v>
      </c>
      <c r="J601" s="154">
        <v>0.210842</v>
      </c>
      <c r="K601" s="154">
        <v>0.17741499999999999</v>
      </c>
      <c r="L601" s="154">
        <v>0.10238899999999999</v>
      </c>
      <c r="M601" s="154">
        <v>5.6402000000000001E-2</v>
      </c>
      <c r="N601" s="154">
        <v>3.7657999999999997E-2</v>
      </c>
      <c r="O601" s="154">
        <v>3.7865000000000003E-2</v>
      </c>
      <c r="P601" s="11"/>
      <c r="Q601" s="29"/>
      <c r="R601" s="30"/>
    </row>
    <row r="602" spans="1:18" ht="12" customHeight="1">
      <c r="A602" s="10" t="s">
        <v>122</v>
      </c>
      <c r="B602" s="11" t="s">
        <v>123</v>
      </c>
      <c r="D602" s="154">
        <v>3.5825999999999997E-2</v>
      </c>
      <c r="E602" s="154">
        <v>4.9102E-2</v>
      </c>
      <c r="F602" s="154">
        <v>5.1457000000000003E-2</v>
      </c>
      <c r="G602" s="154">
        <v>6.9389999999999993E-2</v>
      </c>
      <c r="H602" s="154">
        <v>7.9069E-2</v>
      </c>
      <c r="I602" s="154">
        <v>8.5961999999999997E-2</v>
      </c>
      <c r="J602" s="154">
        <v>0.155361</v>
      </c>
      <c r="K602" s="154">
        <v>0.119468</v>
      </c>
      <c r="L602" s="154">
        <v>8.0394999999999994E-2</v>
      </c>
      <c r="M602" s="154">
        <v>6.1682000000000001E-2</v>
      </c>
      <c r="N602" s="154">
        <v>4.8845E-2</v>
      </c>
      <c r="O602" s="154">
        <v>4.0294000000000003E-2</v>
      </c>
      <c r="P602" s="11"/>
      <c r="Q602" s="29"/>
      <c r="R602" s="30"/>
    </row>
    <row r="603" spans="1:18" ht="12" customHeight="1">
      <c r="A603" s="10" t="s">
        <v>124</v>
      </c>
      <c r="B603" s="11" t="s">
        <v>125</v>
      </c>
      <c r="D603" s="154">
        <v>6.0901999999999998E-2</v>
      </c>
      <c r="E603" s="154">
        <v>4.6024000000000002E-2</v>
      </c>
      <c r="F603" s="154">
        <v>6.0332999999999998E-2</v>
      </c>
      <c r="G603" s="154">
        <v>9.2979999999999993E-2</v>
      </c>
      <c r="H603" s="154">
        <v>7.3788999999999993E-2</v>
      </c>
      <c r="I603" s="154">
        <v>8.5739999999999997E-2</v>
      </c>
      <c r="J603" s="154">
        <v>0.118474</v>
      </c>
      <c r="K603" s="154">
        <v>0.11201999999999999</v>
      </c>
      <c r="L603" s="154">
        <v>0.108321</v>
      </c>
      <c r="M603" s="154">
        <v>9.4769000000000006E-2</v>
      </c>
      <c r="N603" s="154">
        <v>8.3749000000000004E-2</v>
      </c>
      <c r="O603" s="154">
        <v>4.9181000000000002E-2</v>
      </c>
      <c r="P603" s="11"/>
      <c r="Q603" s="29"/>
      <c r="R603" s="30"/>
    </row>
    <row r="604" spans="1:18" ht="12" customHeight="1">
      <c r="A604" s="10" t="s">
        <v>126</v>
      </c>
      <c r="B604" s="11" t="s">
        <v>127</v>
      </c>
      <c r="D604" s="154">
        <v>2.1984E-2</v>
      </c>
      <c r="E604" s="154">
        <v>3.0259999999999999E-2</v>
      </c>
      <c r="F604" s="154">
        <v>3.1961000000000003E-2</v>
      </c>
      <c r="G604" s="154">
        <v>4.3874999999999997E-2</v>
      </c>
      <c r="H604" s="154">
        <v>6.4628000000000005E-2</v>
      </c>
      <c r="I604" s="154">
        <v>7.6864000000000002E-2</v>
      </c>
      <c r="J604" s="154">
        <v>0.15717400000000001</v>
      </c>
      <c r="K604" s="154">
        <v>0.108722</v>
      </c>
      <c r="L604" s="154">
        <v>6.1199000000000003E-2</v>
      </c>
      <c r="M604" s="154">
        <v>4.3985999999999997E-2</v>
      </c>
      <c r="N604" s="154">
        <v>3.1227000000000001E-2</v>
      </c>
      <c r="O604" s="154">
        <v>2.7213000000000001E-2</v>
      </c>
      <c r="P604" s="11"/>
      <c r="Q604" s="29"/>
      <c r="R604" s="30"/>
    </row>
    <row r="605" spans="1:18" ht="12" customHeight="1">
      <c r="A605" s="10" t="s">
        <v>128</v>
      </c>
      <c r="B605" s="11" t="s">
        <v>129</v>
      </c>
      <c r="D605" s="154">
        <v>5.8264999999999997E-2</v>
      </c>
      <c r="E605" s="154">
        <v>7.2935E-2</v>
      </c>
      <c r="F605" s="154">
        <v>7.3067999999999994E-2</v>
      </c>
      <c r="G605" s="154">
        <v>0.110153</v>
      </c>
      <c r="H605" s="154">
        <v>0.12657099999999999</v>
      </c>
      <c r="I605" s="154">
        <v>0.113562</v>
      </c>
      <c r="J605" s="154">
        <v>0.14496100000000001</v>
      </c>
      <c r="K605" s="154">
        <v>0.16691</v>
      </c>
      <c r="L605" s="154">
        <v>0.11208700000000001</v>
      </c>
      <c r="M605" s="154">
        <v>9.0726000000000001E-2</v>
      </c>
      <c r="N605" s="154">
        <v>7.8252000000000002E-2</v>
      </c>
      <c r="O605" s="154">
        <v>7.6688000000000006E-2</v>
      </c>
      <c r="P605" s="11"/>
      <c r="Q605" s="29"/>
      <c r="R605" s="30"/>
    </row>
    <row r="606" spans="1:18" ht="12" customHeight="1">
      <c r="A606" s="10" t="s">
        <v>130</v>
      </c>
      <c r="B606" s="11" t="s">
        <v>131</v>
      </c>
      <c r="D606" s="154">
        <v>0.25502999999999998</v>
      </c>
      <c r="E606" s="154">
        <v>0.20841100000000001</v>
      </c>
      <c r="F606" s="154">
        <v>0.269455</v>
      </c>
      <c r="G606" s="154">
        <v>0.28940300000000002</v>
      </c>
      <c r="H606" s="154">
        <v>0.31888300000000003</v>
      </c>
      <c r="I606" s="154">
        <v>0.47228599999999998</v>
      </c>
      <c r="J606" s="154">
        <v>0.34897699999999998</v>
      </c>
      <c r="K606" s="154">
        <v>0.28544199999999997</v>
      </c>
      <c r="L606" s="154">
        <v>0.27624599999999999</v>
      </c>
      <c r="M606" s="154">
        <v>0.30540899999999999</v>
      </c>
      <c r="N606" s="154">
        <v>0.34916399999999997</v>
      </c>
      <c r="O606" s="154">
        <v>0.37432500000000002</v>
      </c>
      <c r="P606" s="11"/>
      <c r="Q606" s="29"/>
      <c r="R606" s="30"/>
    </row>
    <row r="607" spans="1:18" ht="12" customHeight="1">
      <c r="A607" s="10" t="s">
        <v>132</v>
      </c>
      <c r="B607" s="11" t="s">
        <v>133</v>
      </c>
      <c r="D607" s="154">
        <v>0.24099699999999999</v>
      </c>
      <c r="E607" s="154">
        <v>0.211447</v>
      </c>
      <c r="F607" s="154">
        <v>0.30147099999999999</v>
      </c>
      <c r="G607" s="154">
        <v>0.31450899999999998</v>
      </c>
      <c r="H607" s="154">
        <v>0.35071600000000003</v>
      </c>
      <c r="I607" s="154">
        <v>0.53763099999999997</v>
      </c>
      <c r="J607" s="154">
        <v>0.42368</v>
      </c>
      <c r="K607" s="154">
        <v>0.46082200000000001</v>
      </c>
      <c r="L607" s="154">
        <v>0.34664699999999998</v>
      </c>
      <c r="M607" s="154">
        <v>0.34677599999999997</v>
      </c>
      <c r="N607" s="154">
        <v>0.349964</v>
      </c>
      <c r="O607" s="154">
        <v>0.45915400000000001</v>
      </c>
      <c r="P607" s="11"/>
      <c r="Q607" s="29"/>
      <c r="R607" s="30"/>
    </row>
    <row r="608" spans="1:18" ht="12" customHeight="1">
      <c r="A608" s="10" t="s">
        <v>134</v>
      </c>
      <c r="B608" s="11" t="s">
        <v>135</v>
      </c>
      <c r="D608" s="154">
        <v>3.2639000000000001E-2</v>
      </c>
      <c r="E608" s="154">
        <v>3.8781000000000003E-2</v>
      </c>
      <c r="F608" s="154">
        <v>4.4413000000000001E-2</v>
      </c>
      <c r="G608" s="154">
        <v>6.2867999999999993E-2</v>
      </c>
      <c r="H608" s="154">
        <v>6.9899000000000003E-2</v>
      </c>
      <c r="I608" s="154">
        <v>7.9949000000000006E-2</v>
      </c>
      <c r="J608" s="154">
        <v>9.2211000000000001E-2</v>
      </c>
      <c r="K608" s="154">
        <v>8.3768999999999996E-2</v>
      </c>
      <c r="L608" s="154">
        <v>7.0334999999999995E-2</v>
      </c>
      <c r="M608" s="154">
        <v>5.8120999999999999E-2</v>
      </c>
      <c r="N608" s="154">
        <v>5.1075000000000002E-2</v>
      </c>
      <c r="O608" s="154">
        <v>5.5574999999999999E-2</v>
      </c>
      <c r="P608" s="11"/>
      <c r="Q608" s="29"/>
      <c r="R608" s="30"/>
    </row>
    <row r="609" spans="1:18" ht="12" customHeight="1">
      <c r="A609" s="10" t="s">
        <v>136</v>
      </c>
      <c r="B609" s="11" t="s">
        <v>137</v>
      </c>
      <c r="D609" s="154">
        <v>2.4341000000000002E-2</v>
      </c>
      <c r="E609" s="154">
        <v>2.6785E-2</v>
      </c>
      <c r="F609" s="154">
        <v>3.227E-2</v>
      </c>
      <c r="G609" s="154">
        <v>3.8977999999999999E-2</v>
      </c>
      <c r="H609" s="154">
        <v>4.616E-2</v>
      </c>
      <c r="I609" s="154">
        <v>5.7029000000000003E-2</v>
      </c>
      <c r="J609" s="154">
        <v>6.0974E-2</v>
      </c>
      <c r="K609" s="154">
        <v>6.0748000000000003E-2</v>
      </c>
      <c r="L609" s="154">
        <v>5.3491999999999998E-2</v>
      </c>
      <c r="M609" s="154">
        <v>3.703E-2</v>
      </c>
      <c r="N609" s="154">
        <v>3.3363999999999998E-2</v>
      </c>
      <c r="O609" s="154">
        <v>2.7803999999999999E-2</v>
      </c>
      <c r="P609" s="11"/>
      <c r="Q609" s="29"/>
      <c r="R609" s="30"/>
    </row>
    <row r="610" spans="1:18" ht="12" customHeight="1">
      <c r="A610" s="10" t="s">
        <v>138</v>
      </c>
      <c r="B610" s="11" t="s">
        <v>139</v>
      </c>
      <c r="D610" s="154">
        <v>0.146123</v>
      </c>
      <c r="E610" s="154">
        <v>0.205868</v>
      </c>
      <c r="F610" s="154">
        <v>0.109639</v>
      </c>
      <c r="G610" s="154">
        <v>0.12742200000000001</v>
      </c>
      <c r="H610" s="154">
        <v>0.149227</v>
      </c>
      <c r="I610" s="154">
        <v>0.18710599999999999</v>
      </c>
      <c r="J610" s="154">
        <v>0.18679200000000001</v>
      </c>
      <c r="K610" s="154">
        <v>0.22220999999999999</v>
      </c>
      <c r="L610" s="154">
        <v>0.15334999999999999</v>
      </c>
      <c r="M610" s="154">
        <v>0.137294</v>
      </c>
      <c r="N610" s="154">
        <v>0.120069</v>
      </c>
      <c r="O610" s="154">
        <v>0.15268399999999999</v>
      </c>
      <c r="P610" s="11"/>
      <c r="Q610" s="29"/>
      <c r="R610" s="30"/>
    </row>
    <row r="611" spans="1:18" ht="12" customHeight="1">
      <c r="A611" s="10" t="s">
        <v>140</v>
      </c>
      <c r="B611" s="11" t="s">
        <v>141</v>
      </c>
      <c r="D611" s="154">
        <v>4.0311E-2</v>
      </c>
      <c r="E611" s="154">
        <v>4.8089E-2</v>
      </c>
      <c r="F611" s="154">
        <v>6.1345999999999998E-2</v>
      </c>
      <c r="G611" s="154">
        <v>0.105307</v>
      </c>
      <c r="H611" s="154">
        <v>0.16970399999999999</v>
      </c>
      <c r="I611" s="154">
        <v>0.182229</v>
      </c>
      <c r="J611" s="154">
        <v>0.277974</v>
      </c>
      <c r="K611" s="154">
        <v>0.30829800000000002</v>
      </c>
      <c r="L611" s="154">
        <v>0.198153</v>
      </c>
      <c r="M611" s="154">
        <v>0.11863600000000001</v>
      </c>
      <c r="N611" s="154">
        <v>7.1183999999999997E-2</v>
      </c>
      <c r="O611" s="154">
        <v>6.5548999999999996E-2</v>
      </c>
      <c r="P611" s="11"/>
      <c r="Q611" s="29"/>
      <c r="R611" s="30"/>
    </row>
    <row r="612" spans="1:18" ht="12" customHeight="1">
      <c r="A612" s="10" t="s">
        <v>142</v>
      </c>
      <c r="B612" s="11" t="s">
        <v>143</v>
      </c>
      <c r="D612" s="154">
        <v>4.8903000000000002E-2</v>
      </c>
      <c r="E612" s="154">
        <v>7.5923000000000004E-2</v>
      </c>
      <c r="F612" s="154">
        <v>6.7553000000000002E-2</v>
      </c>
      <c r="G612" s="154">
        <v>0.14921899999999999</v>
      </c>
      <c r="H612" s="154">
        <v>0.19197800000000001</v>
      </c>
      <c r="I612" s="154">
        <v>0.19525100000000001</v>
      </c>
      <c r="J612" s="154">
        <v>0.360705</v>
      </c>
      <c r="K612" s="154">
        <v>0.399534</v>
      </c>
      <c r="L612" s="154">
        <v>0.20868400000000001</v>
      </c>
      <c r="M612" s="154">
        <v>0.14114199999999999</v>
      </c>
      <c r="N612" s="154">
        <v>8.0281000000000005E-2</v>
      </c>
      <c r="O612" s="154">
        <v>9.4551999999999997E-2</v>
      </c>
      <c r="P612" s="11"/>
      <c r="Q612" s="29"/>
      <c r="R612" s="30"/>
    </row>
    <row r="613" spans="1:18" ht="12" customHeight="1">
      <c r="A613" s="10" t="s">
        <v>144</v>
      </c>
      <c r="B613" s="11" t="s">
        <v>145</v>
      </c>
      <c r="D613" s="154">
        <v>6.3052999999999998E-2</v>
      </c>
      <c r="E613" s="154">
        <v>7.1903999999999996E-2</v>
      </c>
      <c r="F613" s="154">
        <v>8.3237000000000005E-2</v>
      </c>
      <c r="G613" s="154">
        <v>8.9945999999999998E-2</v>
      </c>
      <c r="H613" s="154">
        <v>9.4658000000000006E-2</v>
      </c>
      <c r="I613" s="154">
        <v>0.114221</v>
      </c>
      <c r="J613" s="154">
        <v>0.12221600000000001</v>
      </c>
      <c r="K613" s="154">
        <v>0.119172</v>
      </c>
      <c r="L613" s="154">
        <v>0.10841099999999999</v>
      </c>
      <c r="M613" s="154">
        <v>9.5711000000000004E-2</v>
      </c>
      <c r="N613" s="154">
        <v>7.3334999999999997E-2</v>
      </c>
      <c r="O613" s="154">
        <v>6.6242999999999996E-2</v>
      </c>
      <c r="P613" s="11"/>
      <c r="Q613" s="29"/>
      <c r="R613" s="30"/>
    </row>
    <row r="614" spans="1:18" ht="12" customHeight="1">
      <c r="A614" s="10" t="s">
        <v>147</v>
      </c>
      <c r="B614" s="11" t="s">
        <v>146</v>
      </c>
      <c r="D614" s="154">
        <v>2.1786E-2</v>
      </c>
      <c r="E614" s="154">
        <v>3.3051999999999998E-2</v>
      </c>
      <c r="F614" s="154">
        <v>3.1227999999999999E-2</v>
      </c>
      <c r="G614" s="154">
        <v>4.3643000000000001E-2</v>
      </c>
      <c r="H614" s="154">
        <v>4.6156999999999997E-2</v>
      </c>
      <c r="I614" s="154">
        <v>4.1612000000000003E-2</v>
      </c>
      <c r="J614" s="154">
        <v>6.6267000000000006E-2</v>
      </c>
      <c r="K614" s="154">
        <v>6.1991999999999998E-2</v>
      </c>
      <c r="L614" s="154">
        <v>4.0607999999999998E-2</v>
      </c>
      <c r="M614" s="154">
        <v>4.1755E-2</v>
      </c>
      <c r="N614" s="154">
        <v>3.2851999999999999E-2</v>
      </c>
      <c r="O614" s="154">
        <v>3.1182000000000001E-2</v>
      </c>
      <c r="P614" s="11"/>
      <c r="Q614" s="29"/>
      <c r="R614" s="30"/>
    </row>
    <row r="615" spans="1:18" ht="12" customHeight="1">
      <c r="A615" s="10" t="s">
        <v>148</v>
      </c>
      <c r="B615" s="11" t="s">
        <v>149</v>
      </c>
      <c r="D615" s="154">
        <v>5.074E-2</v>
      </c>
      <c r="E615" s="154">
        <v>5.3435000000000003E-2</v>
      </c>
      <c r="F615" s="154">
        <v>6.9685999999999998E-2</v>
      </c>
      <c r="G615" s="154">
        <v>7.9258999999999996E-2</v>
      </c>
      <c r="H615" s="154">
        <v>0.113579</v>
      </c>
      <c r="I615" s="154">
        <v>0.1229</v>
      </c>
      <c r="J615" s="154">
        <v>0.15914400000000001</v>
      </c>
      <c r="K615" s="154">
        <v>0.152225</v>
      </c>
      <c r="L615" s="154">
        <v>0.10896</v>
      </c>
      <c r="M615" s="154">
        <v>0.101269</v>
      </c>
      <c r="N615" s="154">
        <v>7.0804000000000006E-2</v>
      </c>
      <c r="O615" s="154">
        <v>0.109588</v>
      </c>
      <c r="P615" s="11"/>
      <c r="Q615" s="29"/>
      <c r="R615" s="30"/>
    </row>
    <row r="616" spans="1:18" ht="12" customHeight="1">
      <c r="A616" s="10" t="s">
        <v>150</v>
      </c>
      <c r="B616" s="11" t="s">
        <v>151</v>
      </c>
      <c r="D616" s="154">
        <v>1.3656E-2</v>
      </c>
      <c r="E616" s="154">
        <v>1.4949E-2</v>
      </c>
      <c r="F616" s="154">
        <v>1.8350000000000002E-2</v>
      </c>
      <c r="G616" s="154">
        <v>1.8596999999999999E-2</v>
      </c>
      <c r="H616" s="154">
        <v>2.0823000000000001E-2</v>
      </c>
      <c r="I616" s="154">
        <v>2.1454999999999998E-2</v>
      </c>
      <c r="J616" s="154">
        <v>3.2710999999999997E-2</v>
      </c>
      <c r="K616" s="154">
        <v>2.4278999999999998E-2</v>
      </c>
      <c r="L616" s="154">
        <v>2.1364000000000001E-2</v>
      </c>
      <c r="M616" s="154">
        <v>1.7611000000000002E-2</v>
      </c>
      <c r="N616" s="154">
        <v>1.4444E-2</v>
      </c>
      <c r="O616" s="154">
        <v>1.5054E-2</v>
      </c>
      <c r="P616" s="11"/>
      <c r="Q616" s="29"/>
      <c r="R616" s="30"/>
    </row>
    <row r="617" spans="1:18" ht="12" customHeight="1">
      <c r="A617" s="10" t="s">
        <v>152</v>
      </c>
      <c r="B617" s="11" t="s">
        <v>153</v>
      </c>
      <c r="D617" s="154">
        <v>3.9097E-2</v>
      </c>
      <c r="E617" s="154">
        <v>4.7510999999999998E-2</v>
      </c>
      <c r="F617" s="154">
        <v>4.8903000000000002E-2</v>
      </c>
      <c r="G617" s="154">
        <v>5.1069999999999997E-2</v>
      </c>
      <c r="H617" s="154">
        <v>7.7970999999999999E-2</v>
      </c>
      <c r="I617" s="154">
        <v>0.121367</v>
      </c>
      <c r="J617" s="154">
        <v>8.8289999999999993E-2</v>
      </c>
      <c r="K617" s="154">
        <v>6.8725999999999995E-2</v>
      </c>
      <c r="L617" s="154">
        <v>5.6411000000000003E-2</v>
      </c>
      <c r="M617" s="154">
        <v>5.6849999999999998E-2</v>
      </c>
      <c r="N617" s="154">
        <v>4.6279000000000001E-2</v>
      </c>
      <c r="O617" s="154">
        <v>4.7201E-2</v>
      </c>
      <c r="P617" s="11"/>
      <c r="Q617" s="29"/>
      <c r="R617" s="30"/>
    </row>
    <row r="618" spans="1:18" ht="12" customHeight="1">
      <c r="A618" s="10" t="s">
        <v>155</v>
      </c>
      <c r="B618" s="11" t="s">
        <v>154</v>
      </c>
      <c r="D618" s="154">
        <v>3.0932000000000001E-2</v>
      </c>
      <c r="E618" s="154">
        <v>3.4848999999999998E-2</v>
      </c>
      <c r="F618" s="154">
        <v>3.5904999999999999E-2</v>
      </c>
      <c r="G618" s="154">
        <v>4.1696999999999998E-2</v>
      </c>
      <c r="H618" s="154">
        <v>4.9582000000000001E-2</v>
      </c>
      <c r="I618" s="154">
        <v>6.4464999999999995E-2</v>
      </c>
      <c r="J618" s="154">
        <v>8.5918999999999995E-2</v>
      </c>
      <c r="K618" s="154">
        <v>6.7016000000000006E-2</v>
      </c>
      <c r="L618" s="154">
        <v>5.2143000000000002E-2</v>
      </c>
      <c r="M618" s="154">
        <v>4.2717999999999999E-2</v>
      </c>
      <c r="N618" s="154">
        <v>3.1535000000000001E-2</v>
      </c>
      <c r="O618" s="154">
        <v>2.7376999999999999E-2</v>
      </c>
      <c r="P618" s="11"/>
      <c r="Q618" s="29"/>
      <c r="R618" s="30"/>
    </row>
    <row r="619" spans="1:18" ht="12" customHeight="1">
      <c r="A619" s="10" t="s">
        <v>157</v>
      </c>
      <c r="B619" s="11" t="s">
        <v>156</v>
      </c>
      <c r="D619" s="154">
        <v>6.3405000000000003E-2</v>
      </c>
      <c r="E619" s="154">
        <v>0.101255</v>
      </c>
      <c r="F619" s="154">
        <v>0.124614</v>
      </c>
      <c r="G619" s="154">
        <v>0.125247</v>
      </c>
      <c r="H619" s="154">
        <v>0.18143699999999999</v>
      </c>
      <c r="I619" s="154">
        <v>0.210727</v>
      </c>
      <c r="J619" s="154">
        <v>0.39540700000000001</v>
      </c>
      <c r="K619" s="154">
        <v>0.26006600000000002</v>
      </c>
      <c r="L619" s="154">
        <v>0.16636500000000001</v>
      </c>
      <c r="M619" s="154">
        <v>0.148892</v>
      </c>
      <c r="N619" s="154">
        <v>0.115228</v>
      </c>
      <c r="O619" s="154">
        <v>0.12543599999999999</v>
      </c>
      <c r="P619" s="11"/>
      <c r="Q619" s="29"/>
      <c r="R619" s="30"/>
    </row>
    <row r="620" spans="1:18" ht="12" customHeight="1">
      <c r="A620" s="10" t="s">
        <v>159</v>
      </c>
      <c r="B620" s="11" t="s">
        <v>158</v>
      </c>
      <c r="D620" s="154">
        <v>3.0693000000000002E-2</v>
      </c>
      <c r="E620" s="154">
        <v>3.0658999999999999E-2</v>
      </c>
      <c r="F620" s="154">
        <v>3.5522999999999999E-2</v>
      </c>
      <c r="G620" s="154">
        <v>3.8328000000000001E-2</v>
      </c>
      <c r="H620" s="154">
        <v>4.8932000000000003E-2</v>
      </c>
      <c r="I620" s="154">
        <v>5.6800999999999997E-2</v>
      </c>
      <c r="J620" s="154">
        <v>7.4008000000000004E-2</v>
      </c>
      <c r="K620" s="154">
        <v>6.4979999999999996E-2</v>
      </c>
      <c r="L620" s="154">
        <v>5.2005000000000003E-2</v>
      </c>
      <c r="M620" s="154">
        <v>4.4544E-2</v>
      </c>
      <c r="N620" s="154">
        <v>3.4581000000000001E-2</v>
      </c>
      <c r="O620" s="154">
        <v>3.2856999999999997E-2</v>
      </c>
      <c r="P620" s="11"/>
      <c r="Q620" s="29"/>
      <c r="R620" s="30"/>
    </row>
    <row r="621" spans="1:18" ht="12" customHeight="1">
      <c r="A621" s="10" t="s">
        <v>160</v>
      </c>
      <c r="B621" s="11" t="s">
        <v>17</v>
      </c>
      <c r="D621" s="154">
        <v>0.16930700000000001</v>
      </c>
      <c r="E621" s="154">
        <v>0.211477</v>
      </c>
      <c r="F621" s="154">
        <v>0.233237</v>
      </c>
      <c r="G621" s="154">
        <v>0.23189000000000001</v>
      </c>
      <c r="H621" s="154">
        <v>0.32046000000000002</v>
      </c>
      <c r="I621" s="154">
        <v>0.38596000000000003</v>
      </c>
      <c r="J621" s="154">
        <v>0.52986100000000003</v>
      </c>
      <c r="K621" s="154">
        <v>0.44941500000000001</v>
      </c>
      <c r="L621" s="154">
        <v>0.30171100000000001</v>
      </c>
      <c r="M621" s="154">
        <v>0.29499799999999998</v>
      </c>
      <c r="N621" s="154">
        <v>0.24208099999999999</v>
      </c>
      <c r="O621" s="154">
        <v>0.29757800000000001</v>
      </c>
      <c r="P621" s="11"/>
      <c r="Q621" s="29"/>
      <c r="R621" s="30"/>
    </row>
    <row r="622" spans="1:18" ht="12" customHeight="1">
      <c r="A622" s="10" t="s">
        <v>161</v>
      </c>
      <c r="B622" s="11" t="s">
        <v>162</v>
      </c>
      <c r="D622" s="154">
        <v>0.15449199999999999</v>
      </c>
      <c r="E622" s="154">
        <v>0.43726199999999998</v>
      </c>
      <c r="F622" s="154">
        <v>0.49854300000000001</v>
      </c>
      <c r="G622" s="154">
        <v>0.46291599999999999</v>
      </c>
      <c r="H622" s="154">
        <v>0.94064300000000001</v>
      </c>
      <c r="I622" s="154">
        <v>0.67683899999999997</v>
      </c>
      <c r="J622" s="154">
        <v>0.62867799999999996</v>
      </c>
      <c r="K622" s="154">
        <v>1.110417</v>
      </c>
      <c r="L622" s="154">
        <v>0.771841</v>
      </c>
      <c r="M622" s="154">
        <v>0.56984800000000002</v>
      </c>
      <c r="N622" s="154">
        <v>0.25625799999999999</v>
      </c>
      <c r="O622" s="154">
        <v>0.29954599999999998</v>
      </c>
      <c r="P622" s="11"/>
      <c r="Q622" s="29"/>
      <c r="R622" s="30"/>
    </row>
    <row r="623" spans="1:18" ht="12" customHeight="1">
      <c r="A623" s="10" t="s">
        <v>163</v>
      </c>
      <c r="B623" s="11" t="s">
        <v>164</v>
      </c>
      <c r="D623" s="154">
        <v>0.20827100000000001</v>
      </c>
      <c r="E623" s="154">
        <v>0.18609999999999999</v>
      </c>
      <c r="F623" s="154">
        <v>0.431645</v>
      </c>
      <c r="G623" s="154">
        <v>0.66045900000000002</v>
      </c>
      <c r="H623" s="154">
        <v>0.38949299999999998</v>
      </c>
      <c r="I623" s="154">
        <v>0.59405600000000003</v>
      </c>
      <c r="J623" s="154">
        <v>1.124725</v>
      </c>
      <c r="K623" s="154">
        <v>1.151154</v>
      </c>
      <c r="L623" s="154">
        <v>0.62345200000000001</v>
      </c>
      <c r="M623" s="154">
        <v>0.629691</v>
      </c>
      <c r="N623" s="154">
        <v>0.12543099999999999</v>
      </c>
      <c r="O623" s="154">
        <v>0.75596699999999994</v>
      </c>
      <c r="P623" s="11"/>
      <c r="Q623" s="29"/>
      <c r="R623" s="30"/>
    </row>
    <row r="624" spans="1:18" ht="12" customHeight="1">
      <c r="A624" s="10" t="s">
        <v>165</v>
      </c>
      <c r="B624" s="11" t="s">
        <v>166</v>
      </c>
      <c r="D624" s="154">
        <v>0.65576599999999996</v>
      </c>
      <c r="E624" s="154">
        <v>0.53126300000000004</v>
      </c>
      <c r="F624" s="154">
        <v>0.67200099999999996</v>
      </c>
      <c r="G624" s="154">
        <v>0.63292899999999996</v>
      </c>
      <c r="H624" s="154">
        <v>1.1910419999999999</v>
      </c>
      <c r="I624" s="154">
        <v>1.4742930000000001</v>
      </c>
      <c r="J624" s="154">
        <v>0.89800999999999997</v>
      </c>
      <c r="K624" s="154">
        <v>1.018402</v>
      </c>
      <c r="L624" s="154">
        <v>1.0926549999999999</v>
      </c>
      <c r="M624" s="154">
        <v>0.910242</v>
      </c>
      <c r="N624" s="154">
        <v>0.86591700000000005</v>
      </c>
      <c r="O624" s="154">
        <v>0.71971300000000005</v>
      </c>
      <c r="P624" s="11"/>
      <c r="Q624" s="29"/>
      <c r="R624" s="30"/>
    </row>
    <row r="625" spans="1:18" ht="12" customHeight="1">
      <c r="A625" s="10" t="s">
        <v>168</v>
      </c>
      <c r="B625" s="11" t="s">
        <v>167</v>
      </c>
      <c r="D625" s="154">
        <v>0.34621600000000002</v>
      </c>
      <c r="E625" s="154">
        <v>0.38789899999999999</v>
      </c>
      <c r="F625" s="154">
        <v>0.53192799999999996</v>
      </c>
      <c r="G625" s="154">
        <v>0.726074</v>
      </c>
      <c r="H625" s="154">
        <v>0.937801</v>
      </c>
      <c r="I625" s="154">
        <v>1.180744</v>
      </c>
      <c r="J625" s="154">
        <v>1.303436</v>
      </c>
      <c r="K625" s="154">
        <v>1.2968519999999999</v>
      </c>
      <c r="L625" s="154">
        <v>1.134282</v>
      </c>
      <c r="M625" s="154">
        <v>0.78261099999999995</v>
      </c>
      <c r="N625" s="154">
        <v>0.44777899999999998</v>
      </c>
      <c r="O625" s="154">
        <v>0.44051600000000002</v>
      </c>
      <c r="P625" s="11"/>
      <c r="Q625" s="29"/>
      <c r="R625" s="30"/>
    </row>
    <row r="626" spans="1:18" ht="12" customHeight="1">
      <c r="A626" s="10" t="s">
        <v>169</v>
      </c>
      <c r="B626" s="11" t="s">
        <v>170</v>
      </c>
      <c r="D626" s="154">
        <v>4.6769999999999997E-3</v>
      </c>
      <c r="E626" s="154">
        <v>4.3860000000000001E-3</v>
      </c>
      <c r="F626" s="154">
        <v>6.2030000000000002E-3</v>
      </c>
      <c r="G626" s="154">
        <v>3.8625E-2</v>
      </c>
      <c r="H626" s="154">
        <v>0.17793100000000001</v>
      </c>
      <c r="I626" s="154">
        <v>0.38935999999999998</v>
      </c>
      <c r="J626" s="154">
        <v>0.51889799999999997</v>
      </c>
      <c r="K626" s="154">
        <v>0.56833599999999995</v>
      </c>
      <c r="L626" s="154">
        <v>0.42550300000000002</v>
      </c>
      <c r="M626" s="154">
        <v>8.3973999999999993E-2</v>
      </c>
      <c r="N626" s="154">
        <v>1.1989E-2</v>
      </c>
      <c r="O626" s="154">
        <v>8.1510000000000003E-3</v>
      </c>
      <c r="P626" s="11"/>
      <c r="Q626" s="29"/>
      <c r="R626" s="30"/>
    </row>
    <row r="627" spans="1:18" ht="12" customHeight="1">
      <c r="A627" s="10" t="s">
        <v>171</v>
      </c>
      <c r="B627" s="11" t="s">
        <v>12</v>
      </c>
      <c r="D627" s="154">
        <v>2.0263E-2</v>
      </c>
      <c r="E627" s="154">
        <v>2.2963999999999998E-2</v>
      </c>
      <c r="F627" s="154">
        <v>0.171348</v>
      </c>
      <c r="G627" s="154">
        <v>1.461997</v>
      </c>
      <c r="H627" s="154">
        <v>4.4953700000000003</v>
      </c>
      <c r="I627" s="154">
        <v>6.5294109999999996</v>
      </c>
      <c r="J627" s="154">
        <v>7.9605839999999999</v>
      </c>
      <c r="K627" s="154">
        <v>8.0209440000000001</v>
      </c>
      <c r="L627" s="154">
        <v>6.1933429999999996</v>
      </c>
      <c r="M627" s="154">
        <v>3.2028349999999999</v>
      </c>
      <c r="N627" s="154">
        <v>0.146698</v>
      </c>
      <c r="O627" s="154">
        <v>5.5724000000000003E-2</v>
      </c>
      <c r="P627" s="11"/>
      <c r="Q627" s="29"/>
      <c r="R627" s="30"/>
    </row>
    <row r="628" spans="1:18" ht="12" customHeight="1">
      <c r="A628" s="10" t="s">
        <v>172</v>
      </c>
      <c r="B628" s="11" t="s">
        <v>3</v>
      </c>
      <c r="D628" s="154">
        <v>3.4536999999999998E-2</v>
      </c>
      <c r="E628" s="154">
        <v>5.9277000000000003E-2</v>
      </c>
      <c r="F628" s="154">
        <v>0.170677</v>
      </c>
      <c r="G628" s="154">
        <v>1.4100090000000001</v>
      </c>
      <c r="H628" s="154">
        <v>3.8217530000000002</v>
      </c>
      <c r="I628" s="154">
        <v>5.3034100000000004</v>
      </c>
      <c r="J628" s="154">
        <v>6.4141719999999998</v>
      </c>
      <c r="K628" s="154">
        <v>6.6631159999999996</v>
      </c>
      <c r="L628" s="154">
        <v>5.3802919999999999</v>
      </c>
      <c r="M628" s="154">
        <v>3.1150280000000001</v>
      </c>
      <c r="N628" s="154">
        <v>0.19861500000000001</v>
      </c>
      <c r="O628" s="154">
        <v>4.3550999999999999E-2</v>
      </c>
      <c r="P628" s="11"/>
      <c r="Q628" s="29"/>
      <c r="R628" s="30"/>
    </row>
    <row r="629" spans="1:18" ht="12" customHeight="1">
      <c r="A629" s="10" t="s">
        <v>173</v>
      </c>
      <c r="B629" s="11" t="s">
        <v>174</v>
      </c>
      <c r="D629" s="154">
        <v>1.9105E-2</v>
      </c>
      <c r="E629" s="154">
        <v>1.7909999999999999E-2</v>
      </c>
      <c r="F629" s="154">
        <v>1.9609000000000001E-2</v>
      </c>
      <c r="G629" s="154">
        <v>5.0335999999999999E-2</v>
      </c>
      <c r="H629" s="154">
        <v>0.15135799999999999</v>
      </c>
      <c r="I629" s="154">
        <v>0.45904400000000001</v>
      </c>
      <c r="J629" s="154">
        <v>0.75206700000000004</v>
      </c>
      <c r="K629" s="154">
        <v>0.79660299999999995</v>
      </c>
      <c r="L629" s="154">
        <v>0.44879200000000002</v>
      </c>
      <c r="M629" s="154">
        <v>6.1719000000000003E-2</v>
      </c>
      <c r="N629" s="154">
        <v>2.9957000000000001E-2</v>
      </c>
      <c r="O629" s="154">
        <v>2.8413999999999998E-2</v>
      </c>
      <c r="P629" s="11"/>
      <c r="Q629" s="29"/>
      <c r="R629" s="30"/>
    </row>
    <row r="630" spans="1:18" ht="12" customHeight="1">
      <c r="A630" s="10" t="s">
        <v>175</v>
      </c>
      <c r="B630" s="11" t="s">
        <v>16</v>
      </c>
      <c r="D630" s="154">
        <v>7.6494000000000006E-2</v>
      </c>
      <c r="E630" s="154">
        <v>7.9399999999999998E-2</v>
      </c>
      <c r="F630" s="154">
        <v>0.106625</v>
      </c>
      <c r="G630" s="154">
        <v>0.38928000000000001</v>
      </c>
      <c r="H630" s="154">
        <v>0.99576299999999995</v>
      </c>
      <c r="I630" s="154">
        <v>2.2730160000000001</v>
      </c>
      <c r="J630" s="154">
        <v>3.3862139999999998</v>
      </c>
      <c r="K630" s="154">
        <v>3.6334300000000002</v>
      </c>
      <c r="L630" s="154">
        <v>2.3526280000000002</v>
      </c>
      <c r="M630" s="154">
        <v>0.64529099999999995</v>
      </c>
      <c r="N630" s="154">
        <v>0.14003699999999999</v>
      </c>
      <c r="O630" s="154">
        <v>0.10624699999999999</v>
      </c>
      <c r="P630" s="11"/>
      <c r="Q630" s="29"/>
      <c r="R630" s="30"/>
    </row>
    <row r="631" spans="1:18" ht="12" customHeight="1">
      <c r="A631" s="10" t="s">
        <v>176</v>
      </c>
      <c r="B631" s="11" t="s">
        <v>20</v>
      </c>
      <c r="D631" s="154">
        <v>2.3679999999999999E-3</v>
      </c>
      <c r="E631" s="154">
        <v>2.6749999999999999E-3</v>
      </c>
      <c r="F631" s="154">
        <v>1.6440000000000001E-3</v>
      </c>
      <c r="G631" s="154">
        <v>3.1719999999999999E-3</v>
      </c>
      <c r="H631" s="154">
        <v>4.1279999999999997E-3</v>
      </c>
      <c r="I631" s="154">
        <v>4.8339999999999998E-3</v>
      </c>
      <c r="J631" s="154">
        <v>5.9750000000000003E-3</v>
      </c>
      <c r="K631" s="154">
        <v>6.3699999999999998E-3</v>
      </c>
      <c r="L631" s="154">
        <v>4.9579999999999997E-3</v>
      </c>
      <c r="M631" s="154">
        <v>3.5400000000000002E-3</v>
      </c>
      <c r="N631" s="154">
        <v>1.6819999999999999E-3</v>
      </c>
      <c r="O631" s="154">
        <v>2.7799999999999999E-3</v>
      </c>
      <c r="P631" s="11"/>
      <c r="Q631" s="29"/>
      <c r="R631" s="30"/>
    </row>
    <row r="632" spans="1:18" ht="12" customHeight="1">
      <c r="A632" s="10" t="s">
        <v>177</v>
      </c>
      <c r="B632" s="11" t="s">
        <v>10</v>
      </c>
      <c r="D632" s="154">
        <v>7.2570000000000004E-3</v>
      </c>
      <c r="E632" s="154">
        <v>7.7580000000000001E-3</v>
      </c>
      <c r="F632" s="154">
        <v>7.8150000000000008E-3</v>
      </c>
      <c r="G632" s="154">
        <v>2.7120999999999999E-2</v>
      </c>
      <c r="H632" s="154">
        <v>0.150725</v>
      </c>
      <c r="I632" s="154">
        <v>0.26486700000000002</v>
      </c>
      <c r="J632" s="154">
        <v>0.37392900000000001</v>
      </c>
      <c r="K632" s="154">
        <v>0.38307200000000002</v>
      </c>
      <c r="L632" s="154">
        <v>0.28520299999999998</v>
      </c>
      <c r="M632" s="154">
        <v>8.8303000000000006E-2</v>
      </c>
      <c r="N632" s="154">
        <v>1.1206000000000001E-2</v>
      </c>
      <c r="O632" s="154">
        <v>9.2370000000000004E-3</v>
      </c>
      <c r="P632" s="11"/>
      <c r="Q632" s="29"/>
      <c r="R632" s="30"/>
    </row>
    <row r="633" spans="1:18" ht="12" customHeight="1">
      <c r="A633" s="10" t="s">
        <v>178</v>
      </c>
      <c r="B633" s="11" t="s">
        <v>4</v>
      </c>
      <c r="D633" s="154">
        <v>1.4663000000000001E-2</v>
      </c>
      <c r="E633" s="154">
        <v>1.4226000000000001E-2</v>
      </c>
      <c r="F633" s="154">
        <v>2.4788999999999999E-2</v>
      </c>
      <c r="G633" s="154">
        <v>7.0296999999999998E-2</v>
      </c>
      <c r="H633" s="154">
        <v>0.21881</v>
      </c>
      <c r="I633" s="154">
        <v>0.36923</v>
      </c>
      <c r="J633" s="154">
        <v>0.58222799999999997</v>
      </c>
      <c r="K633" s="154">
        <v>0.63106300000000004</v>
      </c>
      <c r="L633" s="154">
        <v>0.36228199999999999</v>
      </c>
      <c r="M633" s="154">
        <v>8.0749000000000001E-2</v>
      </c>
      <c r="N633" s="154">
        <v>2.1366E-2</v>
      </c>
      <c r="O633" s="154">
        <v>1.7264999999999999E-2</v>
      </c>
      <c r="P633" s="11"/>
      <c r="Q633" s="29"/>
      <c r="R633" s="30"/>
    </row>
    <row r="634" spans="1:18" ht="12" customHeight="1">
      <c r="A634" s="10" t="s">
        <v>179</v>
      </c>
      <c r="B634" s="11" t="s">
        <v>9</v>
      </c>
      <c r="D634" s="154">
        <v>3.2200000000000002E-3</v>
      </c>
      <c r="E634" s="154">
        <v>4.7210000000000004E-3</v>
      </c>
      <c r="F634" s="154">
        <v>8.9549999999999994E-3</v>
      </c>
      <c r="G634" s="154">
        <v>0.40968300000000002</v>
      </c>
      <c r="H634" s="154">
        <v>2.0281950000000002</v>
      </c>
      <c r="I634" s="154">
        <v>3.2574580000000002</v>
      </c>
      <c r="J634" s="154">
        <v>4.4355779999999996</v>
      </c>
      <c r="K634" s="154">
        <v>4.6326549999999997</v>
      </c>
      <c r="L634" s="154">
        <v>3.3605070000000001</v>
      </c>
      <c r="M634" s="154">
        <v>1.0136050000000001</v>
      </c>
      <c r="N634" s="154">
        <v>1.6736999999999998E-2</v>
      </c>
      <c r="O634" s="154">
        <v>1.7857999999999999E-2</v>
      </c>
      <c r="P634" s="11"/>
      <c r="Q634" s="29"/>
      <c r="R634" s="30"/>
    </row>
    <row r="635" spans="1:18" ht="12" customHeight="1">
      <c r="A635" s="10" t="s">
        <v>180</v>
      </c>
      <c r="B635" s="11" t="s">
        <v>515</v>
      </c>
      <c r="D635" s="154">
        <v>7.9500000000000005E-3</v>
      </c>
      <c r="E635" s="154">
        <v>1.0059E-2</v>
      </c>
      <c r="F635" s="154">
        <v>2.5694999999999999E-2</v>
      </c>
      <c r="G635" s="154">
        <v>4.4450999999999997E-2</v>
      </c>
      <c r="H635" s="154">
        <v>0.121265</v>
      </c>
      <c r="I635" s="154">
        <v>0.17973</v>
      </c>
      <c r="J635" s="154">
        <v>0.21826000000000001</v>
      </c>
      <c r="K635" s="154">
        <v>0.23266000000000001</v>
      </c>
      <c r="L635" s="154">
        <v>0.219003</v>
      </c>
      <c r="M635" s="154">
        <v>0.105505</v>
      </c>
      <c r="N635" s="154">
        <v>5.2998999999999998E-2</v>
      </c>
      <c r="O635" s="154">
        <v>8.9709999999999998E-3</v>
      </c>
      <c r="P635" s="11"/>
      <c r="Q635" s="29"/>
      <c r="R635" s="30"/>
    </row>
    <row r="636" spans="1:18" ht="12" customHeight="1">
      <c r="A636" s="10" t="s">
        <v>181</v>
      </c>
      <c r="B636" s="11" t="s">
        <v>516</v>
      </c>
      <c r="D636" s="154">
        <v>2.1513000000000001E-2</v>
      </c>
      <c r="E636" s="154">
        <v>2.1967E-2</v>
      </c>
      <c r="F636" s="154">
        <v>3.6131999999999997E-2</v>
      </c>
      <c r="G636" s="154">
        <v>7.9256999999999994E-2</v>
      </c>
      <c r="H636" s="154">
        <v>0.114299</v>
      </c>
      <c r="I636" s="154">
        <v>0.15631300000000001</v>
      </c>
      <c r="J636" s="154">
        <v>0.20830199999999999</v>
      </c>
      <c r="K636" s="154">
        <v>0.238397</v>
      </c>
      <c r="L636" s="154">
        <v>0.19737499999999999</v>
      </c>
      <c r="M636" s="154">
        <v>5.8812999999999997E-2</v>
      </c>
      <c r="N636" s="154">
        <v>1.3608E-2</v>
      </c>
      <c r="O636" s="154">
        <v>1.8033E-2</v>
      </c>
      <c r="P636" s="11"/>
      <c r="Q636" s="29"/>
      <c r="R636" s="30"/>
    </row>
    <row r="637" spans="1:18" ht="12" customHeight="1">
      <c r="A637" s="10" t="s">
        <v>182</v>
      </c>
      <c r="B637" s="11" t="s">
        <v>183</v>
      </c>
      <c r="D637" s="154">
        <v>1.9325999999999999E-2</v>
      </c>
      <c r="E637" s="154">
        <v>3.0450000000000001E-2</v>
      </c>
      <c r="F637" s="154">
        <v>7.4347999999999997E-2</v>
      </c>
      <c r="G637" s="154">
        <v>0.16228400000000001</v>
      </c>
      <c r="H637" s="154">
        <v>0.29015299999999999</v>
      </c>
      <c r="I637" s="154">
        <v>0.39793099999999998</v>
      </c>
      <c r="J637" s="154">
        <v>0.53690099999999996</v>
      </c>
      <c r="K637" s="154">
        <v>0.55493599999999998</v>
      </c>
      <c r="L637" s="154">
        <v>0.48159999999999997</v>
      </c>
      <c r="M637" s="154">
        <v>0.227407</v>
      </c>
      <c r="N637" s="154">
        <v>5.2837000000000002E-2</v>
      </c>
      <c r="O637" s="154">
        <v>3.5403999999999998E-2</v>
      </c>
      <c r="P637" s="11"/>
      <c r="Q637" s="29"/>
      <c r="R637" s="30"/>
    </row>
    <row r="638" spans="1:18" ht="12" customHeight="1">
      <c r="A638" s="10" t="s">
        <v>184</v>
      </c>
      <c r="B638" s="11" t="s">
        <v>2</v>
      </c>
      <c r="D638" s="154">
        <v>8.1321000000000004E-2</v>
      </c>
      <c r="E638" s="154">
        <v>8.6687E-2</v>
      </c>
      <c r="F638" s="154">
        <v>0.15446199999999999</v>
      </c>
      <c r="G638" s="154">
        <v>0.31521399999999999</v>
      </c>
      <c r="H638" s="154">
        <v>0.52090999999999998</v>
      </c>
      <c r="I638" s="154">
        <v>0.469111</v>
      </c>
      <c r="J638" s="154">
        <v>0.446994</v>
      </c>
      <c r="K638" s="154">
        <v>0.58457899999999996</v>
      </c>
      <c r="L638" s="154">
        <v>0.57061600000000001</v>
      </c>
      <c r="M638" s="154">
        <v>0.41148499999999999</v>
      </c>
      <c r="N638" s="154">
        <v>0.154556</v>
      </c>
      <c r="O638" s="154">
        <v>0.110445</v>
      </c>
      <c r="P638" s="11"/>
      <c r="Q638" s="29"/>
      <c r="R638" s="30"/>
    </row>
    <row r="639" spans="1:18" ht="12" customHeight="1">
      <c r="A639" s="10" t="s">
        <v>185</v>
      </c>
      <c r="B639" s="11" t="s">
        <v>5</v>
      </c>
      <c r="D639" s="154">
        <v>3.1050000000000001E-2</v>
      </c>
      <c r="E639" s="154">
        <v>2.7252999999999999E-2</v>
      </c>
      <c r="F639" s="154">
        <v>5.3416999999999999E-2</v>
      </c>
      <c r="G639" s="154">
        <v>8.5414000000000004E-2</v>
      </c>
      <c r="H639" s="154">
        <v>0.127416</v>
      </c>
      <c r="I639" s="154">
        <v>0.143597</v>
      </c>
      <c r="J639" s="154">
        <v>0.22512699999999999</v>
      </c>
      <c r="K639" s="154">
        <v>0.25615399999999999</v>
      </c>
      <c r="L639" s="154">
        <v>0.17575499999999999</v>
      </c>
      <c r="M639" s="154">
        <v>9.2620999999999995E-2</v>
      </c>
      <c r="N639" s="154">
        <v>4.2187000000000002E-2</v>
      </c>
      <c r="O639" s="154">
        <v>3.3036000000000003E-2</v>
      </c>
      <c r="P639" s="11"/>
      <c r="Q639" s="29"/>
      <c r="R639" s="30"/>
    </row>
    <row r="640" spans="1:18" ht="12" customHeight="1">
      <c r="A640" s="10" t="s">
        <v>186</v>
      </c>
      <c r="B640" s="11" t="s">
        <v>14</v>
      </c>
      <c r="D640" s="154">
        <v>2.1083000000000001E-2</v>
      </c>
      <c r="E640" s="154">
        <v>2.5992999999999999E-2</v>
      </c>
      <c r="F640" s="154">
        <v>5.0921000000000001E-2</v>
      </c>
      <c r="G640" s="154">
        <v>7.9516000000000003E-2</v>
      </c>
      <c r="H640" s="154">
        <v>0.139124</v>
      </c>
      <c r="I640" s="154">
        <v>0.137791</v>
      </c>
      <c r="J640" s="154">
        <v>0.24864600000000001</v>
      </c>
      <c r="K640" s="154">
        <v>0.24693200000000001</v>
      </c>
      <c r="L640" s="154">
        <v>0.174155</v>
      </c>
      <c r="M640" s="154">
        <v>8.0447000000000005E-2</v>
      </c>
      <c r="N640" s="154">
        <v>3.0811000000000002E-2</v>
      </c>
      <c r="O640" s="154">
        <v>2.0542999999999999E-2</v>
      </c>
      <c r="P640" s="11"/>
      <c r="Q640" s="29"/>
      <c r="R640" s="30"/>
    </row>
    <row r="641" spans="1:18" ht="12" customHeight="1">
      <c r="A641" s="10" t="s">
        <v>187</v>
      </c>
      <c r="B641" s="11" t="s">
        <v>8</v>
      </c>
      <c r="D641" s="154">
        <v>0.15530099999999999</v>
      </c>
      <c r="E641" s="154">
        <v>0.17649500000000001</v>
      </c>
      <c r="F641" s="154">
        <v>0.27928900000000001</v>
      </c>
      <c r="G641" s="154">
        <v>0.37472800000000001</v>
      </c>
      <c r="H641" s="154">
        <v>0.49538199999999999</v>
      </c>
      <c r="I641" s="154">
        <v>0.47514099999999998</v>
      </c>
      <c r="J641" s="154">
        <v>0.63573299999999999</v>
      </c>
      <c r="K641" s="154">
        <v>0.71405700000000005</v>
      </c>
      <c r="L641" s="154">
        <v>0.53770600000000002</v>
      </c>
      <c r="M641" s="154">
        <v>0.44461899999999999</v>
      </c>
      <c r="N641" s="154">
        <v>0.246811</v>
      </c>
      <c r="O641" s="154">
        <v>0.19839599999999999</v>
      </c>
      <c r="P641" s="11"/>
      <c r="Q641" s="29"/>
      <c r="R641" s="30"/>
    </row>
    <row r="642" spans="1:18" ht="12" customHeight="1">
      <c r="A642" s="10" t="s">
        <v>188</v>
      </c>
      <c r="B642" s="11" t="s">
        <v>189</v>
      </c>
      <c r="D642" s="154">
        <v>2.5787000000000001E-2</v>
      </c>
      <c r="E642" s="154">
        <v>2.6335000000000001E-2</v>
      </c>
      <c r="F642" s="154">
        <v>4.4947000000000001E-2</v>
      </c>
      <c r="G642" s="154">
        <v>9.7479999999999997E-2</v>
      </c>
      <c r="H642" s="154">
        <v>0.142317</v>
      </c>
      <c r="I642" s="154">
        <v>9.1011999999999996E-2</v>
      </c>
      <c r="J642" s="154">
        <v>0.14863599999999999</v>
      </c>
      <c r="K642" s="154">
        <v>0.16161400000000001</v>
      </c>
      <c r="L642" s="154">
        <v>0.133968</v>
      </c>
      <c r="M642" s="154">
        <v>7.7807000000000001E-2</v>
      </c>
      <c r="N642" s="154">
        <v>4.1849999999999998E-2</v>
      </c>
      <c r="O642" s="154">
        <v>3.1074000000000001E-2</v>
      </c>
      <c r="P642" s="11"/>
      <c r="Q642" s="29"/>
      <c r="R642" s="30"/>
    </row>
    <row r="643" spans="1:18" ht="12" customHeight="1">
      <c r="A643" s="10" t="s">
        <v>190</v>
      </c>
      <c r="B643" s="11" t="s">
        <v>191</v>
      </c>
      <c r="D643" s="154">
        <v>7.5550000000000001E-3</v>
      </c>
      <c r="E643" s="154">
        <v>1.0034E-2</v>
      </c>
      <c r="F643" s="154">
        <v>1.6039000000000001E-2</v>
      </c>
      <c r="G643" s="154">
        <v>3.5396999999999998E-2</v>
      </c>
      <c r="H643" s="154">
        <v>5.1114E-2</v>
      </c>
      <c r="I643" s="154">
        <v>4.0382000000000001E-2</v>
      </c>
      <c r="J643" s="154">
        <v>3.8655000000000002E-2</v>
      </c>
      <c r="K643" s="154">
        <v>4.3782000000000001E-2</v>
      </c>
      <c r="L643" s="154">
        <v>5.3775999999999997E-2</v>
      </c>
      <c r="M643" s="154">
        <v>3.3926999999999999E-2</v>
      </c>
      <c r="N643" s="154">
        <v>1.4524E-2</v>
      </c>
      <c r="O643" s="154">
        <v>8.6789999999999992E-3</v>
      </c>
      <c r="P643" s="11"/>
      <c r="Q643" s="29"/>
      <c r="R643" s="30"/>
    </row>
    <row r="644" spans="1:18" ht="12" customHeight="1">
      <c r="A644" s="10" t="s">
        <v>192</v>
      </c>
      <c r="B644" s="11" t="s">
        <v>193</v>
      </c>
      <c r="D644" s="154">
        <v>6.9865999999999998E-2</v>
      </c>
      <c r="E644" s="154">
        <v>9.4898999999999997E-2</v>
      </c>
      <c r="F644" s="154">
        <v>0.104508</v>
      </c>
      <c r="G644" s="154">
        <v>0.15318699999999999</v>
      </c>
      <c r="H644" s="154">
        <v>0.19849</v>
      </c>
      <c r="I644" s="154">
        <v>0.186166</v>
      </c>
      <c r="J644" s="154">
        <v>0.261741</v>
      </c>
      <c r="K644" s="154">
        <v>0.31460399999999999</v>
      </c>
      <c r="L644" s="154">
        <v>0.20160400000000001</v>
      </c>
      <c r="M644" s="154">
        <v>0.16391600000000001</v>
      </c>
      <c r="N644" s="154">
        <v>0.106985</v>
      </c>
      <c r="O644" s="154">
        <v>8.0291000000000001E-2</v>
      </c>
      <c r="P644" s="11"/>
      <c r="Q644" s="29"/>
      <c r="R644" s="30"/>
    </row>
    <row r="645" spans="1:18" ht="12" customHeight="1">
      <c r="A645" s="10" t="s">
        <v>194</v>
      </c>
      <c r="B645" s="11" t="s">
        <v>11</v>
      </c>
      <c r="D645" s="154">
        <v>1.1148420000000001</v>
      </c>
      <c r="E645" s="154">
        <v>1.1673899999999999</v>
      </c>
      <c r="F645" s="154">
        <v>1.452091</v>
      </c>
      <c r="G645" s="154">
        <v>1.6480030000000001</v>
      </c>
      <c r="H645" s="154">
        <v>1.714793</v>
      </c>
      <c r="I645" s="154">
        <v>1.5479259999999999</v>
      </c>
      <c r="J645" s="154">
        <v>1.582125</v>
      </c>
      <c r="K645" s="154">
        <v>1.452739</v>
      </c>
      <c r="L645" s="154">
        <v>1.66276</v>
      </c>
      <c r="M645" s="154">
        <v>1.781771</v>
      </c>
      <c r="N645" s="154">
        <v>1.4350989999999999</v>
      </c>
      <c r="O645" s="154">
        <v>1.2480770000000001</v>
      </c>
      <c r="P645" s="11"/>
      <c r="Q645" s="29"/>
      <c r="R645" s="30"/>
    </row>
    <row r="646" spans="1:18" ht="12" customHeight="1">
      <c r="A646" s="129" t="s">
        <v>195</v>
      </c>
      <c r="B646" s="11" t="s">
        <v>196</v>
      </c>
      <c r="D646" s="154">
        <v>9.2133999999999994E-2</v>
      </c>
      <c r="E646" s="154">
        <v>0.11162900000000001</v>
      </c>
      <c r="F646" s="154">
        <v>0.15731600000000001</v>
      </c>
      <c r="G646" s="154">
        <v>0.25042199999999998</v>
      </c>
      <c r="H646" s="154">
        <v>0.340561</v>
      </c>
      <c r="I646" s="154">
        <v>0.28396700000000002</v>
      </c>
      <c r="J646" s="154">
        <v>0.317805</v>
      </c>
      <c r="K646" s="154">
        <v>0.33514899999999997</v>
      </c>
      <c r="L646" s="154">
        <v>0.34664299999999998</v>
      </c>
      <c r="M646" s="154">
        <v>0.26366899999999999</v>
      </c>
      <c r="N646" s="154">
        <v>0.14741499999999999</v>
      </c>
      <c r="O646" s="154">
        <v>0.120849</v>
      </c>
      <c r="P646" s="11"/>
      <c r="Q646" s="29"/>
      <c r="R646" s="30"/>
    </row>
    <row r="647" spans="1:18" ht="12" customHeight="1">
      <c r="A647" s="129" t="s">
        <v>197</v>
      </c>
      <c r="B647" s="11" t="s">
        <v>517</v>
      </c>
      <c r="D647" s="154">
        <v>4.1730000000000003E-2</v>
      </c>
      <c r="E647" s="154">
        <v>5.0750999999999998E-2</v>
      </c>
      <c r="F647" s="154">
        <v>6.2380999999999999E-2</v>
      </c>
      <c r="G647" s="154">
        <v>7.1350999999999998E-2</v>
      </c>
      <c r="H647" s="154">
        <v>9.0949000000000002E-2</v>
      </c>
      <c r="I647" s="154">
        <v>6.9555000000000006E-2</v>
      </c>
      <c r="J647" s="154">
        <v>6.9181000000000006E-2</v>
      </c>
      <c r="K647" s="154">
        <v>7.3400999999999994E-2</v>
      </c>
      <c r="L647" s="154">
        <v>8.2776000000000002E-2</v>
      </c>
      <c r="M647" s="154">
        <v>8.9269000000000001E-2</v>
      </c>
      <c r="N647" s="154">
        <v>6.9422999999999999E-2</v>
      </c>
      <c r="O647" s="154">
        <v>4.7197000000000003E-2</v>
      </c>
      <c r="P647" s="11"/>
      <c r="Q647" s="29"/>
      <c r="R647" s="30"/>
    </row>
    <row r="648" spans="1:18" ht="12" customHeight="1">
      <c r="A648" s="129" t="s">
        <v>198</v>
      </c>
      <c r="B648" s="11" t="s">
        <v>199</v>
      </c>
      <c r="D648" s="154">
        <v>2.7711E-2</v>
      </c>
      <c r="E648" s="154">
        <v>2.9737E-2</v>
      </c>
      <c r="F648" s="154">
        <v>4.6755999999999999E-2</v>
      </c>
      <c r="G648" s="154">
        <v>7.1973999999999996E-2</v>
      </c>
      <c r="H648" s="154">
        <v>7.4845999999999996E-2</v>
      </c>
      <c r="I648" s="154">
        <v>5.6533E-2</v>
      </c>
      <c r="J648" s="154">
        <v>5.6930000000000001E-2</v>
      </c>
      <c r="K648" s="154">
        <v>7.6253000000000001E-2</v>
      </c>
      <c r="L648" s="154">
        <v>6.5514000000000003E-2</v>
      </c>
      <c r="M648" s="154">
        <v>5.6161999999999997E-2</v>
      </c>
      <c r="N648" s="154">
        <v>3.9474000000000002E-2</v>
      </c>
      <c r="O648" s="154">
        <v>3.2028000000000001E-2</v>
      </c>
      <c r="P648" s="11"/>
      <c r="Q648" s="29"/>
      <c r="R648" s="30"/>
    </row>
    <row r="649" spans="1:18" ht="12" customHeight="1">
      <c r="A649" s="129" t="s">
        <v>200</v>
      </c>
      <c r="B649" s="11" t="s">
        <v>201</v>
      </c>
      <c r="D649" s="154">
        <v>1.6825129999999999</v>
      </c>
      <c r="E649" s="154">
        <v>2.0643030000000002</v>
      </c>
      <c r="F649" s="154">
        <v>2.7744650000000002</v>
      </c>
      <c r="G649" s="154">
        <v>4.0429120000000003</v>
      </c>
      <c r="H649" s="154">
        <v>6.123208</v>
      </c>
      <c r="I649" s="154">
        <v>6.5256769999999999</v>
      </c>
      <c r="J649" s="154">
        <v>9.5721769999999999</v>
      </c>
      <c r="K649" s="154">
        <v>10.107586</v>
      </c>
      <c r="L649" s="154">
        <v>6.9149620000000001</v>
      </c>
      <c r="M649" s="154">
        <v>4.860576</v>
      </c>
      <c r="N649" s="154">
        <v>2.0811410000000001</v>
      </c>
      <c r="O649" s="154">
        <v>1.767358</v>
      </c>
      <c r="P649" s="11"/>
      <c r="Q649" s="29"/>
      <c r="R649" s="30"/>
    </row>
    <row r="650" spans="1:18" ht="12" customHeight="1">
      <c r="A650" s="129" t="s">
        <v>202</v>
      </c>
      <c r="B650" s="11" t="s">
        <v>203</v>
      </c>
      <c r="D650" s="154">
        <v>1.7699450000000001</v>
      </c>
      <c r="E650" s="154">
        <v>1.9603569999999999</v>
      </c>
      <c r="F650" s="154">
        <v>2.2585280000000001</v>
      </c>
      <c r="G650" s="154">
        <v>2.409519</v>
      </c>
      <c r="H650" s="154">
        <v>2.641222</v>
      </c>
      <c r="I650" s="154">
        <v>2.5631689999999998</v>
      </c>
      <c r="J650" s="154">
        <v>2.9892820000000002</v>
      </c>
      <c r="K650" s="154">
        <v>3.4353359999999999</v>
      </c>
      <c r="L650" s="154">
        <v>2.8782000000000001</v>
      </c>
      <c r="M650" s="154">
        <v>2.9820259999999998</v>
      </c>
      <c r="N650" s="154">
        <v>1.8652150000000001</v>
      </c>
      <c r="O650" s="154">
        <v>1.654973</v>
      </c>
      <c r="P650" s="11"/>
      <c r="Q650" s="29"/>
      <c r="R650" s="30"/>
    </row>
    <row r="651" spans="1:18" ht="12" customHeight="1">
      <c r="A651" s="10" t="s">
        <v>204</v>
      </c>
      <c r="B651" s="11" t="s">
        <v>6</v>
      </c>
      <c r="D651" s="154">
        <v>0.198051</v>
      </c>
      <c r="E651" s="154">
        <v>0.461785</v>
      </c>
      <c r="F651" s="154">
        <v>1.5309790000000001</v>
      </c>
      <c r="G651" s="154">
        <v>3.437405</v>
      </c>
      <c r="H651" s="154">
        <v>8.7853340000000006</v>
      </c>
      <c r="I651" s="154">
        <v>10.079761</v>
      </c>
      <c r="J651" s="154">
        <v>11.739792</v>
      </c>
      <c r="K651" s="154">
        <v>12.133927999999999</v>
      </c>
      <c r="L651" s="154">
        <v>10.125258000000001</v>
      </c>
      <c r="M651" s="154">
        <v>7.4136959999999998</v>
      </c>
      <c r="N651" s="154">
        <v>0.395814</v>
      </c>
      <c r="O651" s="154">
        <v>0.281086</v>
      </c>
      <c r="P651" s="11"/>
      <c r="Q651" s="29"/>
      <c r="R651" s="30"/>
    </row>
    <row r="652" spans="1:18" ht="12" customHeight="1">
      <c r="A652" s="10" t="s">
        <v>205</v>
      </c>
      <c r="B652" s="11" t="s">
        <v>206</v>
      </c>
      <c r="D652" s="154">
        <v>2.0598779999999999</v>
      </c>
      <c r="E652" s="154">
        <v>2.4443899999999998</v>
      </c>
      <c r="F652" s="154">
        <v>3.1055290000000002</v>
      </c>
      <c r="G652" s="154">
        <v>3.8313009999999998</v>
      </c>
      <c r="H652" s="154">
        <v>4.3725579999999997</v>
      </c>
      <c r="I652" s="154">
        <v>4.0564359999999997</v>
      </c>
      <c r="J652" s="154">
        <v>4.1455510000000002</v>
      </c>
      <c r="K652" s="154">
        <v>4.5273839999999996</v>
      </c>
      <c r="L652" s="154">
        <v>4.4892079999999996</v>
      </c>
      <c r="M652" s="154">
        <v>4.4680169999999997</v>
      </c>
      <c r="N652" s="154">
        <v>2.4927419999999998</v>
      </c>
      <c r="O652" s="154">
        <v>1.9256</v>
      </c>
      <c r="P652" s="11"/>
      <c r="Q652" s="29"/>
      <c r="R652" s="30"/>
    </row>
    <row r="653" spans="1:18" ht="12" customHeight="1">
      <c r="A653" s="10" t="s">
        <v>207</v>
      </c>
      <c r="B653" s="11" t="s">
        <v>208</v>
      </c>
      <c r="D653" s="154">
        <v>0.179591</v>
      </c>
      <c r="E653" s="154">
        <v>0.18536</v>
      </c>
      <c r="F653" s="154">
        <v>0.17293600000000001</v>
      </c>
      <c r="G653" s="154">
        <v>0.143035</v>
      </c>
      <c r="H653" s="154">
        <v>0.135856</v>
      </c>
      <c r="I653" s="154">
        <v>0.13916899999999999</v>
      </c>
      <c r="J653" s="154">
        <v>0.17524500000000001</v>
      </c>
      <c r="K653" s="154">
        <v>0.195186</v>
      </c>
      <c r="L653" s="154">
        <v>0.17691100000000001</v>
      </c>
      <c r="M653" s="154">
        <v>0.199042</v>
      </c>
      <c r="N653" s="154">
        <v>0.16181100000000001</v>
      </c>
      <c r="O653" s="154">
        <v>0.150843</v>
      </c>
      <c r="P653" s="11"/>
      <c r="Q653" s="29"/>
      <c r="R653" s="30"/>
    </row>
    <row r="654" spans="1:18" ht="12" customHeight="1">
      <c r="A654" s="10" t="s">
        <v>209</v>
      </c>
      <c r="B654" s="11" t="s">
        <v>210</v>
      </c>
      <c r="D654" s="154">
        <v>3.1470000000000001E-3</v>
      </c>
      <c r="E654" s="154">
        <v>3.271E-3</v>
      </c>
      <c r="F654" s="154">
        <v>2.6220000000000002E-3</v>
      </c>
      <c r="G654" s="154">
        <v>5.1060000000000003E-3</v>
      </c>
      <c r="H654" s="154">
        <v>3.176E-3</v>
      </c>
      <c r="I654" s="154">
        <v>5.3179999999999998E-3</v>
      </c>
      <c r="J654" s="154">
        <v>4.8809999999999999E-3</v>
      </c>
      <c r="K654" s="154">
        <v>8.4169999999999991E-3</v>
      </c>
      <c r="L654" s="154">
        <v>2.9390000000000002E-3</v>
      </c>
      <c r="M654" s="154">
        <v>2.372E-3</v>
      </c>
      <c r="N654" s="154">
        <v>4.15E-3</v>
      </c>
      <c r="O654" s="154">
        <v>4.2339999999999999E-3</v>
      </c>
      <c r="P654" s="11"/>
      <c r="Q654" s="29"/>
      <c r="R654" s="30"/>
    </row>
    <row r="655" spans="1:18" ht="12" customHeight="1">
      <c r="A655" s="10" t="s">
        <v>211</v>
      </c>
      <c r="B655" s="11" t="s">
        <v>212</v>
      </c>
      <c r="D655" s="154">
        <v>1.4090000000000001E-3</v>
      </c>
      <c r="E655" s="154">
        <v>1.3259999999999999E-3</v>
      </c>
      <c r="F655" s="154">
        <v>1.047E-3</v>
      </c>
      <c r="G655" s="154">
        <v>1.688E-3</v>
      </c>
      <c r="H655" s="154">
        <v>1.302E-3</v>
      </c>
      <c r="I655" s="154">
        <v>1.6130000000000001E-3</v>
      </c>
      <c r="J655" s="154">
        <v>1.8129999999999999E-3</v>
      </c>
      <c r="K655" s="154">
        <v>4.6969999999999998E-3</v>
      </c>
      <c r="L655" s="154">
        <v>2.0669999999999998E-3</v>
      </c>
      <c r="M655" s="154">
        <v>1.7930000000000001E-3</v>
      </c>
      <c r="N655" s="154">
        <v>1.462E-3</v>
      </c>
      <c r="O655" s="154">
        <v>1.9559999999999998E-3</v>
      </c>
      <c r="P655" s="11"/>
      <c r="Q655" s="29"/>
      <c r="R655" s="30"/>
    </row>
    <row r="656" spans="1:18" ht="12" customHeight="1">
      <c r="A656" s="10" t="s">
        <v>213</v>
      </c>
      <c r="B656" s="11" t="s">
        <v>25</v>
      </c>
      <c r="D656" s="154">
        <v>7.8553699999999997</v>
      </c>
      <c r="E656" s="154">
        <v>7.6727069999999999</v>
      </c>
      <c r="F656" s="154">
        <v>8.0894820000000003</v>
      </c>
      <c r="G656" s="154">
        <v>6.7930020000000004</v>
      </c>
      <c r="H656" s="154">
        <v>6.249835</v>
      </c>
      <c r="I656" s="154">
        <v>6.2974860000000001</v>
      </c>
      <c r="J656" s="154">
        <v>7.1181200000000002</v>
      </c>
      <c r="K656" s="154">
        <v>7.4470150000000004</v>
      </c>
      <c r="L656" s="154">
        <v>6.6869930000000002</v>
      </c>
      <c r="M656" s="154">
        <v>7.7421930000000003</v>
      </c>
      <c r="N656" s="154">
        <v>7.7088700000000001</v>
      </c>
      <c r="O656" s="154">
        <v>7.5268360000000003</v>
      </c>
      <c r="P656" s="11"/>
      <c r="Q656" s="29"/>
      <c r="R656" s="30"/>
    </row>
    <row r="657" spans="1:18" ht="12" customHeight="1">
      <c r="A657" s="10" t="s">
        <v>214</v>
      </c>
      <c r="B657" s="11" t="s">
        <v>518</v>
      </c>
      <c r="D657" s="154">
        <v>2.7558039999999999</v>
      </c>
      <c r="E657" s="154">
        <v>2.7341540000000002</v>
      </c>
      <c r="F657" s="154">
        <v>3.6848299999999998</v>
      </c>
      <c r="G657" s="154">
        <v>3.7690959999999998</v>
      </c>
      <c r="H657" s="154">
        <v>4.2928319999999998</v>
      </c>
      <c r="I657" s="154">
        <v>3.8796330000000001</v>
      </c>
      <c r="J657" s="154">
        <v>3.9388800000000002</v>
      </c>
      <c r="K657" s="154">
        <v>4.2549650000000003</v>
      </c>
      <c r="L657" s="154">
        <v>3.8278349999999999</v>
      </c>
      <c r="M657" s="154">
        <v>4.1757039999999996</v>
      </c>
      <c r="N657" s="154">
        <v>3.1298889999999999</v>
      </c>
      <c r="O657" s="154">
        <v>3.6703700000000001</v>
      </c>
      <c r="P657" s="11"/>
      <c r="Q657" s="29"/>
      <c r="R657" s="30"/>
    </row>
    <row r="658" spans="1:18" ht="12" customHeight="1">
      <c r="A658" s="10" t="s">
        <v>215</v>
      </c>
      <c r="B658" s="11" t="s">
        <v>3019</v>
      </c>
      <c r="D658" s="154">
        <v>3.9877000000000003E-2</v>
      </c>
      <c r="E658" s="154">
        <v>3.8358999999999997E-2</v>
      </c>
      <c r="F658" s="154">
        <v>6.9495000000000001E-2</v>
      </c>
      <c r="G658" s="154">
        <v>0.114022</v>
      </c>
      <c r="H658" s="154">
        <v>0.21252199999999999</v>
      </c>
      <c r="I658" s="154">
        <v>0.275588</v>
      </c>
      <c r="J658" s="154">
        <v>0.513428</v>
      </c>
      <c r="K658" s="154">
        <v>0.56810300000000002</v>
      </c>
      <c r="L658" s="154">
        <v>0.23951700000000001</v>
      </c>
      <c r="M658" s="154">
        <v>0.106839</v>
      </c>
      <c r="N658" s="154">
        <v>5.0198E-2</v>
      </c>
      <c r="O658" s="154">
        <v>4.8550000000000003E-2</v>
      </c>
      <c r="P658" s="11"/>
      <c r="Q658" s="29"/>
      <c r="R658" s="30"/>
    </row>
    <row r="659" spans="1:18" ht="12" customHeight="1">
      <c r="A659" s="10" t="s">
        <v>216</v>
      </c>
      <c r="B659" s="11" t="s">
        <v>217</v>
      </c>
      <c r="D659" s="154">
        <v>5.5620999999999997E-2</v>
      </c>
      <c r="E659" s="154">
        <v>6.4362000000000003E-2</v>
      </c>
      <c r="F659" s="154">
        <v>0.106798</v>
      </c>
      <c r="G659" s="154">
        <v>0.13744200000000001</v>
      </c>
      <c r="H659" s="154">
        <v>0.238209</v>
      </c>
      <c r="I659" s="154">
        <v>0.28912700000000002</v>
      </c>
      <c r="J659" s="154">
        <v>0.48077999999999999</v>
      </c>
      <c r="K659" s="154">
        <v>0.486454</v>
      </c>
      <c r="L659" s="154">
        <v>0.28359499999999999</v>
      </c>
      <c r="M659" s="154">
        <v>0.14735999999999999</v>
      </c>
      <c r="N659" s="154">
        <v>6.8876000000000007E-2</v>
      </c>
      <c r="O659" s="154">
        <v>7.4861999999999998E-2</v>
      </c>
      <c r="P659" s="11"/>
      <c r="Q659" s="29"/>
      <c r="R659" s="30"/>
    </row>
    <row r="660" spans="1:18" ht="12" customHeight="1">
      <c r="A660" s="10" t="s">
        <v>218</v>
      </c>
      <c r="B660" s="11" t="s">
        <v>219</v>
      </c>
      <c r="D660" s="154">
        <v>2.4146000000000001E-2</v>
      </c>
      <c r="E660" s="154">
        <v>2.5645999999999999E-2</v>
      </c>
      <c r="F660" s="154">
        <v>3.6169E-2</v>
      </c>
      <c r="G660" s="154">
        <v>4.0895000000000001E-2</v>
      </c>
      <c r="H660" s="154">
        <v>0.131468</v>
      </c>
      <c r="I660" s="154">
        <v>0.120102</v>
      </c>
      <c r="J660" s="154">
        <v>0.316471</v>
      </c>
      <c r="K660" s="154">
        <v>0.33268999999999999</v>
      </c>
      <c r="L660" s="154">
        <v>9.7839999999999996E-2</v>
      </c>
      <c r="M660" s="154">
        <v>3.9365999999999998E-2</v>
      </c>
      <c r="N660" s="154">
        <v>2.0754000000000002E-2</v>
      </c>
      <c r="O660" s="154">
        <v>2.4372000000000001E-2</v>
      </c>
      <c r="P660" s="11"/>
      <c r="Q660" s="29"/>
      <c r="R660" s="30"/>
    </row>
    <row r="661" spans="1:18" ht="12" customHeight="1">
      <c r="A661" s="10" t="s">
        <v>220</v>
      </c>
      <c r="B661" s="11" t="s">
        <v>221</v>
      </c>
      <c r="D661" s="154">
        <v>2.3592999999999999E-2</v>
      </c>
      <c r="E661" s="154">
        <v>2.9825999999999998E-2</v>
      </c>
      <c r="F661" s="154">
        <v>7.6996999999999996E-2</v>
      </c>
      <c r="G661" s="154">
        <v>0.14701800000000001</v>
      </c>
      <c r="H661" s="154">
        <v>0.29831800000000003</v>
      </c>
      <c r="I661" s="154">
        <v>0.41336499999999998</v>
      </c>
      <c r="J661" s="154">
        <v>0.726545</v>
      </c>
      <c r="K661" s="154">
        <v>0.79677699999999996</v>
      </c>
      <c r="L661" s="154">
        <v>0.33438000000000001</v>
      </c>
      <c r="M661" s="154">
        <v>0.146256</v>
      </c>
      <c r="N661" s="154">
        <v>4.8729000000000001E-2</v>
      </c>
      <c r="O661" s="154">
        <v>3.8262999999999998E-2</v>
      </c>
      <c r="P661" s="11"/>
      <c r="Q661" s="29"/>
      <c r="R661" s="30"/>
    </row>
    <row r="662" spans="1:18" ht="12" customHeight="1">
      <c r="A662" s="10" t="s">
        <v>222</v>
      </c>
      <c r="B662" s="11" t="s">
        <v>223</v>
      </c>
      <c r="D662" s="154">
        <v>2.6655999999999999E-2</v>
      </c>
      <c r="E662" s="154">
        <v>2.6501E-2</v>
      </c>
      <c r="F662" s="154">
        <v>4.3612999999999999E-2</v>
      </c>
      <c r="G662" s="154">
        <v>7.3058999999999999E-2</v>
      </c>
      <c r="H662" s="154">
        <v>0.144757</v>
      </c>
      <c r="I662" s="154">
        <v>0.168909</v>
      </c>
      <c r="J662" s="154">
        <v>0.27465299999999998</v>
      </c>
      <c r="K662" s="154">
        <v>0.335532</v>
      </c>
      <c r="L662" s="154">
        <v>0.15068500000000001</v>
      </c>
      <c r="M662" s="154">
        <v>7.2500999999999996E-2</v>
      </c>
      <c r="N662" s="154">
        <v>3.3554E-2</v>
      </c>
      <c r="O662" s="154">
        <v>3.1126999999999998E-2</v>
      </c>
      <c r="P662" s="11"/>
      <c r="Q662" s="29"/>
      <c r="R662" s="30"/>
    </row>
    <row r="663" spans="1:18" ht="12" customHeight="1">
      <c r="A663" s="10" t="s">
        <v>224</v>
      </c>
      <c r="B663" s="11" t="s">
        <v>519</v>
      </c>
      <c r="D663" s="154">
        <v>7.8706999999999999E-2</v>
      </c>
      <c r="E663" s="154">
        <v>9.3494999999999995E-2</v>
      </c>
      <c r="F663" s="154">
        <v>0.13092400000000001</v>
      </c>
      <c r="G663" s="154">
        <v>0.165993</v>
      </c>
      <c r="H663" s="154">
        <v>0.24252499999999999</v>
      </c>
      <c r="I663" s="154">
        <v>0.227852</v>
      </c>
      <c r="J663" s="154">
        <v>0.37155100000000002</v>
      </c>
      <c r="K663" s="154">
        <v>0.41663</v>
      </c>
      <c r="L663" s="154">
        <v>0.24318699999999999</v>
      </c>
      <c r="M663" s="154">
        <v>0.172957</v>
      </c>
      <c r="N663" s="154">
        <v>0.10943</v>
      </c>
      <c r="O663" s="154">
        <v>0.117731</v>
      </c>
      <c r="P663" s="11"/>
      <c r="Q663" s="29"/>
      <c r="R663" s="30"/>
    </row>
    <row r="664" spans="1:18" ht="12" customHeight="1">
      <c r="A664" s="10" t="s">
        <v>225</v>
      </c>
      <c r="B664" s="11" t="s">
        <v>226</v>
      </c>
      <c r="D664" s="154">
        <v>2.8192999999999999E-2</v>
      </c>
      <c r="E664" s="154">
        <v>3.1267000000000003E-2</v>
      </c>
      <c r="F664" s="154">
        <v>5.9963000000000002E-2</v>
      </c>
      <c r="G664" s="154">
        <v>0.115927</v>
      </c>
      <c r="H664" s="154">
        <v>0.18476999999999999</v>
      </c>
      <c r="I664" s="154">
        <v>0.17755000000000001</v>
      </c>
      <c r="J664" s="154">
        <v>0.36571300000000001</v>
      </c>
      <c r="K664" s="154">
        <v>0.39491199999999999</v>
      </c>
      <c r="L664" s="154">
        <v>0.16219700000000001</v>
      </c>
      <c r="M664" s="154">
        <v>9.2765E-2</v>
      </c>
      <c r="N664" s="154">
        <v>3.8969999999999998E-2</v>
      </c>
      <c r="O664" s="154">
        <v>3.7844000000000003E-2</v>
      </c>
      <c r="P664" s="11"/>
      <c r="Q664" s="29"/>
      <c r="R664" s="30"/>
    </row>
    <row r="665" spans="1:18" ht="12" customHeight="1">
      <c r="A665" s="10" t="s">
        <v>227</v>
      </c>
      <c r="B665" s="11" t="s">
        <v>228</v>
      </c>
      <c r="D665" s="154">
        <v>0.14938199999999999</v>
      </c>
      <c r="E665" s="154">
        <v>0.17513300000000001</v>
      </c>
      <c r="F665" s="154">
        <v>0.27301999999999998</v>
      </c>
      <c r="G665" s="154">
        <v>0.33541199999999999</v>
      </c>
      <c r="H665" s="154">
        <v>0.505135</v>
      </c>
      <c r="I665" s="154">
        <v>0.45728400000000002</v>
      </c>
      <c r="J665" s="154">
        <v>0.63226899999999997</v>
      </c>
      <c r="K665" s="154">
        <v>0.69378799999999996</v>
      </c>
      <c r="L665" s="154">
        <v>0.46261099999999999</v>
      </c>
      <c r="M665" s="154">
        <v>0.39390900000000001</v>
      </c>
      <c r="N665" s="154">
        <v>0.26664700000000002</v>
      </c>
      <c r="O665" s="154">
        <v>0.51088100000000003</v>
      </c>
      <c r="P665" s="11"/>
      <c r="Q665" s="29"/>
      <c r="R665" s="30"/>
    </row>
    <row r="666" spans="1:18" ht="12" customHeight="1">
      <c r="A666" s="10" t="s">
        <v>229</v>
      </c>
      <c r="B666" s="11" t="s">
        <v>15</v>
      </c>
      <c r="D666" s="154">
        <v>3.6138999999999998E-2</v>
      </c>
      <c r="E666" s="154">
        <v>4.6352999999999998E-2</v>
      </c>
      <c r="F666" s="154">
        <v>7.1681999999999996E-2</v>
      </c>
      <c r="G666" s="154">
        <v>9.3951999999999994E-2</v>
      </c>
      <c r="H666" s="154">
        <v>0.16005900000000001</v>
      </c>
      <c r="I666" s="154">
        <v>0.172651</v>
      </c>
      <c r="J666" s="154">
        <v>0.295601</v>
      </c>
      <c r="K666" s="154">
        <v>0.31543700000000002</v>
      </c>
      <c r="L666" s="154">
        <v>0.16082399999999999</v>
      </c>
      <c r="M666" s="154">
        <v>8.6233000000000004E-2</v>
      </c>
      <c r="N666" s="154">
        <v>5.0916999999999997E-2</v>
      </c>
      <c r="O666" s="154">
        <v>5.6860000000000001E-2</v>
      </c>
      <c r="P666" s="11"/>
      <c r="Q666" s="29"/>
      <c r="R666" s="30"/>
    </row>
    <row r="667" spans="1:18" ht="12" customHeight="1">
      <c r="A667" s="10" t="s">
        <v>230</v>
      </c>
      <c r="B667" s="11" t="s">
        <v>231</v>
      </c>
      <c r="D667" s="154">
        <v>8.2973000000000005E-2</v>
      </c>
      <c r="E667" s="154">
        <v>8.8149000000000005E-2</v>
      </c>
      <c r="F667" s="154">
        <v>0.122654</v>
      </c>
      <c r="G667" s="154">
        <v>0.134246</v>
      </c>
      <c r="H667" s="154">
        <v>0.25970199999999999</v>
      </c>
      <c r="I667" s="154">
        <v>0.23546400000000001</v>
      </c>
      <c r="J667" s="154">
        <v>0.456901</v>
      </c>
      <c r="K667" s="154">
        <v>0.50386500000000001</v>
      </c>
      <c r="L667" s="154">
        <v>0.21679100000000001</v>
      </c>
      <c r="M667" s="154">
        <v>0.17468</v>
      </c>
      <c r="N667" s="154">
        <v>7.0418999999999995E-2</v>
      </c>
      <c r="O667" s="154">
        <v>9.9558999999999995E-2</v>
      </c>
      <c r="P667" s="11"/>
      <c r="Q667" s="29"/>
      <c r="R667" s="30"/>
    </row>
    <row r="668" spans="1:18" ht="12" customHeight="1">
      <c r="A668" s="10" t="s">
        <v>232</v>
      </c>
      <c r="B668" s="11" t="s">
        <v>520</v>
      </c>
      <c r="D668" s="154">
        <v>5.6124E-2</v>
      </c>
      <c r="E668" s="154">
        <v>6.0274000000000001E-2</v>
      </c>
      <c r="F668" s="154">
        <v>8.2694000000000004E-2</v>
      </c>
      <c r="G668" s="154">
        <v>0.11995</v>
      </c>
      <c r="H668" s="154">
        <v>0.23672099999999999</v>
      </c>
      <c r="I668" s="154">
        <v>0.38899400000000001</v>
      </c>
      <c r="J668" s="154">
        <v>0.93408599999999997</v>
      </c>
      <c r="K668" s="154">
        <v>0.97724599999999995</v>
      </c>
      <c r="L668" s="154">
        <v>0.27545999999999998</v>
      </c>
      <c r="M668" s="154">
        <v>0.114825</v>
      </c>
      <c r="N668" s="154">
        <v>6.3174999999999995E-2</v>
      </c>
      <c r="O668" s="154">
        <v>5.8846999999999997E-2</v>
      </c>
      <c r="P668" s="11"/>
      <c r="Q668" s="29"/>
      <c r="R668" s="30"/>
    </row>
    <row r="669" spans="1:18" ht="12" customHeight="1">
      <c r="A669" s="10" t="s">
        <v>234</v>
      </c>
      <c r="B669" s="11" t="s">
        <v>233</v>
      </c>
      <c r="D669" s="154">
        <v>4.2930999999999997E-2</v>
      </c>
      <c r="E669" s="154">
        <v>4.4436000000000003E-2</v>
      </c>
      <c r="F669" s="154">
        <v>8.6740999999999999E-2</v>
      </c>
      <c r="G669" s="154">
        <v>0.15420500000000001</v>
      </c>
      <c r="H669" s="154">
        <v>0.37908500000000001</v>
      </c>
      <c r="I669" s="154">
        <v>0.58725099999999997</v>
      </c>
      <c r="J669" s="154">
        <v>1.239771</v>
      </c>
      <c r="K669" s="154">
        <v>1.4605490000000001</v>
      </c>
      <c r="L669" s="154">
        <v>0.51700400000000002</v>
      </c>
      <c r="M669" s="154">
        <v>0.157748</v>
      </c>
      <c r="N669" s="154">
        <v>5.2689E-2</v>
      </c>
      <c r="O669" s="154">
        <v>5.1209999999999999E-2</v>
      </c>
      <c r="P669" s="11"/>
      <c r="Q669" s="29"/>
      <c r="R669" s="30"/>
    </row>
    <row r="670" spans="1:18" ht="12" customHeight="1">
      <c r="A670" s="10" t="s">
        <v>235</v>
      </c>
      <c r="B670" s="11" t="s">
        <v>236</v>
      </c>
      <c r="D670" s="154">
        <v>9.5762E-2</v>
      </c>
      <c r="E670" s="154">
        <v>9.1359999999999997E-2</v>
      </c>
      <c r="F670" s="154">
        <v>0.246257</v>
      </c>
      <c r="G670" s="154">
        <v>0.33701599999999998</v>
      </c>
      <c r="H670" s="154">
        <v>0.608985</v>
      </c>
      <c r="I670" s="154">
        <v>0.97725799999999996</v>
      </c>
      <c r="J670" s="154">
        <v>2.524254</v>
      </c>
      <c r="K670" s="154">
        <v>2.6604399999999999</v>
      </c>
      <c r="L670" s="154">
        <v>0.986873</v>
      </c>
      <c r="M670" s="154">
        <v>0.33587</v>
      </c>
      <c r="N670" s="154">
        <v>0.13511500000000001</v>
      </c>
      <c r="O670" s="154">
        <v>0.14335100000000001</v>
      </c>
      <c r="P670" s="11"/>
      <c r="Q670" s="29"/>
      <c r="R670" s="30"/>
    </row>
    <row r="671" spans="1:18" ht="12" customHeight="1">
      <c r="A671" s="10" t="s">
        <v>237</v>
      </c>
      <c r="B671" s="11" t="s">
        <v>238</v>
      </c>
      <c r="D671" s="154">
        <v>6.0419999999999996E-3</v>
      </c>
      <c r="E671" s="154">
        <v>6.6410000000000002E-3</v>
      </c>
      <c r="F671" s="154">
        <v>1.0274E-2</v>
      </c>
      <c r="G671" s="154">
        <v>1.3757999999999999E-2</v>
      </c>
      <c r="H671" s="154">
        <v>2.7400999999999998E-2</v>
      </c>
      <c r="I671" s="154">
        <v>4.7815999999999997E-2</v>
      </c>
      <c r="J671" s="154">
        <v>0.11629299999999999</v>
      </c>
      <c r="K671" s="154">
        <v>0.13663500000000001</v>
      </c>
      <c r="L671" s="154">
        <v>3.8711000000000002E-2</v>
      </c>
      <c r="M671" s="154">
        <v>1.5781E-2</v>
      </c>
      <c r="N671" s="154">
        <v>7.4060000000000003E-3</v>
      </c>
      <c r="O671" s="154">
        <v>7.2389999999999998E-3</v>
      </c>
      <c r="P671" s="11"/>
      <c r="Q671" s="29"/>
      <c r="R671" s="30"/>
    </row>
    <row r="672" spans="1:18" ht="12" customHeight="1">
      <c r="A672" s="10" t="s">
        <v>239</v>
      </c>
      <c r="B672" s="11" t="s">
        <v>240</v>
      </c>
      <c r="D672" s="154">
        <v>2.6010999999999999E-2</v>
      </c>
      <c r="E672" s="154">
        <v>2.7723000000000001E-2</v>
      </c>
      <c r="F672" s="154">
        <v>5.3332999999999998E-2</v>
      </c>
      <c r="G672" s="154">
        <v>8.4470000000000003E-2</v>
      </c>
      <c r="H672" s="154">
        <v>0.177617</v>
      </c>
      <c r="I672" s="154">
        <v>0.29122599999999998</v>
      </c>
      <c r="J672" s="154">
        <v>0.72013199999999999</v>
      </c>
      <c r="K672" s="154">
        <v>0.72795399999999999</v>
      </c>
      <c r="L672" s="154">
        <v>0.270839</v>
      </c>
      <c r="M672" s="154">
        <v>9.6382999999999996E-2</v>
      </c>
      <c r="N672" s="154">
        <v>3.3459000000000003E-2</v>
      </c>
      <c r="O672" s="154">
        <v>3.3901000000000001E-2</v>
      </c>
      <c r="P672" s="11"/>
      <c r="Q672" s="29"/>
      <c r="R672" s="30"/>
    </row>
    <row r="673" spans="1:18" ht="12" customHeight="1">
      <c r="A673" s="10" t="s">
        <v>241</v>
      </c>
      <c r="B673" s="11" t="s">
        <v>242</v>
      </c>
      <c r="D673" s="154">
        <v>8.3322999999999994E-2</v>
      </c>
      <c r="E673" s="154">
        <v>7.5778999999999999E-2</v>
      </c>
      <c r="F673" s="154">
        <v>0.15501799999999999</v>
      </c>
      <c r="G673" s="154">
        <v>0.32359599999999999</v>
      </c>
      <c r="H673" s="154">
        <v>0.96487500000000004</v>
      </c>
      <c r="I673" s="154">
        <v>1.096017</v>
      </c>
      <c r="J673" s="154">
        <v>2.3944960000000002</v>
      </c>
      <c r="K673" s="154">
        <v>2.1300690000000002</v>
      </c>
      <c r="L673" s="154">
        <v>1.1283430000000001</v>
      </c>
      <c r="M673" s="154">
        <v>0.28067700000000001</v>
      </c>
      <c r="N673" s="154">
        <v>8.7042999999999995E-2</v>
      </c>
      <c r="O673" s="154">
        <v>0.14194200000000001</v>
      </c>
      <c r="P673" s="11"/>
      <c r="Q673" s="29"/>
      <c r="R673" s="30"/>
    </row>
    <row r="674" spans="1:18" ht="12" customHeight="1">
      <c r="A674" s="10" t="s">
        <v>243</v>
      </c>
      <c r="B674" s="11" t="s">
        <v>244</v>
      </c>
      <c r="D674" s="154">
        <v>0.115351</v>
      </c>
      <c r="E674" s="154">
        <v>0.13313</v>
      </c>
      <c r="F674" s="154">
        <v>0.16444400000000001</v>
      </c>
      <c r="G674" s="154">
        <v>0.25206000000000001</v>
      </c>
      <c r="H674" s="154">
        <v>0.39330199999999998</v>
      </c>
      <c r="I674" s="154">
        <v>0.43704599999999999</v>
      </c>
      <c r="J674" s="154">
        <v>0.80096900000000004</v>
      </c>
      <c r="K674" s="154">
        <v>0.82470100000000002</v>
      </c>
      <c r="L674" s="154">
        <v>0.46599699999999999</v>
      </c>
      <c r="M674" s="154">
        <v>0.28834199999999999</v>
      </c>
      <c r="N674" s="154">
        <v>0.11662400000000001</v>
      </c>
      <c r="O674" s="154">
        <v>0.13233600000000001</v>
      </c>
      <c r="P674" s="11"/>
      <c r="Q674" s="29"/>
      <c r="R674" s="30"/>
    </row>
    <row r="675" spans="1:18" ht="12" customHeight="1">
      <c r="A675" s="10" t="s">
        <v>245</v>
      </c>
      <c r="B675" s="11" t="s">
        <v>246</v>
      </c>
      <c r="D675" s="154">
        <v>2.2187999999999999E-2</v>
      </c>
      <c r="E675" s="154">
        <v>2.3463000000000001E-2</v>
      </c>
      <c r="F675" s="154">
        <v>3.3070000000000002E-2</v>
      </c>
      <c r="G675" s="154">
        <v>4.4948000000000002E-2</v>
      </c>
      <c r="H675" s="154">
        <v>7.2165000000000007E-2</v>
      </c>
      <c r="I675" s="154">
        <v>0.107225</v>
      </c>
      <c r="J675" s="154">
        <v>0.255386</v>
      </c>
      <c r="K675" s="154">
        <v>0.25224800000000003</v>
      </c>
      <c r="L675" s="154">
        <v>9.9862999999999993E-2</v>
      </c>
      <c r="M675" s="154">
        <v>4.3303000000000001E-2</v>
      </c>
      <c r="N675" s="154">
        <v>2.1326999999999999E-2</v>
      </c>
      <c r="O675" s="154">
        <v>2.5902000000000001E-2</v>
      </c>
      <c r="P675" s="11"/>
      <c r="Q675" s="29"/>
      <c r="R675" s="30"/>
    </row>
    <row r="676" spans="1:18" ht="12" customHeight="1">
      <c r="A676" s="10" t="s">
        <v>247</v>
      </c>
      <c r="B676" s="11" t="s">
        <v>248</v>
      </c>
      <c r="D676" s="154">
        <v>1.771093</v>
      </c>
      <c r="E676" s="154">
        <v>1.718432</v>
      </c>
      <c r="F676" s="154">
        <v>1.8267370000000001</v>
      </c>
      <c r="G676" s="154">
        <v>1.0115719999999999</v>
      </c>
      <c r="H676" s="154">
        <v>0.82632799999999995</v>
      </c>
      <c r="I676" s="154">
        <v>1.175486</v>
      </c>
      <c r="J676" s="154">
        <v>2.5681340000000001</v>
      </c>
      <c r="K676" s="154">
        <v>2.4460769999999998</v>
      </c>
      <c r="L676" s="154">
        <v>0.89658199999999999</v>
      </c>
      <c r="M676" s="154">
        <v>0.42424099999999998</v>
      </c>
      <c r="N676" s="154">
        <v>0.287632</v>
      </c>
      <c r="O676" s="154">
        <v>1.1956420000000001</v>
      </c>
      <c r="P676" s="11"/>
      <c r="Q676" s="29"/>
      <c r="R676" s="30"/>
    </row>
    <row r="677" spans="1:18" ht="12" customHeight="1">
      <c r="A677" s="10" t="s">
        <v>249</v>
      </c>
      <c r="B677" s="11" t="s">
        <v>521</v>
      </c>
      <c r="D677" s="154">
        <v>0.41029900000000002</v>
      </c>
      <c r="E677" s="154">
        <v>0.45257399999999998</v>
      </c>
      <c r="F677" s="154">
        <v>0.75109999999999999</v>
      </c>
      <c r="G677" s="154">
        <v>1.1827430000000001</v>
      </c>
      <c r="H677" s="154">
        <v>1.9114979999999999</v>
      </c>
      <c r="I677" s="154">
        <v>2.282969</v>
      </c>
      <c r="J677" s="154">
        <v>3.6762459999999999</v>
      </c>
      <c r="K677" s="154">
        <v>3.4774539999999998</v>
      </c>
      <c r="L677" s="154">
        <v>2.365856</v>
      </c>
      <c r="M677" s="154">
        <v>1.228461</v>
      </c>
      <c r="N677" s="154">
        <v>0.40284599999999998</v>
      </c>
      <c r="O677" s="154">
        <v>0.46422200000000002</v>
      </c>
      <c r="P677" s="11"/>
      <c r="Q677" s="29"/>
      <c r="R677" s="30"/>
    </row>
    <row r="678" spans="1:18" ht="12" customHeight="1">
      <c r="A678" s="10" t="s">
        <v>251</v>
      </c>
      <c r="B678" s="11" t="s">
        <v>250</v>
      </c>
      <c r="D678" s="154">
        <v>4.4939999999999997E-3</v>
      </c>
      <c r="E678" s="154">
        <v>5.1919999999999996E-3</v>
      </c>
      <c r="F678" s="154">
        <v>1.2048E-2</v>
      </c>
      <c r="G678" s="154">
        <v>7.3424000000000003E-2</v>
      </c>
      <c r="H678" s="154">
        <v>0.34723399999999999</v>
      </c>
      <c r="I678" s="154">
        <v>0.51129000000000002</v>
      </c>
      <c r="J678" s="154">
        <v>0.88333499999999998</v>
      </c>
      <c r="K678" s="154">
        <v>1.0906370000000001</v>
      </c>
      <c r="L678" s="154">
        <v>0.57953500000000002</v>
      </c>
      <c r="M678" s="154">
        <v>0.14987900000000001</v>
      </c>
      <c r="N678" s="154">
        <v>8.9110000000000005E-3</v>
      </c>
      <c r="O678" s="154">
        <v>6.5770000000000004E-3</v>
      </c>
      <c r="P678" s="11"/>
      <c r="Q678" s="29"/>
      <c r="R678" s="30"/>
    </row>
    <row r="679" spans="1:18" ht="12" customHeight="1">
      <c r="A679" s="10" t="s">
        <v>252</v>
      </c>
      <c r="B679" s="11" t="s">
        <v>253</v>
      </c>
      <c r="D679" s="154">
        <v>2.2856999999999999E-2</v>
      </c>
      <c r="E679" s="154">
        <v>1.8780000000000002E-2</v>
      </c>
      <c r="F679" s="154">
        <v>2.4272999999999999E-2</v>
      </c>
      <c r="G679" s="154">
        <v>1.7565999999999998E-2</v>
      </c>
      <c r="H679" s="154">
        <v>1.5602E-2</v>
      </c>
      <c r="I679" s="154">
        <v>1.4638999999999999E-2</v>
      </c>
      <c r="J679" s="154">
        <v>1.2312E-2</v>
      </c>
      <c r="K679" s="154">
        <v>6.6559999999999996E-3</v>
      </c>
      <c r="L679" s="154">
        <v>2.931E-3</v>
      </c>
      <c r="M679" s="154">
        <v>6.8230000000000001E-3</v>
      </c>
      <c r="N679" s="154">
        <v>1.9873999999999999E-2</v>
      </c>
      <c r="O679" s="154">
        <v>1.7666999999999999E-2</v>
      </c>
      <c r="P679" s="11"/>
      <c r="Q679" s="29"/>
      <c r="R679" s="30"/>
    </row>
    <row r="680" spans="1:18" ht="12" customHeight="1">
      <c r="A680" s="10" t="s">
        <v>254</v>
      </c>
      <c r="B680" s="11" t="s">
        <v>255</v>
      </c>
      <c r="D680" s="154">
        <v>2.3904999999999999E-2</v>
      </c>
      <c r="E680" s="154">
        <v>2.1156000000000001E-2</v>
      </c>
      <c r="F680" s="154">
        <v>1.9896E-2</v>
      </c>
      <c r="G680" s="154">
        <v>1.7756000000000001E-2</v>
      </c>
      <c r="H680" s="154">
        <v>1.269E-2</v>
      </c>
      <c r="I680" s="154">
        <v>1.1741E-2</v>
      </c>
      <c r="J680" s="154">
        <v>1.2484E-2</v>
      </c>
      <c r="K680" s="154">
        <v>8.2970000000000006E-3</v>
      </c>
      <c r="L680" s="154">
        <v>3.3869999999999998E-3</v>
      </c>
      <c r="M680" s="154">
        <v>6.6990000000000001E-3</v>
      </c>
      <c r="N680" s="154">
        <v>1.6622000000000001E-2</v>
      </c>
      <c r="O680" s="154">
        <v>2.2450000000000001E-2</v>
      </c>
      <c r="P680" s="11"/>
      <c r="Q680" s="29"/>
      <c r="R680" s="30"/>
    </row>
    <row r="681" spans="1:18" ht="12" customHeight="1">
      <c r="A681" s="10" t="s">
        <v>256</v>
      </c>
      <c r="B681" s="11" t="s">
        <v>257</v>
      </c>
      <c r="D681" s="155" t="s">
        <v>546</v>
      </c>
      <c r="E681" s="155" t="s">
        <v>546</v>
      </c>
      <c r="F681" s="155" t="s">
        <v>546</v>
      </c>
      <c r="G681" s="155" t="s">
        <v>546</v>
      </c>
      <c r="H681" s="155" t="s">
        <v>546</v>
      </c>
      <c r="I681" s="155" t="s">
        <v>546</v>
      </c>
      <c r="J681" s="155" t="s">
        <v>546</v>
      </c>
      <c r="K681" s="155" t="s">
        <v>546</v>
      </c>
      <c r="L681" s="155" t="s">
        <v>546</v>
      </c>
      <c r="M681" s="155" t="s">
        <v>546</v>
      </c>
      <c r="N681" s="155" t="s">
        <v>546</v>
      </c>
      <c r="O681" s="155" t="s">
        <v>546</v>
      </c>
      <c r="P681" s="11"/>
      <c r="Q681" s="29"/>
      <c r="R681" s="30"/>
    </row>
    <row r="682" spans="1:18" ht="12" customHeight="1">
      <c r="A682" s="10" t="s">
        <v>258</v>
      </c>
      <c r="B682" s="11" t="s">
        <v>259</v>
      </c>
      <c r="D682" s="154">
        <v>7.1000000000000004E-3</v>
      </c>
      <c r="E682" s="154">
        <v>7.0429999999999998E-3</v>
      </c>
      <c r="F682" s="154">
        <v>7.5269999999999998E-3</v>
      </c>
      <c r="G682" s="154">
        <v>8.9180000000000006E-3</v>
      </c>
      <c r="H682" s="154">
        <v>9.3380000000000008E-3</v>
      </c>
      <c r="I682" s="154">
        <v>7.5700000000000003E-3</v>
      </c>
      <c r="J682" s="154">
        <v>1.2493000000000001E-2</v>
      </c>
      <c r="K682" s="154">
        <v>1.0527E-2</v>
      </c>
      <c r="L682" s="154">
        <v>1.5620999999999999E-2</v>
      </c>
      <c r="M682" s="154">
        <v>1.3759E-2</v>
      </c>
      <c r="N682" s="154">
        <v>1.4217E-2</v>
      </c>
      <c r="O682" s="154">
        <v>9.443E-3</v>
      </c>
      <c r="P682" s="11"/>
      <c r="Q682" s="29"/>
      <c r="R682" s="30"/>
    </row>
    <row r="683" spans="1:18" ht="12" customHeight="1">
      <c r="A683" s="10" t="s">
        <v>260</v>
      </c>
      <c r="B683" s="11" t="s">
        <v>18</v>
      </c>
      <c r="D683" s="155" t="s">
        <v>546</v>
      </c>
      <c r="E683" s="155" t="s">
        <v>546</v>
      </c>
      <c r="F683" s="155" t="s">
        <v>546</v>
      </c>
      <c r="G683" s="155" t="s">
        <v>546</v>
      </c>
      <c r="H683" s="155" t="s">
        <v>546</v>
      </c>
      <c r="I683" s="155" t="s">
        <v>546</v>
      </c>
      <c r="J683" s="155" t="s">
        <v>546</v>
      </c>
      <c r="K683" s="155" t="s">
        <v>546</v>
      </c>
      <c r="L683" s="155" t="s">
        <v>546</v>
      </c>
      <c r="M683" s="155" t="s">
        <v>546</v>
      </c>
      <c r="N683" s="155" t="s">
        <v>546</v>
      </c>
      <c r="O683" s="155" t="s">
        <v>546</v>
      </c>
      <c r="P683" s="11"/>
      <c r="Q683" s="29"/>
      <c r="R683" s="30"/>
    </row>
    <row r="684" spans="1:18" ht="12" customHeight="1">
      <c r="A684" s="10" t="s">
        <v>522</v>
      </c>
      <c r="B684" s="11" t="s">
        <v>523</v>
      </c>
      <c r="D684" s="154">
        <v>1.4702E-2</v>
      </c>
      <c r="E684" s="154">
        <v>1.6469999999999999E-2</v>
      </c>
      <c r="F684" s="154">
        <v>2.8431000000000001E-2</v>
      </c>
      <c r="G684" s="154">
        <v>4.8873E-2</v>
      </c>
      <c r="H684" s="154">
        <v>7.8410999999999995E-2</v>
      </c>
      <c r="I684" s="154">
        <v>8.5185999999999998E-2</v>
      </c>
      <c r="J684" s="154">
        <v>0.149754</v>
      </c>
      <c r="K684" s="154">
        <v>0.20454900000000001</v>
      </c>
      <c r="L684" s="154">
        <v>8.8144E-2</v>
      </c>
      <c r="M684" s="154">
        <v>4.9688999999999997E-2</v>
      </c>
      <c r="N684" s="154">
        <v>2.1895999999999999E-2</v>
      </c>
      <c r="O684" s="154">
        <v>2.035E-2</v>
      </c>
      <c r="P684" s="11"/>
      <c r="Q684" s="29"/>
      <c r="R684" s="30"/>
    </row>
    <row r="685" spans="1:18" ht="12" customHeight="1">
      <c r="A685" s="10" t="s">
        <v>261</v>
      </c>
      <c r="B685" s="11" t="s">
        <v>7</v>
      </c>
      <c r="D685" s="154">
        <v>0.21251700000000001</v>
      </c>
      <c r="E685" s="154">
        <v>0.27936100000000003</v>
      </c>
      <c r="F685" s="154">
        <v>0.78853099999999998</v>
      </c>
      <c r="G685" s="154">
        <v>2.0161229999999999</v>
      </c>
      <c r="H685" s="154">
        <v>5.9358639999999996</v>
      </c>
      <c r="I685" s="154">
        <v>11.244714999999999</v>
      </c>
      <c r="J685" s="154">
        <v>22.920729000000001</v>
      </c>
      <c r="K685" s="154">
        <v>24.32197</v>
      </c>
      <c r="L685" s="154">
        <v>10.132820000000001</v>
      </c>
      <c r="M685" s="154">
        <v>2.702556</v>
      </c>
      <c r="N685" s="154">
        <v>0.41773399999999999</v>
      </c>
      <c r="O685" s="154">
        <v>0.34648800000000002</v>
      </c>
      <c r="P685" s="11"/>
      <c r="Q685" s="29"/>
      <c r="R685" s="30"/>
    </row>
    <row r="686" spans="1:18" ht="12" customHeight="1">
      <c r="A686" s="10" t="s">
        <v>524</v>
      </c>
      <c r="B686" s="11" t="s">
        <v>525</v>
      </c>
      <c r="D686" s="154">
        <v>9.4704999999999998E-2</v>
      </c>
      <c r="E686" s="154">
        <v>8.9810000000000001E-2</v>
      </c>
      <c r="F686" s="154">
        <v>0.12578300000000001</v>
      </c>
      <c r="G686" s="154">
        <v>0.19516500000000001</v>
      </c>
      <c r="H686" s="154">
        <v>0.212565</v>
      </c>
      <c r="I686" s="154">
        <v>0.215116</v>
      </c>
      <c r="J686" s="154">
        <v>0.230961</v>
      </c>
      <c r="K686" s="154">
        <v>0.25959399999999999</v>
      </c>
      <c r="L686" s="154">
        <v>0.22434899999999999</v>
      </c>
      <c r="M686" s="154">
        <v>0.196355</v>
      </c>
      <c r="N686" s="154">
        <v>0.128944</v>
      </c>
      <c r="O686" s="154">
        <v>0.16273399999999999</v>
      </c>
      <c r="P686" s="11"/>
      <c r="Q686" s="29"/>
      <c r="R686" s="30"/>
    </row>
    <row r="687" spans="1:18" ht="12" customHeight="1">
      <c r="A687" s="10" t="s">
        <v>526</v>
      </c>
      <c r="B687" s="11" t="s">
        <v>527</v>
      </c>
      <c r="D687" s="154">
        <v>2.1231E-2</v>
      </c>
      <c r="E687" s="154">
        <v>2.9786E-2</v>
      </c>
      <c r="F687" s="154">
        <v>3.2398000000000003E-2</v>
      </c>
      <c r="G687" s="154">
        <v>4.8913999999999999E-2</v>
      </c>
      <c r="H687" s="154">
        <v>5.7430000000000002E-2</v>
      </c>
      <c r="I687" s="154">
        <v>6.7558999999999994E-2</v>
      </c>
      <c r="J687" s="154">
        <v>0.123803</v>
      </c>
      <c r="K687" s="154">
        <v>0.14085600000000001</v>
      </c>
      <c r="L687" s="154">
        <v>6.2028E-2</v>
      </c>
      <c r="M687" s="154">
        <v>4.6554999999999999E-2</v>
      </c>
      <c r="N687" s="154">
        <v>3.0287999999999999E-2</v>
      </c>
      <c r="O687" s="154">
        <v>3.2542000000000001E-2</v>
      </c>
      <c r="P687" s="11"/>
      <c r="Q687" s="29"/>
      <c r="R687" s="30"/>
    </row>
    <row r="688" spans="1:18" ht="12" customHeight="1">
      <c r="A688" s="10" t="s">
        <v>262</v>
      </c>
      <c r="B688" s="11" t="s">
        <v>263</v>
      </c>
      <c r="D688" s="154">
        <v>0.279779</v>
      </c>
      <c r="E688" s="154">
        <v>0.37565700000000002</v>
      </c>
      <c r="F688" s="154">
        <v>0.44006400000000001</v>
      </c>
      <c r="G688" s="154">
        <v>0.50951999999999997</v>
      </c>
      <c r="H688" s="154">
        <v>0.80618400000000001</v>
      </c>
      <c r="I688" s="154">
        <v>0.74564399999999997</v>
      </c>
      <c r="J688" s="154">
        <v>1.119661</v>
      </c>
      <c r="K688" s="154">
        <v>1.1512009999999999</v>
      </c>
      <c r="L688" s="154">
        <v>0.84338400000000002</v>
      </c>
      <c r="M688" s="154">
        <v>0.55903000000000003</v>
      </c>
      <c r="N688" s="154">
        <v>0.27206200000000003</v>
      </c>
      <c r="O688" s="154">
        <v>0.25984099999999999</v>
      </c>
      <c r="P688" s="11"/>
      <c r="Q688" s="29"/>
      <c r="R688" s="30"/>
    </row>
    <row r="689" spans="1:18" ht="12" customHeight="1">
      <c r="A689" s="10" t="s">
        <v>264</v>
      </c>
      <c r="B689" s="11" t="s">
        <v>528</v>
      </c>
      <c r="D689" s="154">
        <v>0.18293400000000001</v>
      </c>
      <c r="E689" s="154">
        <v>0.27916299999999999</v>
      </c>
      <c r="F689" s="154">
        <v>0.233601</v>
      </c>
      <c r="G689" s="154">
        <v>8.2732E-2</v>
      </c>
      <c r="H689" s="154">
        <v>4.2917999999999998E-2</v>
      </c>
      <c r="I689" s="154">
        <v>8.6310999999999999E-2</v>
      </c>
      <c r="J689" s="154">
        <v>0.18746099999999999</v>
      </c>
      <c r="K689" s="154">
        <v>0.176735</v>
      </c>
      <c r="L689" s="154">
        <v>8.5500000000000007E-2</v>
      </c>
      <c r="M689" s="154">
        <v>3.1829000000000003E-2</v>
      </c>
      <c r="N689" s="154">
        <v>1.7707000000000001E-2</v>
      </c>
      <c r="O689" s="154">
        <v>0.124806</v>
      </c>
      <c r="P689" s="11"/>
      <c r="Q689" s="29"/>
      <c r="R689" s="30"/>
    </row>
    <row r="690" spans="1:18" ht="12" customHeight="1">
      <c r="A690" s="10" t="s">
        <v>265</v>
      </c>
      <c r="B690" s="11" t="s">
        <v>266</v>
      </c>
      <c r="D690" s="154">
        <v>0.11348800000000001</v>
      </c>
      <c r="E690" s="154">
        <v>0.150063</v>
      </c>
      <c r="F690" s="154">
        <v>0.29707299999999998</v>
      </c>
      <c r="G690" s="154">
        <v>0.56089699999999998</v>
      </c>
      <c r="H690" s="154">
        <v>0.93545599999999995</v>
      </c>
      <c r="I690" s="154">
        <v>0.83194100000000004</v>
      </c>
      <c r="J690" s="154">
        <v>1.2482569999999999</v>
      </c>
      <c r="K690" s="154">
        <v>1.19737</v>
      </c>
      <c r="L690" s="154">
        <v>1.023536</v>
      </c>
      <c r="M690" s="154">
        <v>0.687334</v>
      </c>
      <c r="N690" s="154">
        <v>0.20147399999999999</v>
      </c>
      <c r="O690" s="154">
        <v>0.14738799999999999</v>
      </c>
      <c r="P690" s="11"/>
      <c r="Q690" s="29"/>
      <c r="R690" s="30"/>
    </row>
    <row r="691" spans="1:18" ht="12" customHeight="1">
      <c r="A691" s="10" t="s">
        <v>267</v>
      </c>
      <c r="B691" s="11" t="s">
        <v>268</v>
      </c>
      <c r="D691" s="154">
        <v>1.2644219999999999</v>
      </c>
      <c r="E691" s="154">
        <v>1.515031</v>
      </c>
      <c r="F691" s="154">
        <v>1.8318700000000001</v>
      </c>
      <c r="G691" s="154">
        <v>2.263951</v>
      </c>
      <c r="H691" s="154">
        <v>3.019755</v>
      </c>
      <c r="I691" s="154">
        <v>2.987962</v>
      </c>
      <c r="J691" s="154">
        <v>4.0405670000000002</v>
      </c>
      <c r="K691" s="154">
        <v>4.0111080000000001</v>
      </c>
      <c r="L691" s="154">
        <v>3.1345969999999999</v>
      </c>
      <c r="M691" s="154">
        <v>2.3776459999999999</v>
      </c>
      <c r="N691" s="154">
        <v>1.3389</v>
      </c>
      <c r="O691" s="154">
        <v>1.463902</v>
      </c>
      <c r="P691" s="11"/>
      <c r="Q691" s="29"/>
      <c r="R691" s="30"/>
    </row>
    <row r="692" spans="1:18" ht="12" customHeight="1">
      <c r="A692" s="10" t="s">
        <v>288</v>
      </c>
      <c r="B692" s="11" t="s">
        <v>289</v>
      </c>
      <c r="D692" s="154">
        <v>3.1015999999999998E-2</v>
      </c>
      <c r="E692" s="154">
        <v>2.7640000000000001E-2</v>
      </c>
      <c r="F692" s="154">
        <v>3.3300999999999997E-2</v>
      </c>
      <c r="G692" s="154">
        <v>4.8675999999999997E-2</v>
      </c>
      <c r="H692" s="154">
        <v>0.10697</v>
      </c>
      <c r="I692" s="154">
        <v>0.13744500000000001</v>
      </c>
      <c r="J692" s="154">
        <v>0.22420699999999999</v>
      </c>
      <c r="K692" s="154">
        <v>0.17879100000000001</v>
      </c>
      <c r="L692" s="154">
        <v>0.14512800000000001</v>
      </c>
      <c r="M692" s="154">
        <v>6.7330000000000001E-2</v>
      </c>
      <c r="N692" s="154">
        <v>5.5240999999999998E-2</v>
      </c>
      <c r="O692" s="154">
        <v>2.8341999999999999E-2</v>
      </c>
      <c r="P692" s="11"/>
      <c r="Q692" s="29"/>
      <c r="R692" s="30"/>
    </row>
    <row r="693" spans="1:18" ht="12" customHeight="1">
      <c r="A693" s="10" t="s">
        <v>290</v>
      </c>
      <c r="B693" s="11" t="s">
        <v>291</v>
      </c>
      <c r="D693" s="154">
        <v>1.0039999999999999E-3</v>
      </c>
      <c r="E693" s="154">
        <v>1.348E-3</v>
      </c>
      <c r="F693" s="154">
        <v>1.689E-3</v>
      </c>
      <c r="G693" s="154">
        <v>2.065E-3</v>
      </c>
      <c r="H693" s="154">
        <v>4.6979999999999999E-3</v>
      </c>
      <c r="I693" s="154">
        <v>4.8809999999999999E-3</v>
      </c>
      <c r="J693" s="154">
        <v>7.9550000000000003E-3</v>
      </c>
      <c r="K693" s="154">
        <v>7.8259999999999996E-3</v>
      </c>
      <c r="L693" s="154">
        <v>5.2719999999999998E-3</v>
      </c>
      <c r="M693" s="154">
        <v>2.9610000000000001E-3</v>
      </c>
      <c r="N693" s="154">
        <v>1.7730000000000001E-3</v>
      </c>
      <c r="O693" s="154">
        <v>8.6300000000000005E-4</v>
      </c>
      <c r="P693" s="11"/>
      <c r="Q693" s="29"/>
      <c r="R693" s="30"/>
    </row>
    <row r="694" spans="1:18" ht="12" customHeight="1">
      <c r="A694" s="10" t="s">
        <v>292</v>
      </c>
      <c r="B694" s="11" t="s">
        <v>293</v>
      </c>
      <c r="D694" s="154">
        <v>0.157495</v>
      </c>
      <c r="E694" s="154">
        <v>0.20037199999999999</v>
      </c>
      <c r="F694" s="154">
        <v>0.41385100000000002</v>
      </c>
      <c r="G694" s="154">
        <v>0.92080099999999998</v>
      </c>
      <c r="H694" s="154">
        <v>1.446264</v>
      </c>
      <c r="I694" s="154">
        <v>1.564109</v>
      </c>
      <c r="J694" s="154">
        <v>1.8181050000000001</v>
      </c>
      <c r="K694" s="154">
        <v>1.6084309999999999</v>
      </c>
      <c r="L694" s="154">
        <v>1.6880649999999999</v>
      </c>
      <c r="M694" s="154">
        <v>1.2760990000000001</v>
      </c>
      <c r="N694" s="154">
        <v>0.34449400000000002</v>
      </c>
      <c r="O694" s="154">
        <v>0.20427300000000001</v>
      </c>
      <c r="P694" s="11"/>
      <c r="Q694" s="29"/>
      <c r="R694" s="30"/>
    </row>
    <row r="695" spans="1:18" ht="12" customHeight="1">
      <c r="A695" s="10" t="s">
        <v>294</v>
      </c>
      <c r="B695" s="11" t="s">
        <v>295</v>
      </c>
      <c r="D695" s="154">
        <v>6.1974000000000001E-2</v>
      </c>
      <c r="E695" s="154">
        <v>7.4818999999999997E-2</v>
      </c>
      <c r="F695" s="154">
        <v>0.12972400000000001</v>
      </c>
      <c r="G695" s="154">
        <v>0.37241299999999999</v>
      </c>
      <c r="H695" s="154">
        <v>0.76339400000000002</v>
      </c>
      <c r="I695" s="154">
        <v>0.80461199999999999</v>
      </c>
      <c r="J695" s="154">
        <v>0.997892</v>
      </c>
      <c r="K695" s="154">
        <v>0.87852699999999995</v>
      </c>
      <c r="L695" s="154">
        <v>1.0157970000000001</v>
      </c>
      <c r="M695" s="154">
        <v>0.70220800000000005</v>
      </c>
      <c r="N695" s="154">
        <v>0.14096400000000001</v>
      </c>
      <c r="O695" s="154">
        <v>8.9232000000000006E-2</v>
      </c>
      <c r="P695" s="11"/>
      <c r="Q695" s="29"/>
      <c r="R695" s="30"/>
    </row>
    <row r="696" spans="1:18" ht="12" customHeight="1">
      <c r="A696" s="10" t="s">
        <v>296</v>
      </c>
      <c r="B696" s="11" t="s">
        <v>297</v>
      </c>
      <c r="D696" s="154">
        <v>8.3409999999999995E-3</v>
      </c>
      <c r="E696" s="154">
        <v>9.698E-3</v>
      </c>
      <c r="F696" s="154">
        <v>1.5744000000000001E-2</v>
      </c>
      <c r="G696" s="154">
        <v>3.3055000000000001E-2</v>
      </c>
      <c r="H696" s="154">
        <v>5.5684999999999998E-2</v>
      </c>
      <c r="I696" s="154">
        <v>6.2227999999999999E-2</v>
      </c>
      <c r="J696" s="154">
        <v>5.9468E-2</v>
      </c>
      <c r="K696" s="154">
        <v>5.4243E-2</v>
      </c>
      <c r="L696" s="154">
        <v>7.2016999999999998E-2</v>
      </c>
      <c r="M696" s="154">
        <v>5.3150000000000003E-2</v>
      </c>
      <c r="N696" s="154">
        <v>1.4836999999999999E-2</v>
      </c>
      <c r="O696" s="154">
        <v>9.4590000000000004E-3</v>
      </c>
      <c r="P696" s="11"/>
      <c r="Q696" s="29"/>
      <c r="R696" s="30"/>
    </row>
    <row r="697" spans="1:18" ht="12" customHeight="1">
      <c r="A697" s="10" t="s">
        <v>298</v>
      </c>
      <c r="B697" s="11" t="s">
        <v>299</v>
      </c>
      <c r="D697" s="154">
        <v>8.2249999999999997E-3</v>
      </c>
      <c r="E697" s="154">
        <v>8.6320000000000008E-3</v>
      </c>
      <c r="F697" s="154">
        <v>1.468E-2</v>
      </c>
      <c r="G697" s="154">
        <v>3.9842000000000002E-2</v>
      </c>
      <c r="H697" s="154">
        <v>0.16361400000000001</v>
      </c>
      <c r="I697" s="154">
        <v>0.25373299999999999</v>
      </c>
      <c r="J697" s="154">
        <v>0.34343099999999999</v>
      </c>
      <c r="K697" s="154">
        <v>0.29191400000000001</v>
      </c>
      <c r="L697" s="154">
        <v>0.30143900000000001</v>
      </c>
      <c r="M697" s="154">
        <v>0.14791399999999999</v>
      </c>
      <c r="N697" s="154">
        <v>1.8682000000000001E-2</v>
      </c>
      <c r="O697" s="154">
        <v>1.4002000000000001E-2</v>
      </c>
      <c r="P697" s="11"/>
      <c r="Q697" s="29"/>
      <c r="R697" s="30"/>
    </row>
    <row r="698" spans="1:18" ht="12" customHeight="1">
      <c r="A698" s="10" t="s">
        <v>300</v>
      </c>
      <c r="B698" s="11" t="s">
        <v>301</v>
      </c>
      <c r="D698" s="154">
        <v>0.13852800000000001</v>
      </c>
      <c r="E698" s="154">
        <v>0.16542999999999999</v>
      </c>
      <c r="F698" s="154">
        <v>0.33610400000000001</v>
      </c>
      <c r="G698" s="154">
        <v>0.72626000000000002</v>
      </c>
      <c r="H698" s="154">
        <v>1.0756840000000001</v>
      </c>
      <c r="I698" s="154">
        <v>1.0816619999999999</v>
      </c>
      <c r="J698" s="154">
        <v>1.2691699999999999</v>
      </c>
      <c r="K698" s="154">
        <v>1.1595249999999999</v>
      </c>
      <c r="L698" s="154">
        <v>1.2545999999999999</v>
      </c>
      <c r="M698" s="154">
        <v>1.0637099999999999</v>
      </c>
      <c r="N698" s="154">
        <v>0.27400999999999998</v>
      </c>
      <c r="O698" s="154">
        <v>0.15268599999999999</v>
      </c>
      <c r="P698" s="11"/>
      <c r="Q698" s="29"/>
      <c r="R698" s="30"/>
    </row>
    <row r="699" spans="1:18" ht="12" customHeight="1">
      <c r="A699" s="10" t="s">
        <v>302</v>
      </c>
      <c r="B699" s="11" t="s">
        <v>303</v>
      </c>
      <c r="D699" s="154">
        <v>1.6886000000000002E-2</v>
      </c>
      <c r="E699" s="154">
        <v>1.9966999999999999E-2</v>
      </c>
      <c r="F699" s="154">
        <v>4.2582000000000002E-2</v>
      </c>
      <c r="G699" s="154">
        <v>0.272559</v>
      </c>
      <c r="H699" s="154">
        <v>0.93286199999999997</v>
      </c>
      <c r="I699" s="154">
        <v>1.2180530000000001</v>
      </c>
      <c r="J699" s="154">
        <v>1.5826709999999999</v>
      </c>
      <c r="K699" s="154">
        <v>1.4317029999999999</v>
      </c>
      <c r="L699" s="154">
        <v>1.522041</v>
      </c>
      <c r="M699" s="154">
        <v>0.86885999999999997</v>
      </c>
      <c r="N699" s="154">
        <v>4.2793999999999999E-2</v>
      </c>
      <c r="O699" s="154">
        <v>2.5684999999999999E-2</v>
      </c>
      <c r="P699" s="11"/>
      <c r="Q699" s="29"/>
      <c r="R699" s="30"/>
    </row>
    <row r="700" spans="1:18" ht="12" customHeight="1">
      <c r="A700" s="10" t="s">
        <v>270</v>
      </c>
      <c r="B700" s="11" t="s">
        <v>271</v>
      </c>
      <c r="D700" s="154">
        <v>2.1054789999999999</v>
      </c>
      <c r="E700" s="154">
        <v>2.6916950000000002</v>
      </c>
      <c r="F700" s="154">
        <v>2.1432060000000002</v>
      </c>
      <c r="G700" s="154">
        <v>1.099529</v>
      </c>
      <c r="H700" s="154">
        <v>2.085267</v>
      </c>
      <c r="I700" s="154">
        <v>2.5695000000000001</v>
      </c>
      <c r="J700" s="154">
        <v>3.2761909999999999</v>
      </c>
      <c r="K700" s="154">
        <v>3.0439769999999999</v>
      </c>
      <c r="L700" s="154">
        <v>3.1709890000000001</v>
      </c>
      <c r="M700" s="154">
        <v>2.413554</v>
      </c>
      <c r="N700" s="154">
        <v>0.42336400000000002</v>
      </c>
      <c r="O700" s="154">
        <v>1.529949</v>
      </c>
      <c r="P700" s="11"/>
      <c r="Q700" s="29"/>
      <c r="R700" s="30"/>
    </row>
    <row r="701" spans="1:18" ht="12" customHeight="1">
      <c r="A701" s="10" t="s">
        <v>272</v>
      </c>
      <c r="B701" s="11" t="s">
        <v>273</v>
      </c>
      <c r="D701" s="154">
        <v>0.834538</v>
      </c>
      <c r="E701" s="154">
        <v>1.0717589999999999</v>
      </c>
      <c r="F701" s="154">
        <v>0.80974999999999997</v>
      </c>
      <c r="G701" s="154">
        <v>0.33363500000000001</v>
      </c>
      <c r="H701" s="154">
        <v>0.64031899999999997</v>
      </c>
      <c r="I701" s="154">
        <v>0.77381100000000003</v>
      </c>
      <c r="J701" s="154">
        <v>1.2086129999999999</v>
      </c>
      <c r="K701" s="154">
        <v>1.108006</v>
      </c>
      <c r="L701" s="154">
        <v>0.84702699999999997</v>
      </c>
      <c r="M701" s="154">
        <v>0.42988599999999999</v>
      </c>
      <c r="N701" s="154">
        <v>8.5039000000000003E-2</v>
      </c>
      <c r="O701" s="154">
        <v>0.47685499999999997</v>
      </c>
      <c r="P701" s="11"/>
      <c r="Q701" s="29"/>
      <c r="R701" s="30"/>
    </row>
    <row r="702" spans="1:18" ht="12" customHeight="1">
      <c r="A702" s="10" t="s">
        <v>274</v>
      </c>
      <c r="B702" s="11" t="s">
        <v>275</v>
      </c>
      <c r="D702" s="154">
        <v>0.96333199999999997</v>
      </c>
      <c r="E702" s="154">
        <v>1.2973950000000001</v>
      </c>
      <c r="F702" s="154">
        <v>1.9281060000000001</v>
      </c>
      <c r="G702" s="154">
        <v>2.8302740000000002</v>
      </c>
      <c r="H702" s="154">
        <v>6.1346410000000002</v>
      </c>
      <c r="I702" s="154">
        <v>6.4694120000000002</v>
      </c>
      <c r="J702" s="154">
        <v>10.001389</v>
      </c>
      <c r="K702" s="154">
        <v>10.202190999999999</v>
      </c>
      <c r="L702" s="154">
        <v>6.512715</v>
      </c>
      <c r="M702" s="154">
        <v>3.2220949999999999</v>
      </c>
      <c r="N702" s="154">
        <v>1.182204</v>
      </c>
      <c r="O702" s="154">
        <v>1.0347329999999999</v>
      </c>
      <c r="P702" s="11"/>
      <c r="Q702" s="29"/>
      <c r="R702" s="30"/>
    </row>
    <row r="703" spans="1:18" ht="12" customHeight="1">
      <c r="A703" s="10" t="s">
        <v>276</v>
      </c>
      <c r="B703" s="11" t="s">
        <v>277</v>
      </c>
      <c r="D703" s="154">
        <v>0.15251500000000001</v>
      </c>
      <c r="E703" s="154">
        <v>0.16079099999999999</v>
      </c>
      <c r="F703" s="154">
        <v>0.19227</v>
      </c>
      <c r="G703" s="154">
        <v>0.21607699999999999</v>
      </c>
      <c r="H703" s="154">
        <v>0.65958499999999998</v>
      </c>
      <c r="I703" s="154">
        <v>0.80634700000000004</v>
      </c>
      <c r="J703" s="154">
        <v>1.305296</v>
      </c>
      <c r="K703" s="154">
        <v>1.3113600000000001</v>
      </c>
      <c r="L703" s="154">
        <v>0.69367800000000002</v>
      </c>
      <c r="M703" s="154">
        <v>0.2525</v>
      </c>
      <c r="N703" s="154">
        <v>0.12959200000000001</v>
      </c>
      <c r="O703" s="154">
        <v>0.13247200000000001</v>
      </c>
      <c r="P703" s="11"/>
      <c r="Q703" s="29"/>
      <c r="R703" s="30"/>
    </row>
    <row r="704" spans="1:18" ht="12" customHeight="1">
      <c r="A704" s="10" t="s">
        <v>278</v>
      </c>
      <c r="B704" s="11" t="s">
        <v>279</v>
      </c>
      <c r="D704" s="154">
        <v>0.28807100000000002</v>
      </c>
      <c r="E704" s="154">
        <v>0.30290600000000001</v>
      </c>
      <c r="F704" s="154">
        <v>0.51571900000000004</v>
      </c>
      <c r="G704" s="154">
        <v>0.67782799999999999</v>
      </c>
      <c r="H704" s="154">
        <v>1.2589539999999999</v>
      </c>
      <c r="I704" s="154">
        <v>1.4151290000000001</v>
      </c>
      <c r="J704" s="154">
        <v>2.6063170000000002</v>
      </c>
      <c r="K704" s="154">
        <v>2.2877190000000001</v>
      </c>
      <c r="L704" s="154">
        <v>1.4481120000000001</v>
      </c>
      <c r="M704" s="154">
        <v>0.70722200000000002</v>
      </c>
      <c r="N704" s="154">
        <v>0.40533999999999998</v>
      </c>
      <c r="O704" s="154">
        <v>0.30231000000000002</v>
      </c>
      <c r="P704" s="11"/>
      <c r="Q704" s="29"/>
      <c r="R704" s="30"/>
    </row>
    <row r="705" spans="1:18" ht="12" customHeight="1">
      <c r="A705" s="10" t="s">
        <v>280</v>
      </c>
      <c r="B705" s="11" t="s">
        <v>281</v>
      </c>
      <c r="D705" s="154">
        <v>0.55548900000000001</v>
      </c>
      <c r="E705" s="154">
        <v>0.59813099999999997</v>
      </c>
      <c r="F705" s="154">
        <v>1.1304019999999999</v>
      </c>
      <c r="G705" s="154">
        <v>1.851062</v>
      </c>
      <c r="H705" s="154">
        <v>3.318333</v>
      </c>
      <c r="I705" s="154">
        <v>3.1461950000000001</v>
      </c>
      <c r="J705" s="154">
        <v>4.4571969999999999</v>
      </c>
      <c r="K705" s="154">
        <v>4.0728669999999996</v>
      </c>
      <c r="L705" s="154">
        <v>3.5576449999999999</v>
      </c>
      <c r="M705" s="154">
        <v>2.4163450000000002</v>
      </c>
      <c r="N705" s="154">
        <v>0.85320600000000002</v>
      </c>
      <c r="O705" s="154">
        <v>0.66435500000000003</v>
      </c>
      <c r="P705" s="11"/>
      <c r="Q705" s="29"/>
      <c r="R705" s="30"/>
    </row>
    <row r="706" spans="1:18" ht="12" customHeight="1">
      <c r="A706" s="10" t="s">
        <v>282</v>
      </c>
      <c r="B706" s="11" t="s">
        <v>283</v>
      </c>
      <c r="D706" s="154">
        <v>4.3298999999999997E-2</v>
      </c>
      <c r="E706" s="154">
        <v>4.8369000000000002E-2</v>
      </c>
      <c r="F706" s="154">
        <v>8.1646999999999997E-2</v>
      </c>
      <c r="G706" s="154">
        <v>0.17233999999999999</v>
      </c>
      <c r="H706" s="154">
        <v>0.28248000000000001</v>
      </c>
      <c r="I706" s="154">
        <v>0.28541</v>
      </c>
      <c r="J706" s="154">
        <v>0.37737999999999999</v>
      </c>
      <c r="K706" s="154">
        <v>0.35709400000000002</v>
      </c>
      <c r="L706" s="154">
        <v>0.31025599999999998</v>
      </c>
      <c r="M706" s="154">
        <v>0.25579499999999999</v>
      </c>
      <c r="N706" s="154">
        <v>9.7604999999999997E-2</v>
      </c>
      <c r="O706" s="154">
        <v>7.2607000000000005E-2</v>
      </c>
      <c r="P706" s="11"/>
      <c r="Q706" s="29"/>
      <c r="R706" s="30"/>
    </row>
    <row r="707" spans="1:18" ht="12" customHeight="1">
      <c r="A707" s="10" t="s">
        <v>284</v>
      </c>
      <c r="B707" s="11" t="s">
        <v>285</v>
      </c>
      <c r="D707" s="154">
        <v>4.0214E-2</v>
      </c>
      <c r="E707" s="154">
        <v>3.9E-2</v>
      </c>
      <c r="F707" s="154">
        <v>5.2918E-2</v>
      </c>
      <c r="G707" s="154">
        <v>8.1244999999999998E-2</v>
      </c>
      <c r="H707" s="154">
        <v>0.180835</v>
      </c>
      <c r="I707" s="154">
        <v>0.27824100000000002</v>
      </c>
      <c r="J707" s="154">
        <v>0.41083799999999998</v>
      </c>
      <c r="K707" s="154">
        <v>0.34995500000000002</v>
      </c>
      <c r="L707" s="154">
        <v>0.24979199999999999</v>
      </c>
      <c r="M707" s="154">
        <v>0.110489</v>
      </c>
      <c r="N707" s="154">
        <v>6.2467000000000002E-2</v>
      </c>
      <c r="O707" s="154">
        <v>5.3199000000000003E-2</v>
      </c>
      <c r="P707" s="11"/>
      <c r="Q707" s="29"/>
      <c r="R707" s="30"/>
    </row>
    <row r="708" spans="1:18" ht="12" customHeight="1">
      <c r="A708" s="10" t="s">
        <v>286</v>
      </c>
      <c r="B708" s="11" t="s">
        <v>287</v>
      </c>
      <c r="D708" s="154">
        <v>1.4311179999999999</v>
      </c>
      <c r="E708" s="154">
        <v>1.9071039999999999</v>
      </c>
      <c r="F708" s="154">
        <v>2.5332189999999999</v>
      </c>
      <c r="G708" s="154">
        <v>3.0891229999999998</v>
      </c>
      <c r="H708" s="154">
        <v>3.6575229999999999</v>
      </c>
      <c r="I708" s="154">
        <v>3.59612</v>
      </c>
      <c r="J708" s="154">
        <v>3.9426290000000002</v>
      </c>
      <c r="K708" s="154">
        <v>3.38551</v>
      </c>
      <c r="L708" s="154">
        <v>3.615332</v>
      </c>
      <c r="M708" s="154">
        <v>3.7428669999999999</v>
      </c>
      <c r="N708" s="154">
        <v>2.1454970000000002</v>
      </c>
      <c r="O708" s="154">
        <v>1.74305</v>
      </c>
      <c r="P708" s="11"/>
      <c r="Q708" s="29"/>
      <c r="R708" s="30"/>
    </row>
    <row r="709" spans="1:18" ht="12" customHeight="1">
      <c r="A709" s="10" t="s">
        <v>304</v>
      </c>
      <c r="B709" s="11" t="s">
        <v>3023</v>
      </c>
      <c r="D709" s="154">
        <v>0.210896</v>
      </c>
      <c r="E709" s="154">
        <v>0.28209600000000001</v>
      </c>
      <c r="F709" s="154">
        <v>0.55201</v>
      </c>
      <c r="G709" s="154">
        <v>1.257258</v>
      </c>
      <c r="H709" s="154">
        <v>1.7924549999999999</v>
      </c>
      <c r="I709" s="154">
        <v>2.073334</v>
      </c>
      <c r="J709" s="154">
        <v>2.4015170000000001</v>
      </c>
      <c r="K709" s="154">
        <v>2.4560240000000002</v>
      </c>
      <c r="L709" s="154">
        <v>2.259029</v>
      </c>
      <c r="M709" s="154">
        <v>2.2200530000000001</v>
      </c>
      <c r="N709" s="154">
        <v>0.72152099999999997</v>
      </c>
      <c r="O709" s="154">
        <v>0.33266099999999998</v>
      </c>
      <c r="P709" s="11"/>
      <c r="Q709" s="29"/>
      <c r="R709" s="30"/>
    </row>
    <row r="710" spans="1:18" ht="12" customHeight="1">
      <c r="A710" s="10" t="s">
        <v>306</v>
      </c>
      <c r="B710" s="11" t="s">
        <v>305</v>
      </c>
      <c r="D710" s="154">
        <v>0.120028</v>
      </c>
      <c r="E710" s="154">
        <v>0.12615000000000001</v>
      </c>
      <c r="F710" s="154">
        <v>0.16211400000000001</v>
      </c>
      <c r="G710" s="154">
        <v>0.18668399999999999</v>
      </c>
      <c r="H710" s="154">
        <v>0.24371699999999999</v>
      </c>
      <c r="I710" s="154">
        <v>0.30490699999999998</v>
      </c>
      <c r="J710" s="154">
        <v>0.42982900000000002</v>
      </c>
      <c r="K710" s="154">
        <v>0.41028500000000001</v>
      </c>
      <c r="L710" s="154">
        <v>0.25157400000000002</v>
      </c>
      <c r="M710" s="154">
        <v>0.21609400000000001</v>
      </c>
      <c r="N710" s="154">
        <v>0.182175</v>
      </c>
      <c r="O710" s="154">
        <v>0.20769599999999999</v>
      </c>
      <c r="P710" s="11"/>
      <c r="Q710" s="29"/>
      <c r="R710" s="30"/>
    </row>
    <row r="711" spans="1:18" ht="12" customHeight="1">
      <c r="A711" s="10" t="s">
        <v>307</v>
      </c>
      <c r="B711" s="11" t="s">
        <v>19</v>
      </c>
      <c r="D711" s="154">
        <v>8.7550000000000003E-2</v>
      </c>
      <c r="E711" s="154">
        <v>8.0575999999999995E-2</v>
      </c>
      <c r="F711" s="154">
        <v>0.107853</v>
      </c>
      <c r="G711" s="154">
        <v>0.12059599999999999</v>
      </c>
      <c r="H711" s="154">
        <v>0.15733800000000001</v>
      </c>
      <c r="I711" s="154">
        <v>0.15979699999999999</v>
      </c>
      <c r="J711" s="154">
        <v>0.17992900000000001</v>
      </c>
      <c r="K711" s="154">
        <v>0.19855800000000001</v>
      </c>
      <c r="L711" s="154">
        <v>0.15435199999999999</v>
      </c>
      <c r="M711" s="154">
        <v>0.13480600000000001</v>
      </c>
      <c r="N711" s="154">
        <v>0.111188</v>
      </c>
      <c r="O711" s="154">
        <v>0.11587</v>
      </c>
      <c r="P711" s="11"/>
      <c r="Q711" s="29"/>
      <c r="R711" s="30"/>
    </row>
    <row r="712" spans="1:18" ht="12" customHeight="1">
      <c r="A712" s="10" t="s">
        <v>308</v>
      </c>
      <c r="B712" s="11" t="s">
        <v>2994</v>
      </c>
      <c r="D712" s="154">
        <v>8.8872000000000007E-2</v>
      </c>
      <c r="E712" s="154">
        <v>7.8969999999999999E-2</v>
      </c>
      <c r="F712" s="154">
        <v>0.10491200000000001</v>
      </c>
      <c r="G712" s="154">
        <v>0.10206800000000001</v>
      </c>
      <c r="H712" s="154">
        <v>0.129417</v>
      </c>
      <c r="I712" s="154">
        <v>0.15307499999999999</v>
      </c>
      <c r="J712" s="154">
        <v>0.203957</v>
      </c>
      <c r="K712" s="154">
        <v>0.20166999999999999</v>
      </c>
      <c r="L712" s="154">
        <v>0.13369300000000001</v>
      </c>
      <c r="M712" s="154">
        <v>0.112886</v>
      </c>
      <c r="N712" s="154">
        <v>9.4618999999999995E-2</v>
      </c>
      <c r="O712" s="154">
        <v>8.9619000000000004E-2</v>
      </c>
      <c r="P712" s="11"/>
      <c r="Q712" s="29"/>
      <c r="R712" s="30"/>
    </row>
    <row r="713" spans="1:18" ht="12" customHeight="1">
      <c r="A713" s="10" t="s">
        <v>310</v>
      </c>
      <c r="B713" s="11" t="s">
        <v>309</v>
      </c>
      <c r="D713" s="154">
        <v>0.105405</v>
      </c>
      <c r="E713" s="154">
        <v>0.119375</v>
      </c>
      <c r="F713" s="154">
        <v>0.143377</v>
      </c>
      <c r="G713" s="154">
        <v>0.23941000000000001</v>
      </c>
      <c r="H713" s="154">
        <v>0.375222</v>
      </c>
      <c r="I713" s="154">
        <v>0.34294200000000002</v>
      </c>
      <c r="J713" s="154">
        <v>0.50165599999999999</v>
      </c>
      <c r="K713" s="154">
        <v>0.58918700000000002</v>
      </c>
      <c r="L713" s="154">
        <v>0.27386300000000002</v>
      </c>
      <c r="M713" s="154">
        <v>0.212868</v>
      </c>
      <c r="N713" s="154">
        <v>0.16317599999999999</v>
      </c>
      <c r="O713" s="154">
        <v>0.15903600000000001</v>
      </c>
      <c r="P713" s="11"/>
      <c r="Q713" s="29"/>
      <c r="R713" s="30"/>
    </row>
    <row r="714" spans="1:18" ht="12" customHeight="1">
      <c r="A714" s="10" t="s">
        <v>311</v>
      </c>
      <c r="B714" s="11" t="s">
        <v>26</v>
      </c>
      <c r="D714" s="154">
        <v>0.50401600000000002</v>
      </c>
      <c r="E714" s="154">
        <v>0.53933900000000001</v>
      </c>
      <c r="F714" s="154">
        <v>0.67788999999999999</v>
      </c>
      <c r="G714" s="154">
        <v>0.72039500000000001</v>
      </c>
      <c r="H714" s="154">
        <v>0.82968299999999995</v>
      </c>
      <c r="I714" s="154">
        <v>0.79529399999999995</v>
      </c>
      <c r="J714" s="154">
        <v>0.85307500000000003</v>
      </c>
      <c r="K714" s="154">
        <v>0.94539600000000001</v>
      </c>
      <c r="L714" s="154">
        <v>0.81888700000000003</v>
      </c>
      <c r="M714" s="154">
        <v>0.81707600000000002</v>
      </c>
      <c r="N714" s="154">
        <v>0.73922900000000002</v>
      </c>
      <c r="O714" s="154">
        <v>0.88143199999999999</v>
      </c>
      <c r="P714" s="11"/>
      <c r="Q714" s="29"/>
      <c r="R714" s="30"/>
    </row>
    <row r="715" spans="1:18" ht="12" customHeight="1">
      <c r="A715" s="10" t="s">
        <v>312</v>
      </c>
      <c r="B715" s="11" t="s">
        <v>313</v>
      </c>
      <c r="D715" s="154">
        <v>2.1094000000000002E-2</v>
      </c>
      <c r="E715" s="154">
        <v>2.1426000000000001E-2</v>
      </c>
      <c r="F715" s="154">
        <v>2.7952999999999999E-2</v>
      </c>
      <c r="G715" s="154">
        <v>3.2072000000000003E-2</v>
      </c>
      <c r="H715" s="154">
        <v>4.1213E-2</v>
      </c>
      <c r="I715" s="154">
        <v>4.3768000000000001E-2</v>
      </c>
      <c r="J715" s="154">
        <v>6.2520000000000006E-2</v>
      </c>
      <c r="K715" s="154">
        <v>5.5204000000000003E-2</v>
      </c>
      <c r="L715" s="154">
        <v>4.0696999999999997E-2</v>
      </c>
      <c r="M715" s="154">
        <v>3.7838999999999998E-2</v>
      </c>
      <c r="N715" s="154">
        <v>2.862E-2</v>
      </c>
      <c r="O715" s="154">
        <v>3.0307000000000001E-2</v>
      </c>
      <c r="P715" s="11"/>
      <c r="Q715" s="29"/>
      <c r="R715" s="30"/>
    </row>
    <row r="716" spans="1:18" ht="12" customHeight="1">
      <c r="A716" s="10" t="s">
        <v>314</v>
      </c>
      <c r="B716" s="11" t="s">
        <v>315</v>
      </c>
      <c r="D716" s="154">
        <v>3.1847E-2</v>
      </c>
      <c r="E716" s="154">
        <v>3.3489999999999999E-2</v>
      </c>
      <c r="F716" s="154">
        <v>4.2315999999999999E-2</v>
      </c>
      <c r="G716" s="154">
        <v>5.7276000000000001E-2</v>
      </c>
      <c r="H716" s="154">
        <v>8.4122000000000002E-2</v>
      </c>
      <c r="I716" s="154">
        <v>9.7198999999999994E-2</v>
      </c>
      <c r="J716" s="154">
        <v>0.20178599999999999</v>
      </c>
      <c r="K716" s="154">
        <v>0.21726799999999999</v>
      </c>
      <c r="L716" s="154">
        <v>7.8992999999999994E-2</v>
      </c>
      <c r="M716" s="154">
        <v>4.6025000000000003E-2</v>
      </c>
      <c r="N716" s="154">
        <v>3.1746000000000003E-2</v>
      </c>
      <c r="O716" s="154">
        <v>2.4660999999999999E-2</v>
      </c>
      <c r="P716" s="11"/>
      <c r="Q716" s="29"/>
      <c r="R716" s="30"/>
    </row>
    <row r="717" spans="1:18" ht="12" customHeight="1">
      <c r="A717" s="10" t="s">
        <v>316</v>
      </c>
      <c r="B717" s="11" t="s">
        <v>317</v>
      </c>
      <c r="D717" s="154">
        <v>0.1032</v>
      </c>
      <c r="E717" s="154">
        <v>0.142017</v>
      </c>
      <c r="F717" s="154">
        <v>0.17806</v>
      </c>
      <c r="G717" s="154">
        <v>0.15828999999999999</v>
      </c>
      <c r="H717" s="154">
        <v>0.21918499999999999</v>
      </c>
      <c r="I717" s="154">
        <v>0.203794</v>
      </c>
      <c r="J717" s="154">
        <v>0.24721199999999999</v>
      </c>
      <c r="K717" s="154">
        <v>0.273285</v>
      </c>
      <c r="L717" s="154">
        <v>0.20986299999999999</v>
      </c>
      <c r="M717" s="154">
        <v>0.212536</v>
      </c>
      <c r="N717" s="154">
        <v>0.161213</v>
      </c>
      <c r="O717" s="154">
        <v>0.116165</v>
      </c>
      <c r="P717" s="11"/>
      <c r="Q717" s="29"/>
      <c r="R717" s="30"/>
    </row>
    <row r="718" spans="1:18" ht="12" customHeight="1">
      <c r="A718" s="10" t="s">
        <v>318</v>
      </c>
      <c r="B718" s="11" t="s">
        <v>319</v>
      </c>
      <c r="D718" s="154">
        <v>8.7460000000000003E-3</v>
      </c>
      <c r="E718" s="154">
        <v>1.0732E-2</v>
      </c>
      <c r="F718" s="154">
        <v>1.4922E-2</v>
      </c>
      <c r="G718" s="154">
        <v>2.0891E-2</v>
      </c>
      <c r="H718" s="154">
        <v>4.3388000000000003E-2</v>
      </c>
      <c r="I718" s="154">
        <v>7.1368000000000001E-2</v>
      </c>
      <c r="J718" s="154">
        <v>0.149809</v>
      </c>
      <c r="K718" s="154">
        <v>0.14471999999999999</v>
      </c>
      <c r="L718" s="154">
        <v>4.4191000000000001E-2</v>
      </c>
      <c r="M718" s="154">
        <v>2.3576E-2</v>
      </c>
      <c r="N718" s="154">
        <v>1.3202999999999999E-2</v>
      </c>
      <c r="O718" s="154">
        <v>1.1816E-2</v>
      </c>
      <c r="P718" s="11"/>
      <c r="Q718" s="29"/>
      <c r="R718" s="30"/>
    </row>
    <row r="719" spans="1:18" ht="12" customHeight="1">
      <c r="A719" s="10" t="s">
        <v>320</v>
      </c>
      <c r="B719" s="11" t="s">
        <v>321</v>
      </c>
      <c r="D719" s="154">
        <v>1.7898000000000001E-2</v>
      </c>
      <c r="E719" s="154">
        <v>1.9754000000000001E-2</v>
      </c>
      <c r="F719" s="154">
        <v>2.2537000000000001E-2</v>
      </c>
      <c r="G719" s="154">
        <v>2.5780999999999998E-2</v>
      </c>
      <c r="H719" s="154">
        <v>4.6898000000000002E-2</v>
      </c>
      <c r="I719" s="154">
        <v>4.1438999999999997E-2</v>
      </c>
      <c r="J719" s="154">
        <v>7.7060000000000003E-2</v>
      </c>
      <c r="K719" s="154">
        <v>9.1772000000000006E-2</v>
      </c>
      <c r="L719" s="154">
        <v>3.7874999999999999E-2</v>
      </c>
      <c r="M719" s="154">
        <v>2.7709000000000001E-2</v>
      </c>
      <c r="N719" s="154">
        <v>2.3165000000000002E-2</v>
      </c>
      <c r="O719" s="154">
        <v>1.5214999999999999E-2</v>
      </c>
      <c r="P719" s="11"/>
      <c r="Q719" s="29"/>
      <c r="R719" s="30"/>
    </row>
    <row r="720" spans="1:18" ht="12" customHeight="1">
      <c r="A720" s="10" t="s">
        <v>322</v>
      </c>
      <c r="B720" s="11" t="s">
        <v>323</v>
      </c>
      <c r="D720" s="154">
        <v>4.3063999999999998E-2</v>
      </c>
      <c r="E720" s="154">
        <v>4.5966E-2</v>
      </c>
      <c r="F720" s="154">
        <v>4.4930999999999999E-2</v>
      </c>
      <c r="G720" s="154">
        <v>5.6122999999999999E-2</v>
      </c>
      <c r="H720" s="154">
        <v>7.8199000000000005E-2</v>
      </c>
      <c r="I720" s="154">
        <v>7.7485999999999999E-2</v>
      </c>
      <c r="J720" s="154">
        <v>0.11899899999999999</v>
      </c>
      <c r="K720" s="154">
        <v>0.13894999999999999</v>
      </c>
      <c r="L720" s="154">
        <v>7.7757999999999994E-2</v>
      </c>
      <c r="M720" s="154">
        <v>5.8835999999999999E-2</v>
      </c>
      <c r="N720" s="154">
        <v>5.3685999999999998E-2</v>
      </c>
      <c r="O720" s="154">
        <v>4.4651999999999997E-2</v>
      </c>
      <c r="P720" s="11"/>
      <c r="Q720" s="29"/>
      <c r="R720" s="30"/>
    </row>
    <row r="721" spans="1:18" ht="12" customHeight="1">
      <c r="A721" s="10" t="s">
        <v>324</v>
      </c>
      <c r="B721" s="11" t="s">
        <v>325</v>
      </c>
      <c r="D721" s="154">
        <v>3.7664999999999997E-2</v>
      </c>
      <c r="E721" s="154">
        <v>4.1396000000000002E-2</v>
      </c>
      <c r="F721" s="154">
        <v>3.5142E-2</v>
      </c>
      <c r="G721" s="154">
        <v>4.4098999999999999E-2</v>
      </c>
      <c r="H721" s="154">
        <v>5.9985999999999998E-2</v>
      </c>
      <c r="I721" s="154">
        <v>5.9665000000000003E-2</v>
      </c>
      <c r="J721" s="154">
        <v>8.5056999999999994E-2</v>
      </c>
      <c r="K721" s="154">
        <v>8.8122000000000006E-2</v>
      </c>
      <c r="L721" s="154">
        <v>6.1947000000000002E-2</v>
      </c>
      <c r="M721" s="154">
        <v>5.0993999999999998E-2</v>
      </c>
      <c r="N721" s="154">
        <v>4.4365000000000002E-2</v>
      </c>
      <c r="O721" s="154">
        <v>3.6726000000000002E-2</v>
      </c>
      <c r="P721" s="11"/>
      <c r="Q721" s="29"/>
      <c r="R721" s="30"/>
    </row>
    <row r="722" spans="1:18" ht="12" customHeight="1">
      <c r="A722" s="10" t="s">
        <v>327</v>
      </c>
      <c r="B722" s="11" t="s">
        <v>326</v>
      </c>
      <c r="D722" s="154">
        <v>0.48518499999999998</v>
      </c>
      <c r="E722" s="154">
        <v>0.58460699999999999</v>
      </c>
      <c r="F722" s="154">
        <v>0.74518200000000001</v>
      </c>
      <c r="G722" s="154">
        <v>0.88329599999999997</v>
      </c>
      <c r="H722" s="154">
        <v>0.982881</v>
      </c>
      <c r="I722" s="154">
        <v>0.99018099999999998</v>
      </c>
      <c r="J722" s="154">
        <v>1.1942790000000001</v>
      </c>
      <c r="K722" s="154">
        <v>1.252856</v>
      </c>
      <c r="L722" s="154">
        <v>1.0175970000000001</v>
      </c>
      <c r="M722" s="154">
        <v>1.0544560000000001</v>
      </c>
      <c r="N722" s="154">
        <v>0.80039800000000005</v>
      </c>
      <c r="O722" s="154">
        <v>0.61416499999999996</v>
      </c>
      <c r="P722" s="11"/>
      <c r="Q722" s="29"/>
      <c r="R722" s="30"/>
    </row>
    <row r="723" spans="1:18" ht="12" customHeight="1">
      <c r="A723" s="10" t="s">
        <v>328</v>
      </c>
      <c r="B723" s="11" t="s">
        <v>329</v>
      </c>
      <c r="D723" s="154">
        <v>3.5681999999999998E-2</v>
      </c>
      <c r="E723" s="154">
        <v>2.5758E-2</v>
      </c>
      <c r="F723" s="154">
        <v>4.8016999999999997E-2</v>
      </c>
      <c r="G723" s="154">
        <v>5.0230999999999998E-2</v>
      </c>
      <c r="H723" s="154">
        <v>6.9032999999999997E-2</v>
      </c>
      <c r="I723" s="154">
        <v>6.1322000000000002E-2</v>
      </c>
      <c r="J723" s="154">
        <v>9.0312000000000003E-2</v>
      </c>
      <c r="K723" s="154">
        <v>0.102422</v>
      </c>
      <c r="L723" s="154">
        <v>6.3258999999999996E-2</v>
      </c>
      <c r="M723" s="154">
        <v>7.0471000000000006E-2</v>
      </c>
      <c r="N723" s="154">
        <v>3.4486999999999997E-2</v>
      </c>
      <c r="O723" s="154">
        <v>2.8743000000000001E-2</v>
      </c>
      <c r="P723" s="11"/>
      <c r="Q723" s="29"/>
      <c r="R723" s="30"/>
    </row>
    <row r="724" spans="1:18" ht="12" customHeight="1">
      <c r="A724" s="10" t="s">
        <v>330</v>
      </c>
      <c r="B724" s="11" t="s">
        <v>331</v>
      </c>
      <c r="D724" s="154">
        <v>4.4623000000000003E-2</v>
      </c>
      <c r="E724" s="154">
        <v>3.7788000000000002E-2</v>
      </c>
      <c r="F724" s="154">
        <v>0.100493</v>
      </c>
      <c r="G724" s="154">
        <v>0.13333300000000001</v>
      </c>
      <c r="H724" s="154">
        <v>0.17072999999999999</v>
      </c>
      <c r="I724" s="154">
        <v>0.17794099999999999</v>
      </c>
      <c r="J724" s="154">
        <v>0.335003</v>
      </c>
      <c r="K724" s="154">
        <v>0.32224700000000001</v>
      </c>
      <c r="L724" s="154">
        <v>0.14569599999999999</v>
      </c>
      <c r="M724" s="154">
        <v>0.17317199999999999</v>
      </c>
      <c r="N724" s="154">
        <v>4.6294000000000002E-2</v>
      </c>
      <c r="O724" s="154">
        <v>3.2569000000000001E-2</v>
      </c>
      <c r="P724" s="11"/>
      <c r="Q724" s="29"/>
      <c r="R724" s="30"/>
    </row>
    <row r="725" spans="1:18" ht="12" customHeight="1">
      <c r="A725" s="10" t="s">
        <v>332</v>
      </c>
      <c r="B725" s="11" t="s">
        <v>333</v>
      </c>
      <c r="D725" s="154">
        <v>6.3340999999999995E-2</v>
      </c>
      <c r="E725" s="154">
        <v>6.9008E-2</v>
      </c>
      <c r="F725" s="154">
        <v>0.16733700000000001</v>
      </c>
      <c r="G725" s="154">
        <v>0.118258</v>
      </c>
      <c r="H725" s="154">
        <v>9.987E-2</v>
      </c>
      <c r="I725" s="154">
        <v>8.0579999999999999E-2</v>
      </c>
      <c r="J725" s="154">
        <v>0.26513700000000001</v>
      </c>
      <c r="K725" s="154">
        <v>0.20780199999999999</v>
      </c>
      <c r="L725" s="154">
        <v>8.8465000000000002E-2</v>
      </c>
      <c r="M725" s="154">
        <v>0.21055499999999999</v>
      </c>
      <c r="N725" s="154">
        <v>3.6526000000000003E-2</v>
      </c>
      <c r="O725" s="154">
        <v>4.4291999999999998E-2</v>
      </c>
      <c r="P725" s="11"/>
      <c r="Q725" s="29"/>
      <c r="R725" s="30"/>
    </row>
    <row r="726" spans="1:18" ht="12" customHeight="1">
      <c r="A726" s="10" t="s">
        <v>334</v>
      </c>
      <c r="B726" s="11" t="s">
        <v>335</v>
      </c>
      <c r="D726" s="154">
        <v>3.8240000000000003E-2</v>
      </c>
      <c r="E726" s="154">
        <v>3.3404999999999997E-2</v>
      </c>
      <c r="F726" s="154">
        <v>7.4182999999999999E-2</v>
      </c>
      <c r="G726" s="154">
        <v>0.14168600000000001</v>
      </c>
      <c r="H726" s="154">
        <v>0.179229</v>
      </c>
      <c r="I726" s="154">
        <v>0.13858200000000001</v>
      </c>
      <c r="J726" s="154">
        <v>0.27283299999999999</v>
      </c>
      <c r="K726" s="154">
        <v>0.26359700000000003</v>
      </c>
      <c r="L726" s="154">
        <v>0.10459400000000001</v>
      </c>
      <c r="M726" s="154">
        <v>0.17693999999999999</v>
      </c>
      <c r="N726" s="154">
        <v>4.5178999999999997E-2</v>
      </c>
      <c r="O726" s="154">
        <v>3.9875000000000001E-2</v>
      </c>
      <c r="P726" s="11"/>
      <c r="Q726" s="29"/>
      <c r="R726" s="30"/>
    </row>
    <row r="727" spans="1:18" ht="12" customHeight="1">
      <c r="A727" s="10" t="s">
        <v>336</v>
      </c>
      <c r="B727" s="11" t="s">
        <v>337</v>
      </c>
      <c r="D727" s="154">
        <v>8.5279999999999995E-2</v>
      </c>
      <c r="E727" s="154">
        <v>7.8978999999999994E-2</v>
      </c>
      <c r="F727" s="154">
        <v>0.158055</v>
      </c>
      <c r="G727" s="154">
        <v>0.25829200000000002</v>
      </c>
      <c r="H727" s="154">
        <v>0.27799099999999999</v>
      </c>
      <c r="I727" s="154">
        <v>0.24951499999999999</v>
      </c>
      <c r="J727" s="154">
        <v>0.47156199999999998</v>
      </c>
      <c r="K727" s="154">
        <v>0.41691</v>
      </c>
      <c r="L727" s="154">
        <v>0.19034699999999999</v>
      </c>
      <c r="M727" s="154">
        <v>0.30013600000000001</v>
      </c>
      <c r="N727" s="154">
        <v>0.110375</v>
      </c>
      <c r="O727" s="154">
        <v>7.7489000000000002E-2</v>
      </c>
      <c r="P727" s="11"/>
      <c r="Q727" s="29"/>
      <c r="R727" s="30"/>
    </row>
    <row r="728" spans="1:18" ht="12" customHeight="1">
      <c r="A728" s="10" t="s">
        <v>338</v>
      </c>
      <c r="B728" s="11" t="s">
        <v>339</v>
      </c>
      <c r="D728" s="154">
        <v>5.0465000000000003E-2</v>
      </c>
      <c r="E728" s="154">
        <v>3.4689999999999999E-2</v>
      </c>
      <c r="F728" s="154">
        <v>7.3772000000000004E-2</v>
      </c>
      <c r="G728" s="154">
        <v>7.1426000000000003E-2</v>
      </c>
      <c r="H728" s="154">
        <v>8.4266999999999995E-2</v>
      </c>
      <c r="I728" s="154">
        <v>6.7150000000000001E-2</v>
      </c>
      <c r="J728" s="154">
        <v>0.13934299999999999</v>
      </c>
      <c r="K728" s="154">
        <v>0.156973</v>
      </c>
      <c r="L728" s="154">
        <v>8.2088999999999995E-2</v>
      </c>
      <c r="M728" s="154">
        <v>0.108858</v>
      </c>
      <c r="N728" s="154">
        <v>2.0140000000000002E-2</v>
      </c>
      <c r="O728" s="154">
        <v>3.0868E-2</v>
      </c>
      <c r="P728" s="11"/>
      <c r="Q728" s="29"/>
      <c r="R728" s="30"/>
    </row>
    <row r="729" spans="1:18" ht="12" customHeight="1">
      <c r="A729" s="10" t="s">
        <v>341</v>
      </c>
      <c r="B729" s="11" t="s">
        <v>342</v>
      </c>
      <c r="D729" s="154">
        <v>1.5030699999999999</v>
      </c>
      <c r="E729" s="154">
        <v>1.518813</v>
      </c>
      <c r="F729" s="154">
        <v>2.0570620000000002</v>
      </c>
      <c r="G729" s="154">
        <v>2.4564430000000002</v>
      </c>
      <c r="H729" s="154">
        <v>2.5181640000000001</v>
      </c>
      <c r="I729" s="154">
        <v>2.3598659999999998</v>
      </c>
      <c r="J729" s="154">
        <v>3.024435</v>
      </c>
      <c r="K729" s="154">
        <v>3.086573</v>
      </c>
      <c r="L729" s="154">
        <v>2.3691960000000001</v>
      </c>
      <c r="M729" s="154">
        <v>2.431314</v>
      </c>
      <c r="N729" s="154">
        <v>1.772478</v>
      </c>
      <c r="O729" s="154">
        <v>1.7089730000000001</v>
      </c>
      <c r="P729" s="11"/>
      <c r="Q729" s="29"/>
      <c r="R729" s="30"/>
    </row>
    <row r="730" spans="1:18" ht="12" customHeight="1">
      <c r="A730" s="10" t="s">
        <v>343</v>
      </c>
      <c r="B730" s="11" t="s">
        <v>344</v>
      </c>
      <c r="D730" s="154">
        <v>0.23732300000000001</v>
      </c>
      <c r="E730" s="154">
        <v>0.186276</v>
      </c>
      <c r="F730" s="154">
        <v>0.39352599999999999</v>
      </c>
      <c r="G730" s="154">
        <v>0.67291599999999996</v>
      </c>
      <c r="H730" s="154">
        <v>0.86168599999999995</v>
      </c>
      <c r="I730" s="154">
        <v>0.81632499999999997</v>
      </c>
      <c r="J730" s="154">
        <v>1.152388</v>
      </c>
      <c r="K730" s="154">
        <v>1.3554710000000001</v>
      </c>
      <c r="L730" s="154">
        <v>0.78598100000000004</v>
      </c>
      <c r="M730" s="154">
        <v>0.86693299999999995</v>
      </c>
      <c r="N730" s="154">
        <v>0.304419</v>
      </c>
      <c r="O730" s="154">
        <v>0.16389100000000001</v>
      </c>
      <c r="P730" s="11"/>
      <c r="Q730" s="29"/>
      <c r="R730" s="30"/>
    </row>
    <row r="731" spans="1:18" ht="12" customHeight="1">
      <c r="A731" s="10" t="s">
        <v>3126</v>
      </c>
      <c r="B731" s="11" t="s">
        <v>340</v>
      </c>
      <c r="D731" s="154">
        <v>6.3549999999999995E-2</v>
      </c>
      <c r="E731" s="154">
        <v>6.0675E-2</v>
      </c>
      <c r="F731" s="154">
        <v>9.8087999999999995E-2</v>
      </c>
      <c r="G731" s="154">
        <v>0.120987</v>
      </c>
      <c r="H731" s="154">
        <v>0.11959</v>
      </c>
      <c r="I731" s="154">
        <v>0.100352</v>
      </c>
      <c r="J731" s="154">
        <v>0.131163</v>
      </c>
      <c r="K731" s="154">
        <v>0.137604</v>
      </c>
      <c r="L731" s="154">
        <v>0.10426100000000001</v>
      </c>
      <c r="M731" s="154">
        <v>9.7234000000000001E-2</v>
      </c>
      <c r="N731" s="154">
        <v>8.0867999999999995E-2</v>
      </c>
      <c r="O731" s="154">
        <v>6.6375000000000003E-2</v>
      </c>
      <c r="P731" s="11"/>
      <c r="Q731" s="29"/>
      <c r="R731" s="30"/>
    </row>
    <row r="732" spans="1:18" ht="12" customHeight="1">
      <c r="A732" s="10" t="s">
        <v>3127</v>
      </c>
      <c r="B732" s="11" t="s">
        <v>3128</v>
      </c>
      <c r="D732" s="154">
        <v>0.34209099999999998</v>
      </c>
      <c r="E732" s="154">
        <v>0.345057</v>
      </c>
      <c r="F732" s="154">
        <v>0.58830700000000002</v>
      </c>
      <c r="G732" s="154">
        <v>0.880139</v>
      </c>
      <c r="H732" s="154">
        <v>0.87851699999999999</v>
      </c>
      <c r="I732" s="154">
        <v>0.783802</v>
      </c>
      <c r="J732" s="154">
        <v>1.1441159999999999</v>
      </c>
      <c r="K732" s="154">
        <v>1.3373120000000001</v>
      </c>
      <c r="L732" s="154">
        <v>0.81802799999999998</v>
      </c>
      <c r="M732" s="154">
        <v>0.80775300000000005</v>
      </c>
      <c r="N732" s="154">
        <v>0.40368399999999999</v>
      </c>
      <c r="O732" s="154">
        <v>0.34340500000000002</v>
      </c>
      <c r="P732" s="11"/>
      <c r="Q732" s="29"/>
      <c r="R732" s="30"/>
    </row>
    <row r="733" spans="1:18" ht="12" customHeight="1">
      <c r="A733" s="10" t="s">
        <v>345</v>
      </c>
      <c r="B733" s="11" t="s">
        <v>346</v>
      </c>
      <c r="D733" s="154">
        <v>0.16957800000000001</v>
      </c>
      <c r="E733" s="154">
        <v>0.17764099999999999</v>
      </c>
      <c r="F733" s="154">
        <v>0.26957500000000001</v>
      </c>
      <c r="G733" s="154">
        <v>0.37268699999999999</v>
      </c>
      <c r="H733" s="154">
        <v>0.36464000000000002</v>
      </c>
      <c r="I733" s="154">
        <v>0.26949099999999998</v>
      </c>
      <c r="J733" s="154">
        <v>0.56690300000000005</v>
      </c>
      <c r="K733" s="154">
        <v>0.57953500000000002</v>
      </c>
      <c r="L733" s="154">
        <v>0.27931899999999998</v>
      </c>
      <c r="M733" s="154">
        <v>0.37150699999999998</v>
      </c>
      <c r="N733" s="154">
        <v>0.20818999999999999</v>
      </c>
      <c r="O733" s="154">
        <v>0.17916299999999999</v>
      </c>
      <c r="P733" s="11"/>
      <c r="Q733" s="29"/>
      <c r="R733" s="30"/>
    </row>
    <row r="734" spans="1:18" ht="12" customHeight="1">
      <c r="A734" s="10" t="s">
        <v>347</v>
      </c>
      <c r="B734" s="11" t="s">
        <v>348</v>
      </c>
      <c r="D734" s="154">
        <v>0.22186900000000001</v>
      </c>
      <c r="E734" s="154">
        <v>0.20977499999999999</v>
      </c>
      <c r="F734" s="154">
        <v>0.37256699999999998</v>
      </c>
      <c r="G734" s="154">
        <v>0.37661800000000001</v>
      </c>
      <c r="H734" s="154">
        <v>0.362377</v>
      </c>
      <c r="I734" s="154">
        <v>0.28636800000000001</v>
      </c>
      <c r="J734" s="154">
        <v>0.56751499999999999</v>
      </c>
      <c r="K734" s="154">
        <v>0.50631499999999996</v>
      </c>
      <c r="L734" s="154">
        <v>0.33581699999999998</v>
      </c>
      <c r="M734" s="154">
        <v>0.52276500000000004</v>
      </c>
      <c r="N734" s="154">
        <v>0.218336</v>
      </c>
      <c r="O734" s="154">
        <v>0.21912999999999999</v>
      </c>
      <c r="P734" s="11"/>
      <c r="Q734" s="29"/>
      <c r="R734" s="30"/>
    </row>
    <row r="735" spans="1:18" ht="12" customHeight="1">
      <c r="A735" s="10" t="s">
        <v>349</v>
      </c>
      <c r="B735" s="11" t="s">
        <v>529</v>
      </c>
      <c r="D735" s="154">
        <v>2.2074E-2</v>
      </c>
      <c r="E735" s="154">
        <v>1.8679000000000001E-2</v>
      </c>
      <c r="F735" s="154">
        <v>2.707E-2</v>
      </c>
      <c r="G735" s="154">
        <v>3.4708999999999997E-2</v>
      </c>
      <c r="H735" s="154">
        <v>6.2454999999999997E-2</v>
      </c>
      <c r="I735" s="154">
        <v>0.108975</v>
      </c>
      <c r="J735" s="154">
        <v>9.8788000000000001E-2</v>
      </c>
      <c r="K735" s="154">
        <v>0.109586</v>
      </c>
      <c r="L735" s="154">
        <v>5.8769000000000002E-2</v>
      </c>
      <c r="M735" s="154">
        <v>4.0182000000000002E-2</v>
      </c>
      <c r="N735" s="154">
        <v>2.1940999999999999E-2</v>
      </c>
      <c r="O735" s="154">
        <v>2.4746000000000001E-2</v>
      </c>
      <c r="P735" s="11"/>
      <c r="Q735" s="29"/>
      <c r="R735" s="30"/>
    </row>
    <row r="736" spans="1:18" ht="12" customHeight="1">
      <c r="A736" s="10" t="s">
        <v>350</v>
      </c>
      <c r="B736" s="11" t="s">
        <v>351</v>
      </c>
      <c r="D736" s="154">
        <v>0.10809100000000001</v>
      </c>
      <c r="E736" s="154">
        <v>0.111399</v>
      </c>
      <c r="F736" s="154">
        <v>0.12428699999999999</v>
      </c>
      <c r="G736" s="154">
        <v>0.143677</v>
      </c>
      <c r="H736" s="154">
        <v>0.20955199999999999</v>
      </c>
      <c r="I736" s="154">
        <v>0.221415</v>
      </c>
      <c r="J736" s="154">
        <v>0.27915299999999998</v>
      </c>
      <c r="K736" s="154">
        <v>0.31278</v>
      </c>
      <c r="L736" s="154">
        <v>0.202099</v>
      </c>
      <c r="M736" s="154">
        <v>0.175202</v>
      </c>
      <c r="N736" s="154">
        <v>0.118891</v>
      </c>
      <c r="O736" s="154">
        <v>0.149233</v>
      </c>
      <c r="P736" s="11"/>
      <c r="Q736" s="29"/>
      <c r="R736" s="30"/>
    </row>
    <row r="737" spans="1:18" ht="12" customHeight="1">
      <c r="A737" s="10" t="s">
        <v>352</v>
      </c>
      <c r="B737" s="11" t="s">
        <v>353</v>
      </c>
      <c r="D737" s="154">
        <v>0.75367899999999999</v>
      </c>
      <c r="E737" s="154">
        <v>0.75853599999999999</v>
      </c>
      <c r="F737" s="154">
        <v>1.0160849999999999</v>
      </c>
      <c r="G737" s="154">
        <v>1.1850689999999999</v>
      </c>
      <c r="H737" s="154">
        <v>1.337358</v>
      </c>
      <c r="I737" s="154">
        <v>1.2665999999999999</v>
      </c>
      <c r="J737" s="154">
        <v>1.4970239999999999</v>
      </c>
      <c r="K737" s="154">
        <v>1.612754</v>
      </c>
      <c r="L737" s="154">
        <v>1.2470969999999999</v>
      </c>
      <c r="M737" s="154">
        <v>1.3205480000000001</v>
      </c>
      <c r="N737" s="154">
        <v>1.2011639999999999</v>
      </c>
      <c r="O737" s="154">
        <v>1.678237</v>
      </c>
      <c r="P737" s="11"/>
      <c r="Q737" s="29"/>
      <c r="R737" s="30"/>
    </row>
    <row r="738" spans="1:18" ht="12" customHeight="1">
      <c r="A738" s="10" t="s">
        <v>354</v>
      </c>
      <c r="B738" s="11" t="s">
        <v>355</v>
      </c>
      <c r="D738" s="154">
        <v>0.47988799999999998</v>
      </c>
      <c r="E738" s="154">
        <v>0.53707700000000003</v>
      </c>
      <c r="F738" s="154">
        <v>0.31219000000000002</v>
      </c>
      <c r="G738" s="154">
        <v>0.11453099999999999</v>
      </c>
      <c r="H738" s="154">
        <v>0.35805999999999999</v>
      </c>
      <c r="I738" s="154">
        <v>0.61779499999999998</v>
      </c>
      <c r="J738" s="154">
        <v>1.290117</v>
      </c>
      <c r="K738" s="154">
        <v>1.542564</v>
      </c>
      <c r="L738" s="154">
        <v>0.56546700000000005</v>
      </c>
      <c r="M738" s="154">
        <v>0.21763399999999999</v>
      </c>
      <c r="N738" s="154">
        <v>5.9666999999999998E-2</v>
      </c>
      <c r="O738" s="154">
        <v>0.30741200000000002</v>
      </c>
      <c r="P738" s="11"/>
      <c r="Q738" s="29"/>
      <c r="R738" s="30"/>
    </row>
    <row r="739" spans="1:18" ht="12" customHeight="1">
      <c r="A739" s="10" t="s">
        <v>356</v>
      </c>
      <c r="B739" s="11" t="s">
        <v>357</v>
      </c>
      <c r="D739" s="154">
        <v>0.53472299999999995</v>
      </c>
      <c r="E739" s="154">
        <v>0.60423700000000002</v>
      </c>
      <c r="F739" s="154">
        <v>0.42031800000000002</v>
      </c>
      <c r="G739" s="154">
        <v>0.15808900000000001</v>
      </c>
      <c r="H739" s="154">
        <v>0.263206</v>
      </c>
      <c r="I739" s="154">
        <v>0.48802000000000001</v>
      </c>
      <c r="J739" s="154">
        <v>0.67691500000000004</v>
      </c>
      <c r="K739" s="154">
        <v>0.75028300000000003</v>
      </c>
      <c r="L739" s="154">
        <v>0.36625099999999999</v>
      </c>
      <c r="M739" s="154">
        <v>0.25500800000000001</v>
      </c>
      <c r="N739" s="154">
        <v>0.12363</v>
      </c>
      <c r="O739" s="154">
        <v>0.395984</v>
      </c>
      <c r="P739" s="11"/>
      <c r="Q739" s="29"/>
      <c r="R739" s="30"/>
    </row>
    <row r="740" spans="1:18" ht="12" customHeight="1">
      <c r="A740" s="10" t="s">
        <v>358</v>
      </c>
      <c r="B740" s="11" t="s">
        <v>359</v>
      </c>
      <c r="D740" s="154">
        <v>0.164135</v>
      </c>
      <c r="E740" s="154">
        <v>0.19411900000000001</v>
      </c>
      <c r="F740" s="154">
        <v>0.19131999999999999</v>
      </c>
      <c r="G740" s="154">
        <v>0.18528500000000001</v>
      </c>
      <c r="H740" s="154">
        <v>0.295402</v>
      </c>
      <c r="I740" s="154">
        <v>0.35653600000000002</v>
      </c>
      <c r="J740" s="154">
        <v>0.50038899999999997</v>
      </c>
      <c r="K740" s="154">
        <v>0.53593599999999997</v>
      </c>
      <c r="L740" s="154">
        <v>0.31435999999999997</v>
      </c>
      <c r="M740" s="154">
        <v>0.24243400000000001</v>
      </c>
      <c r="N740" s="154">
        <v>0.136652</v>
      </c>
      <c r="O740" s="154">
        <v>0.191998</v>
      </c>
      <c r="P740" s="11"/>
      <c r="Q740" s="29"/>
      <c r="R740" s="30"/>
    </row>
    <row r="741" spans="1:18" ht="12" customHeight="1">
      <c r="A741" s="10" t="s">
        <v>360</v>
      </c>
      <c r="B741" s="11" t="s">
        <v>361</v>
      </c>
      <c r="D741" s="154">
        <v>2.5534720000000002</v>
      </c>
      <c r="E741" s="154">
        <v>2.8951030000000002</v>
      </c>
      <c r="F741" s="154">
        <v>2.0546090000000001</v>
      </c>
      <c r="G741" s="154">
        <v>0.55246200000000001</v>
      </c>
      <c r="H741" s="154">
        <v>0.89480099999999996</v>
      </c>
      <c r="I741" s="154">
        <v>1.1764399999999999</v>
      </c>
      <c r="J741" s="154">
        <v>2.3418320000000001</v>
      </c>
      <c r="K741" s="154">
        <v>2.5586899999999999</v>
      </c>
      <c r="L741" s="154">
        <v>1.1853689999999999</v>
      </c>
      <c r="M741" s="154">
        <v>0.87567499999999998</v>
      </c>
      <c r="N741" s="154">
        <v>0.33758300000000002</v>
      </c>
      <c r="O741" s="154">
        <v>1.782619</v>
      </c>
      <c r="P741" s="11"/>
      <c r="Q741" s="29"/>
      <c r="R741" s="30"/>
    </row>
    <row r="742" spans="1:18" ht="12" customHeight="1">
      <c r="A742" s="10" t="s">
        <v>362</v>
      </c>
      <c r="B742" s="11" t="s">
        <v>363</v>
      </c>
      <c r="D742" s="154">
        <v>4.5718810000000003</v>
      </c>
      <c r="E742" s="154">
        <v>5.3700910000000004</v>
      </c>
      <c r="F742" s="154">
        <v>3.9636089999999999</v>
      </c>
      <c r="G742" s="154">
        <v>1.153157</v>
      </c>
      <c r="H742" s="154">
        <v>1.5516049999999999</v>
      </c>
      <c r="I742" s="154">
        <v>2.1212219999999999</v>
      </c>
      <c r="J742" s="154">
        <v>3.9866190000000001</v>
      </c>
      <c r="K742" s="154">
        <v>4.6089880000000001</v>
      </c>
      <c r="L742" s="154">
        <v>2.4642360000000001</v>
      </c>
      <c r="M742" s="154">
        <v>1.7768919999999999</v>
      </c>
      <c r="N742" s="154">
        <v>0.78389200000000003</v>
      </c>
      <c r="O742" s="154">
        <v>3.307874</v>
      </c>
      <c r="P742" s="11"/>
      <c r="Q742" s="29"/>
      <c r="R742" s="30"/>
    </row>
    <row r="743" spans="1:18" ht="12" customHeight="1">
      <c r="A743" s="10" t="s">
        <v>364</v>
      </c>
      <c r="B743" s="11" t="s">
        <v>365</v>
      </c>
      <c r="D743" s="154">
        <v>0.88266100000000003</v>
      </c>
      <c r="E743" s="154">
        <v>1.0349969999999999</v>
      </c>
      <c r="F743" s="154">
        <v>0.80079299999999998</v>
      </c>
      <c r="G743" s="154">
        <v>0.20455400000000001</v>
      </c>
      <c r="H743" s="154">
        <v>0.33880700000000002</v>
      </c>
      <c r="I743" s="154">
        <v>0.39246999999999999</v>
      </c>
      <c r="J743" s="154">
        <v>0.67824399999999996</v>
      </c>
      <c r="K743" s="154">
        <v>0.83912100000000001</v>
      </c>
      <c r="L743" s="154">
        <v>0.46713300000000002</v>
      </c>
      <c r="M743" s="154">
        <v>0.400621</v>
      </c>
      <c r="N743" s="154">
        <v>0.127499</v>
      </c>
      <c r="O743" s="154">
        <v>0.56795600000000002</v>
      </c>
      <c r="P743" s="11"/>
      <c r="Q743" s="29"/>
      <c r="R743" s="30"/>
    </row>
    <row r="744" spans="1:18" ht="12" customHeight="1">
      <c r="A744" s="10" t="s">
        <v>366</v>
      </c>
      <c r="B744" s="11" t="s">
        <v>13</v>
      </c>
      <c r="D744" s="154">
        <v>0.27023999999999998</v>
      </c>
      <c r="E744" s="154">
        <v>0.28353200000000001</v>
      </c>
      <c r="F744" s="154">
        <v>0.33332499999999998</v>
      </c>
      <c r="G744" s="154">
        <v>0.33855400000000002</v>
      </c>
      <c r="H744" s="154">
        <v>0.38267299999999999</v>
      </c>
      <c r="I744" s="154">
        <v>0.38838699999999998</v>
      </c>
      <c r="J744" s="154">
        <v>0.52942400000000001</v>
      </c>
      <c r="K744" s="154">
        <v>0.57049799999999995</v>
      </c>
      <c r="L744" s="154">
        <v>0.42316399999999998</v>
      </c>
      <c r="M744" s="154">
        <v>0.43732300000000002</v>
      </c>
      <c r="N744" s="154">
        <v>0.338756</v>
      </c>
      <c r="O744" s="154">
        <v>0.47682999999999998</v>
      </c>
      <c r="P744" s="11"/>
      <c r="Q744" s="29"/>
      <c r="R744" s="30"/>
    </row>
    <row r="745" spans="1:18" ht="12" customHeight="1">
      <c r="A745" s="10" t="s">
        <v>367</v>
      </c>
      <c r="B745" s="11" t="s">
        <v>530</v>
      </c>
      <c r="D745" s="154">
        <v>4.8460000000000003E-2</v>
      </c>
      <c r="E745" s="154">
        <v>6.1915999999999999E-2</v>
      </c>
      <c r="F745" s="154">
        <v>5.6759999999999998E-2</v>
      </c>
      <c r="G745" s="154">
        <v>5.9992999999999998E-2</v>
      </c>
      <c r="H745" s="154">
        <v>6.1863000000000001E-2</v>
      </c>
      <c r="I745" s="154">
        <v>6.6545999999999994E-2</v>
      </c>
      <c r="J745" s="154">
        <v>9.1311000000000003E-2</v>
      </c>
      <c r="K745" s="154">
        <v>9.1241000000000003E-2</v>
      </c>
      <c r="L745" s="154">
        <v>6.6600000000000006E-2</v>
      </c>
      <c r="M745" s="154">
        <v>7.7809000000000003E-2</v>
      </c>
      <c r="N745" s="154">
        <v>6.4549999999999996E-2</v>
      </c>
      <c r="O745" s="154">
        <v>5.2399000000000001E-2</v>
      </c>
      <c r="P745" s="11"/>
      <c r="Q745" s="29"/>
      <c r="R745" s="30"/>
    </row>
    <row r="746" spans="1:18" ht="12" customHeight="1">
      <c r="A746" s="10" t="s">
        <v>368</v>
      </c>
      <c r="B746" s="11" t="s">
        <v>369</v>
      </c>
      <c r="D746" s="154">
        <v>3.3161999999999997E-2</v>
      </c>
      <c r="E746" s="154">
        <v>3.6110000000000003E-2</v>
      </c>
      <c r="F746" s="154">
        <v>4.3971999999999997E-2</v>
      </c>
      <c r="G746" s="154">
        <v>4.5733999999999997E-2</v>
      </c>
      <c r="H746" s="154">
        <v>6.0533999999999998E-2</v>
      </c>
      <c r="I746" s="154">
        <v>6.2273000000000002E-2</v>
      </c>
      <c r="J746" s="154">
        <v>7.6197000000000001E-2</v>
      </c>
      <c r="K746" s="154">
        <v>7.3167999999999997E-2</v>
      </c>
      <c r="L746" s="154">
        <v>6.4866999999999994E-2</v>
      </c>
      <c r="M746" s="154">
        <v>5.7479000000000002E-2</v>
      </c>
      <c r="N746" s="154">
        <v>5.4057000000000001E-2</v>
      </c>
      <c r="O746" s="154">
        <v>5.2637999999999997E-2</v>
      </c>
      <c r="P746" s="11"/>
      <c r="Q746" s="29"/>
      <c r="R746" s="30"/>
    </row>
    <row r="747" spans="1:18" ht="12" customHeight="1">
      <c r="A747" s="10" t="s">
        <v>370</v>
      </c>
      <c r="B747" s="11" t="s">
        <v>371</v>
      </c>
      <c r="D747" s="154">
        <v>0.13539599999999999</v>
      </c>
      <c r="E747" s="154">
        <v>0.20286000000000001</v>
      </c>
      <c r="F747" s="154">
        <v>0.264677</v>
      </c>
      <c r="G747" s="154">
        <v>0.20208599999999999</v>
      </c>
      <c r="H747" s="154">
        <v>0.28905500000000001</v>
      </c>
      <c r="I747" s="154">
        <v>0.30980000000000002</v>
      </c>
      <c r="J747" s="154">
        <v>0.45982299999999998</v>
      </c>
      <c r="K747" s="154">
        <v>0.47364499999999998</v>
      </c>
      <c r="L747" s="154">
        <v>0.35321999999999998</v>
      </c>
      <c r="M747" s="154">
        <v>0.36560500000000001</v>
      </c>
      <c r="N747" s="154">
        <v>0.21021300000000001</v>
      </c>
      <c r="O747" s="154">
        <v>0.19456499999999999</v>
      </c>
      <c r="P747" s="11"/>
      <c r="Q747" s="29"/>
      <c r="R747" s="30"/>
    </row>
    <row r="748" spans="1:18" ht="12" customHeight="1">
      <c r="A748" s="10" t="s">
        <v>372</v>
      </c>
      <c r="B748" s="11" t="s">
        <v>373</v>
      </c>
      <c r="D748" s="154">
        <v>1.8159000000000002E-2</v>
      </c>
      <c r="E748" s="154">
        <v>1.8551999999999999E-2</v>
      </c>
      <c r="F748" s="154">
        <v>2.3441E-2</v>
      </c>
      <c r="G748" s="154">
        <v>2.6054000000000001E-2</v>
      </c>
      <c r="H748" s="154">
        <v>2.9201000000000001E-2</v>
      </c>
      <c r="I748" s="154">
        <v>2.9456E-2</v>
      </c>
      <c r="J748" s="154">
        <v>3.8205999999999997E-2</v>
      </c>
      <c r="K748" s="154">
        <v>3.9454999999999997E-2</v>
      </c>
      <c r="L748" s="154">
        <v>3.0244E-2</v>
      </c>
      <c r="M748" s="154">
        <v>3.2347000000000001E-2</v>
      </c>
      <c r="N748" s="154">
        <v>2.8126999999999999E-2</v>
      </c>
      <c r="O748" s="154">
        <v>2.2704999999999999E-2</v>
      </c>
      <c r="P748" s="11"/>
      <c r="Q748" s="29"/>
      <c r="R748" s="30"/>
    </row>
    <row r="749" spans="1:18" ht="12" customHeight="1">
      <c r="A749" s="10" t="s">
        <v>374</v>
      </c>
      <c r="B749" s="11" t="s">
        <v>531</v>
      </c>
      <c r="D749" s="154">
        <v>8.7607000000000004E-2</v>
      </c>
      <c r="E749" s="154">
        <v>0.110306</v>
      </c>
      <c r="F749" s="154">
        <v>0.132769</v>
      </c>
      <c r="G749" s="154">
        <v>0.11307300000000001</v>
      </c>
      <c r="H749" s="154">
        <v>0.14854500000000001</v>
      </c>
      <c r="I749" s="154">
        <v>0.14782000000000001</v>
      </c>
      <c r="J749" s="154">
        <v>0.21379899999999999</v>
      </c>
      <c r="K749" s="154">
        <v>0.215808</v>
      </c>
      <c r="L749" s="154">
        <v>0.14541699999999999</v>
      </c>
      <c r="M749" s="154">
        <v>0.19622300000000001</v>
      </c>
      <c r="N749" s="154">
        <v>0.13156399999999999</v>
      </c>
      <c r="O749" s="154">
        <v>0.172739</v>
      </c>
      <c r="P749" s="11"/>
      <c r="Q749" s="29"/>
      <c r="R749" s="30"/>
    </row>
    <row r="750" spans="1:18" ht="12" customHeight="1">
      <c r="A750" s="10" t="s">
        <v>375</v>
      </c>
      <c r="B750" s="11" t="s">
        <v>376</v>
      </c>
      <c r="D750" s="154">
        <v>5.8609999999999999E-3</v>
      </c>
      <c r="E750" s="154">
        <v>5.2849999999999998E-3</v>
      </c>
      <c r="F750" s="154">
        <v>6.1479999999999998E-3</v>
      </c>
      <c r="G750" s="154">
        <v>6.7340000000000004E-3</v>
      </c>
      <c r="H750" s="154">
        <v>9.0950000000000007E-3</v>
      </c>
      <c r="I750" s="154">
        <v>7.156E-3</v>
      </c>
      <c r="J750" s="154">
        <v>1.0499E-2</v>
      </c>
      <c r="K750" s="154">
        <v>1.1101E-2</v>
      </c>
      <c r="L750" s="154">
        <v>7.5189999999999996E-3</v>
      </c>
      <c r="M750" s="154">
        <v>8.2400000000000008E-3</v>
      </c>
      <c r="N750" s="154">
        <v>6.5839999999999996E-3</v>
      </c>
      <c r="O750" s="154">
        <v>6.1269999999999996E-3</v>
      </c>
      <c r="P750" s="11"/>
      <c r="Q750" s="29"/>
      <c r="R750" s="30"/>
    </row>
    <row r="751" spans="1:18" ht="12" customHeight="1">
      <c r="A751" s="10" t="s">
        <v>377</v>
      </c>
      <c r="B751" s="11" t="s">
        <v>532</v>
      </c>
      <c r="D751" s="154">
        <v>1.2460000000000001E-2</v>
      </c>
      <c r="E751" s="154">
        <v>1.2115000000000001E-2</v>
      </c>
      <c r="F751" s="154">
        <v>2.1026E-2</v>
      </c>
      <c r="G751" s="154">
        <v>1.6243E-2</v>
      </c>
      <c r="H751" s="154">
        <v>1.9719E-2</v>
      </c>
      <c r="I751" s="154">
        <v>3.0838000000000001E-2</v>
      </c>
      <c r="J751" s="154">
        <v>2.6169000000000001E-2</v>
      </c>
      <c r="K751" s="154">
        <v>2.6879E-2</v>
      </c>
      <c r="L751" s="154">
        <v>2.1545000000000002E-2</v>
      </c>
      <c r="M751" s="154">
        <v>1.7364000000000001E-2</v>
      </c>
      <c r="N751" s="154">
        <v>1.6240999999999998E-2</v>
      </c>
      <c r="O751" s="154">
        <v>1.4434000000000001E-2</v>
      </c>
      <c r="P751" s="11"/>
      <c r="Q751" s="29"/>
      <c r="R751" s="30"/>
    </row>
    <row r="752" spans="1:18" ht="12" customHeight="1">
      <c r="A752" s="10" t="s">
        <v>378</v>
      </c>
      <c r="B752" s="11" t="s">
        <v>533</v>
      </c>
      <c r="D752" s="154">
        <v>5.2639999999999996E-3</v>
      </c>
      <c r="E752" s="154">
        <v>5.7539999999999996E-3</v>
      </c>
      <c r="F752" s="154">
        <v>8.3000000000000001E-3</v>
      </c>
      <c r="G752" s="154">
        <v>1.0586999999999999E-2</v>
      </c>
      <c r="H752" s="154">
        <v>2.4327999999999999E-2</v>
      </c>
      <c r="I752" s="154">
        <v>4.2834999999999998E-2</v>
      </c>
      <c r="J752" s="154">
        <v>4.4573000000000002E-2</v>
      </c>
      <c r="K752" s="154">
        <v>4.2927E-2</v>
      </c>
      <c r="L752" s="154">
        <v>2.6939000000000001E-2</v>
      </c>
      <c r="M752" s="154">
        <v>1.1757999999999999E-2</v>
      </c>
      <c r="N752" s="154">
        <v>5.9890000000000004E-3</v>
      </c>
      <c r="O752" s="154">
        <v>9.0259999999999993E-3</v>
      </c>
      <c r="P752" s="11"/>
      <c r="Q752" s="29"/>
      <c r="R752" s="30"/>
    </row>
    <row r="753" spans="1:18" ht="12" customHeight="1">
      <c r="A753" s="10" t="s">
        <v>379</v>
      </c>
      <c r="B753" s="11" t="s">
        <v>380</v>
      </c>
      <c r="D753" s="154">
        <v>6.8781999999999996E-2</v>
      </c>
      <c r="E753" s="154">
        <v>7.7009999999999995E-2</v>
      </c>
      <c r="F753" s="154">
        <v>9.8339999999999997E-2</v>
      </c>
      <c r="G753" s="154">
        <v>0.100497</v>
      </c>
      <c r="H753" s="154">
        <v>0.13237399999999999</v>
      </c>
      <c r="I753" s="154">
        <v>0.14852199999999999</v>
      </c>
      <c r="J753" s="154">
        <v>0.240088</v>
      </c>
      <c r="K753" s="154">
        <v>0.238455</v>
      </c>
      <c r="L753" s="154">
        <v>0.15701699999999999</v>
      </c>
      <c r="M753" s="154">
        <v>0.13239999999999999</v>
      </c>
      <c r="N753" s="154">
        <v>9.8726999999999995E-2</v>
      </c>
      <c r="O753" s="154">
        <v>0.115032</v>
      </c>
      <c r="P753" s="11"/>
      <c r="Q753" s="29"/>
      <c r="R753" s="30"/>
    </row>
    <row r="754" spans="1:18" ht="12" customHeight="1">
      <c r="A754" s="10" t="s">
        <v>381</v>
      </c>
      <c r="B754" s="11" t="s">
        <v>534</v>
      </c>
      <c r="D754" s="154">
        <v>1.7193E-2</v>
      </c>
      <c r="E754" s="154">
        <v>1.9517E-2</v>
      </c>
      <c r="F754" s="154">
        <v>2.2279E-2</v>
      </c>
      <c r="G754" s="154">
        <v>2.3057999999999999E-2</v>
      </c>
      <c r="H754" s="154">
        <v>2.1561E-2</v>
      </c>
      <c r="I754" s="154">
        <v>2.5829999999999999E-2</v>
      </c>
      <c r="J754" s="154">
        <v>3.3799999999999997E-2</v>
      </c>
      <c r="K754" s="154">
        <v>3.4014000000000003E-2</v>
      </c>
      <c r="L754" s="154">
        <v>2.7550000000000002E-2</v>
      </c>
      <c r="M754" s="154">
        <v>2.7437E-2</v>
      </c>
      <c r="N754" s="154">
        <v>2.5336999999999998E-2</v>
      </c>
      <c r="O754" s="154">
        <v>2.3004E-2</v>
      </c>
      <c r="P754" s="11"/>
      <c r="Q754" s="29"/>
      <c r="R754" s="30"/>
    </row>
    <row r="755" spans="1:18" ht="12" customHeight="1">
      <c r="A755" s="10" t="s">
        <v>382</v>
      </c>
      <c r="B755" s="11" t="s">
        <v>535</v>
      </c>
      <c r="D755" s="154">
        <v>9.3480000000000004E-3</v>
      </c>
      <c r="E755" s="154">
        <v>1.0031999999999999E-2</v>
      </c>
      <c r="F755" s="154">
        <v>1.0631E-2</v>
      </c>
      <c r="G755" s="154">
        <v>9.9480000000000002E-3</v>
      </c>
      <c r="H755" s="154">
        <v>1.2862999999999999E-2</v>
      </c>
      <c r="I755" s="154">
        <v>1.255E-2</v>
      </c>
      <c r="J755" s="154">
        <v>1.3417E-2</v>
      </c>
      <c r="K755" s="154">
        <v>1.1827000000000001E-2</v>
      </c>
      <c r="L755" s="154">
        <v>1.3304E-2</v>
      </c>
      <c r="M755" s="154">
        <v>7.071E-3</v>
      </c>
      <c r="N755" s="154">
        <v>8.6949999999999996E-3</v>
      </c>
      <c r="O755" s="154">
        <v>6.0309999999999999E-3</v>
      </c>
      <c r="P755" s="11"/>
      <c r="Q755" s="29"/>
      <c r="R755" s="30"/>
    </row>
    <row r="756" spans="1:18" ht="12" customHeight="1">
      <c r="A756" s="10" t="s">
        <v>383</v>
      </c>
      <c r="B756" s="11" t="s">
        <v>384</v>
      </c>
      <c r="D756" s="154">
        <v>1.2828000000000001E-2</v>
      </c>
      <c r="E756" s="154">
        <v>1.4482999999999999E-2</v>
      </c>
      <c r="F756" s="154">
        <v>1.4734000000000001E-2</v>
      </c>
      <c r="G756" s="154">
        <v>1.7402999999999998E-2</v>
      </c>
      <c r="H756" s="154">
        <v>1.6930000000000001E-2</v>
      </c>
      <c r="I756" s="154">
        <v>1.7877000000000001E-2</v>
      </c>
      <c r="J756" s="154">
        <v>2.6485000000000002E-2</v>
      </c>
      <c r="K756" s="154">
        <v>2.4948999999999999E-2</v>
      </c>
      <c r="L756" s="154">
        <v>1.9682000000000002E-2</v>
      </c>
      <c r="M756" s="154">
        <v>1.9776999999999999E-2</v>
      </c>
      <c r="N756" s="154">
        <v>1.882E-2</v>
      </c>
      <c r="O756" s="154">
        <v>1.7002E-2</v>
      </c>
      <c r="P756" s="11"/>
      <c r="Q756" s="29"/>
      <c r="R756" s="30"/>
    </row>
    <row r="757" spans="1:18" ht="12" customHeight="1">
      <c r="A757" s="10" t="s">
        <v>385</v>
      </c>
      <c r="B757" s="11" t="s">
        <v>386</v>
      </c>
      <c r="D757" s="154">
        <v>3.0859999999999999E-2</v>
      </c>
      <c r="E757" s="154">
        <v>2.8320000000000001E-2</v>
      </c>
      <c r="F757" s="154">
        <v>2.8575E-2</v>
      </c>
      <c r="G757" s="154">
        <v>2.7817000000000001E-2</v>
      </c>
      <c r="H757" s="154">
        <v>3.3161999999999997E-2</v>
      </c>
      <c r="I757" s="154">
        <v>3.0533000000000001E-2</v>
      </c>
      <c r="J757" s="154">
        <v>3.7053999999999997E-2</v>
      </c>
      <c r="K757" s="154">
        <v>3.2910000000000002E-2</v>
      </c>
      <c r="L757" s="154">
        <v>2.9523000000000001E-2</v>
      </c>
      <c r="M757" s="154">
        <v>3.2356999999999997E-2</v>
      </c>
      <c r="N757" s="154">
        <v>2.7897999999999999E-2</v>
      </c>
      <c r="O757" s="154">
        <v>3.0206E-2</v>
      </c>
      <c r="P757" s="11"/>
      <c r="Q757" s="29"/>
      <c r="R757" s="30"/>
    </row>
    <row r="758" spans="1:18" ht="12" customHeight="1">
      <c r="A758" s="10" t="s">
        <v>387</v>
      </c>
      <c r="B758" s="11" t="s">
        <v>388</v>
      </c>
      <c r="D758" s="154">
        <v>7.6870000000000003E-3</v>
      </c>
      <c r="E758" s="154">
        <v>8.3800000000000003E-3</v>
      </c>
      <c r="F758" s="154">
        <v>9.4470000000000005E-3</v>
      </c>
      <c r="G758" s="154">
        <v>1.0064999999999999E-2</v>
      </c>
      <c r="H758" s="154">
        <v>1.1916E-2</v>
      </c>
      <c r="I758" s="154">
        <v>1.3934E-2</v>
      </c>
      <c r="J758" s="154">
        <v>1.7520999999999998E-2</v>
      </c>
      <c r="K758" s="154">
        <v>1.9335999999999999E-2</v>
      </c>
      <c r="L758" s="154">
        <v>1.1757999999999999E-2</v>
      </c>
      <c r="M758" s="154">
        <v>1.0538E-2</v>
      </c>
      <c r="N758" s="154">
        <v>9.5379999999999996E-3</v>
      </c>
      <c r="O758" s="154">
        <v>1.0055E-2</v>
      </c>
      <c r="P758" s="11"/>
      <c r="Q758" s="29"/>
      <c r="R758" s="30"/>
    </row>
    <row r="759" spans="1:18" ht="12" customHeight="1">
      <c r="A759" s="10" t="s">
        <v>389</v>
      </c>
      <c r="B759" s="11" t="s">
        <v>536</v>
      </c>
      <c r="D759" s="154">
        <v>0.17493500000000001</v>
      </c>
      <c r="E759" s="154">
        <v>0.18237800000000001</v>
      </c>
      <c r="F759" s="154">
        <v>0.211224</v>
      </c>
      <c r="G759" s="154">
        <v>0.216721</v>
      </c>
      <c r="H759" s="154">
        <v>0.23472799999999999</v>
      </c>
      <c r="I759" s="154">
        <v>0.26133200000000001</v>
      </c>
      <c r="J759" s="154">
        <v>0.32549800000000001</v>
      </c>
      <c r="K759" s="154">
        <v>0.34270299999999998</v>
      </c>
      <c r="L759" s="154">
        <v>0.28275499999999998</v>
      </c>
      <c r="M759" s="154">
        <v>0.26581100000000002</v>
      </c>
      <c r="N759" s="154">
        <v>0.23094100000000001</v>
      </c>
      <c r="O759" s="154">
        <v>0.258461</v>
      </c>
      <c r="P759" s="11"/>
      <c r="Q759" s="29"/>
      <c r="R759" s="30"/>
    </row>
    <row r="760" spans="1:18" ht="12" customHeight="1">
      <c r="A760" s="10" t="s">
        <v>390</v>
      </c>
      <c r="B760" s="11" t="s">
        <v>391</v>
      </c>
      <c r="D760" s="154">
        <v>1.2581E-2</v>
      </c>
      <c r="E760" s="154">
        <v>1.2792E-2</v>
      </c>
      <c r="F760" s="154">
        <v>1.5308E-2</v>
      </c>
      <c r="G760" s="154">
        <v>1.4553E-2</v>
      </c>
      <c r="H760" s="154">
        <v>1.5202E-2</v>
      </c>
      <c r="I760" s="154">
        <v>1.8443000000000001E-2</v>
      </c>
      <c r="J760" s="154">
        <v>2.4365999999999999E-2</v>
      </c>
      <c r="K760" s="154">
        <v>2.5382999999999999E-2</v>
      </c>
      <c r="L760" s="154">
        <v>2.2266999999999999E-2</v>
      </c>
      <c r="M760" s="154">
        <v>2.1926999999999999E-2</v>
      </c>
      <c r="N760" s="154">
        <v>2.6088E-2</v>
      </c>
      <c r="O760" s="154">
        <v>2.3161999999999999E-2</v>
      </c>
      <c r="P760" s="11"/>
      <c r="Q760" s="29"/>
      <c r="R760" s="30"/>
    </row>
    <row r="761" spans="1:18" ht="12" customHeight="1">
      <c r="A761" s="10" t="s">
        <v>392</v>
      </c>
      <c r="B761" s="11" t="s">
        <v>393</v>
      </c>
      <c r="D761" s="154">
        <v>0.353908</v>
      </c>
      <c r="E761" s="154">
        <v>0.425844</v>
      </c>
      <c r="F761" s="154">
        <v>0.64735900000000002</v>
      </c>
      <c r="G761" s="154">
        <v>0.77750399999999997</v>
      </c>
      <c r="H761" s="154">
        <v>0.97706000000000004</v>
      </c>
      <c r="I761" s="154">
        <v>0.89691399999999999</v>
      </c>
      <c r="J761" s="154">
        <v>1.0756669999999999</v>
      </c>
      <c r="K761" s="154">
        <v>1.2915749999999999</v>
      </c>
      <c r="L761" s="154">
        <v>1.063833</v>
      </c>
      <c r="M761" s="154">
        <v>0.91363799999999995</v>
      </c>
      <c r="N761" s="154">
        <v>0.554539</v>
      </c>
      <c r="O761" s="154">
        <v>0.44318600000000002</v>
      </c>
      <c r="P761" s="11"/>
      <c r="Q761" s="29"/>
      <c r="R761" s="30"/>
    </row>
    <row r="762" spans="1:18" ht="12" customHeight="1">
      <c r="A762" s="10" t="s">
        <v>394</v>
      </c>
      <c r="B762" s="11" t="s">
        <v>395</v>
      </c>
      <c r="D762" s="154">
        <v>0.57595600000000002</v>
      </c>
      <c r="E762" s="154">
        <v>0.786242</v>
      </c>
      <c r="F762" s="154">
        <v>1.142379</v>
      </c>
      <c r="G762" s="154">
        <v>1.4841169999999999</v>
      </c>
      <c r="H762" s="154">
        <v>1.883111</v>
      </c>
      <c r="I762" s="154">
        <v>1.896574</v>
      </c>
      <c r="J762" s="154">
        <v>2.1709239999999999</v>
      </c>
      <c r="K762" s="154">
        <v>2.246731</v>
      </c>
      <c r="L762" s="154">
        <v>1.9548730000000001</v>
      </c>
      <c r="M762" s="154">
        <v>1.928712</v>
      </c>
      <c r="N762" s="154">
        <v>0.77582099999999998</v>
      </c>
      <c r="O762" s="154">
        <v>0.56805799999999995</v>
      </c>
      <c r="P762" s="11"/>
      <c r="Q762" s="29"/>
      <c r="R762" s="30"/>
    </row>
    <row r="763" spans="1:18" ht="12" customHeight="1">
      <c r="A763" s="10" t="s">
        <v>3111</v>
      </c>
      <c r="B763" s="11" t="s">
        <v>3112</v>
      </c>
      <c r="D763" s="154">
        <v>7.0861999999999994E-2</v>
      </c>
      <c r="E763" s="154">
        <v>7.6585E-2</v>
      </c>
      <c r="F763" s="154">
        <v>0.124761</v>
      </c>
      <c r="G763" s="154">
        <v>0.14485600000000001</v>
      </c>
      <c r="H763" s="154">
        <v>0.19816</v>
      </c>
      <c r="I763" s="154">
        <v>0.18598500000000001</v>
      </c>
      <c r="J763" s="154">
        <v>0.25099500000000002</v>
      </c>
      <c r="K763" s="154">
        <v>0.34753600000000001</v>
      </c>
      <c r="L763" s="154">
        <v>0.23055999999999999</v>
      </c>
      <c r="M763" s="154">
        <v>0.17310300000000001</v>
      </c>
      <c r="N763" s="154">
        <v>0.10231700000000001</v>
      </c>
      <c r="O763" s="154">
        <v>8.1530000000000005E-2</v>
      </c>
      <c r="P763" s="11"/>
      <c r="Q763" s="29"/>
      <c r="R763" s="30"/>
    </row>
    <row r="764" spans="1:18" ht="12" customHeight="1">
      <c r="A764" s="10" t="s">
        <v>3113</v>
      </c>
      <c r="B764" s="11" t="s">
        <v>3057</v>
      </c>
      <c r="D764" s="154">
        <v>0.79708800000000002</v>
      </c>
      <c r="E764" s="154">
        <v>0.99471100000000001</v>
      </c>
      <c r="F764" s="154">
        <v>1.3401620000000001</v>
      </c>
      <c r="G764" s="154">
        <v>1.405734</v>
      </c>
      <c r="H764" s="154">
        <v>1.617021</v>
      </c>
      <c r="I764" s="154">
        <v>1.477287</v>
      </c>
      <c r="J764" s="154">
        <v>1.5982590000000001</v>
      </c>
      <c r="K764" s="154">
        <v>1.758375</v>
      </c>
      <c r="L764" s="154">
        <v>1.605505</v>
      </c>
      <c r="M764" s="154">
        <v>1.5712839999999999</v>
      </c>
      <c r="N764" s="154">
        <v>1.149575</v>
      </c>
      <c r="O764" s="154">
        <v>0.90844499999999995</v>
      </c>
      <c r="P764" s="11"/>
      <c r="Q764" s="29"/>
      <c r="R764" s="30"/>
    </row>
    <row r="765" spans="1:18" ht="12" customHeight="1">
      <c r="A765" s="10" t="s">
        <v>3114</v>
      </c>
      <c r="B765" s="11" t="s">
        <v>3059</v>
      </c>
      <c r="D765" s="154">
        <v>2.7372E-2</v>
      </c>
      <c r="E765" s="154">
        <v>3.6549999999999999E-2</v>
      </c>
      <c r="F765" s="154">
        <v>6.8135000000000001E-2</v>
      </c>
      <c r="G765" s="154">
        <v>7.6121999999999995E-2</v>
      </c>
      <c r="H765" s="154">
        <v>9.8265000000000005E-2</v>
      </c>
      <c r="I765" s="154">
        <v>9.3439999999999995E-2</v>
      </c>
      <c r="J765" s="154">
        <v>0.109948</v>
      </c>
      <c r="K765" s="154">
        <v>0.131438</v>
      </c>
      <c r="L765" s="154">
        <v>0.109163</v>
      </c>
      <c r="M765" s="154">
        <v>9.1685000000000003E-2</v>
      </c>
      <c r="N765" s="154">
        <v>5.3802999999999997E-2</v>
      </c>
      <c r="O765" s="154">
        <v>3.5564999999999999E-2</v>
      </c>
      <c r="P765" s="11"/>
      <c r="Q765" s="29"/>
      <c r="R765" s="30"/>
    </row>
    <row r="766" spans="1:18" ht="12" customHeight="1">
      <c r="A766" s="10" t="s">
        <v>3115</v>
      </c>
      <c r="B766" s="11" t="s">
        <v>396</v>
      </c>
      <c r="D766" s="154">
        <v>5.4309999999999997E-2</v>
      </c>
      <c r="E766" s="154">
        <v>7.1968000000000004E-2</v>
      </c>
      <c r="F766" s="154">
        <v>0.11035</v>
      </c>
      <c r="G766" s="154">
        <v>0.13195599999999999</v>
      </c>
      <c r="H766" s="154">
        <v>0.17538799999999999</v>
      </c>
      <c r="I766" s="154">
        <v>0.13930799999999999</v>
      </c>
      <c r="J766" s="154">
        <v>0.15859200000000001</v>
      </c>
      <c r="K766" s="154">
        <v>0.18726400000000001</v>
      </c>
      <c r="L766" s="154">
        <v>0.17264599999999999</v>
      </c>
      <c r="M766" s="154">
        <v>0.14795900000000001</v>
      </c>
      <c r="N766" s="154">
        <v>8.0756999999999995E-2</v>
      </c>
      <c r="O766" s="154">
        <v>6.4475000000000005E-2</v>
      </c>
      <c r="P766" s="11"/>
      <c r="Q766" s="29"/>
      <c r="R766" s="30"/>
    </row>
    <row r="767" spans="1:18" ht="12" customHeight="1">
      <c r="A767" s="10" t="s">
        <v>3116</v>
      </c>
      <c r="B767" s="11" t="s">
        <v>3117</v>
      </c>
      <c r="D767" s="154">
        <v>5.5723000000000002E-2</v>
      </c>
      <c r="E767" s="154">
        <v>7.7299000000000007E-2</v>
      </c>
      <c r="F767" s="154">
        <v>0.13608999999999999</v>
      </c>
      <c r="G767" s="154">
        <v>0.176457</v>
      </c>
      <c r="H767" s="154">
        <v>0.21507999999999999</v>
      </c>
      <c r="I767" s="154">
        <v>0.194469</v>
      </c>
      <c r="J767" s="154">
        <v>0.25750499999999998</v>
      </c>
      <c r="K767" s="154">
        <v>0.30368099999999998</v>
      </c>
      <c r="L767" s="154">
        <v>0.24193799999999999</v>
      </c>
      <c r="M767" s="154">
        <v>0.223638</v>
      </c>
      <c r="N767" s="154">
        <v>0.118101</v>
      </c>
      <c r="O767" s="154">
        <v>6.6043000000000004E-2</v>
      </c>
      <c r="P767" s="11"/>
      <c r="Q767" s="29"/>
      <c r="R767" s="30"/>
    </row>
    <row r="768" spans="1:18" ht="12" customHeight="1">
      <c r="A768" s="10" t="s">
        <v>397</v>
      </c>
      <c r="B768" s="11" t="s">
        <v>537</v>
      </c>
      <c r="D768" s="154">
        <v>3.7520999999999999E-2</v>
      </c>
      <c r="E768" s="154">
        <v>4.6115000000000003E-2</v>
      </c>
      <c r="F768" s="154">
        <v>8.6929999999999993E-2</v>
      </c>
      <c r="G768" s="154">
        <v>0.12363300000000001</v>
      </c>
      <c r="H768" s="154">
        <v>0.19400100000000001</v>
      </c>
      <c r="I768" s="154">
        <v>0.23619100000000001</v>
      </c>
      <c r="J768" s="154">
        <v>0.31623099999999998</v>
      </c>
      <c r="K768" s="154">
        <v>0.34791100000000003</v>
      </c>
      <c r="L768" s="154">
        <v>0.26555600000000001</v>
      </c>
      <c r="M768" s="154">
        <v>0.17218</v>
      </c>
      <c r="N768" s="154">
        <v>7.7396999999999994E-2</v>
      </c>
      <c r="O768" s="154">
        <v>4.7538999999999998E-2</v>
      </c>
      <c r="P768" s="11"/>
      <c r="Q768" s="29"/>
      <c r="R768" s="30"/>
    </row>
    <row r="769" spans="1:18" ht="12" customHeight="1">
      <c r="A769" s="10" t="s">
        <v>398</v>
      </c>
      <c r="B769" s="11" t="s">
        <v>538</v>
      </c>
      <c r="D769" s="154">
        <v>0.51455799999999996</v>
      </c>
      <c r="E769" s="154">
        <v>0.56484599999999996</v>
      </c>
      <c r="F769" s="154">
        <v>0.66521699999999995</v>
      </c>
      <c r="G769" s="154">
        <v>0.68744000000000005</v>
      </c>
      <c r="H769" s="154">
        <v>0.75464699999999996</v>
      </c>
      <c r="I769" s="154">
        <v>0.72643599999999997</v>
      </c>
      <c r="J769" s="154">
        <v>0.80037499999999995</v>
      </c>
      <c r="K769" s="154">
        <v>0.82383399999999996</v>
      </c>
      <c r="L769" s="154">
        <v>0.75697800000000004</v>
      </c>
      <c r="M769" s="154">
        <v>0.71859499999999998</v>
      </c>
      <c r="N769" s="154">
        <v>0.61903600000000003</v>
      </c>
      <c r="O769" s="154">
        <v>0.53650200000000003</v>
      </c>
      <c r="P769" s="11"/>
      <c r="Q769" s="29"/>
      <c r="R769" s="30"/>
    </row>
    <row r="770" spans="1:18" ht="12" customHeight="1">
      <c r="A770" s="10" t="s">
        <v>399</v>
      </c>
      <c r="B770" s="11" t="s">
        <v>400</v>
      </c>
      <c r="D770" s="154">
        <v>2.1075E-2</v>
      </c>
      <c r="E770" s="154">
        <v>2.4756E-2</v>
      </c>
      <c r="F770" s="154">
        <v>2.8996999999999998E-2</v>
      </c>
      <c r="G770" s="154">
        <v>3.2550000000000003E-2</v>
      </c>
      <c r="H770" s="154">
        <v>4.2667999999999998E-2</v>
      </c>
      <c r="I770" s="154">
        <v>4.7848000000000002E-2</v>
      </c>
      <c r="J770" s="154">
        <v>5.8127999999999999E-2</v>
      </c>
      <c r="K770" s="154">
        <v>6.0388999999999998E-2</v>
      </c>
      <c r="L770" s="154">
        <v>4.8606000000000003E-2</v>
      </c>
      <c r="M770" s="154">
        <v>4.2083000000000002E-2</v>
      </c>
      <c r="N770" s="154">
        <v>3.2356999999999997E-2</v>
      </c>
      <c r="O770" s="154">
        <v>2.4635000000000001E-2</v>
      </c>
      <c r="P770" s="11"/>
      <c r="Q770" s="29"/>
      <c r="R770" s="30"/>
    </row>
    <row r="771" spans="1:18" ht="12" customHeight="1">
      <c r="A771" s="10" t="s">
        <v>401</v>
      </c>
      <c r="B771" s="11" t="s">
        <v>402</v>
      </c>
      <c r="D771" s="154">
        <v>4.1834000000000003E-2</v>
      </c>
      <c r="E771" s="154">
        <v>3.6183E-2</v>
      </c>
      <c r="F771" s="154">
        <v>4.2513000000000002E-2</v>
      </c>
      <c r="G771" s="154">
        <v>5.8146000000000003E-2</v>
      </c>
      <c r="H771" s="154">
        <v>9.3642000000000003E-2</v>
      </c>
      <c r="I771" s="154">
        <v>8.8992000000000002E-2</v>
      </c>
      <c r="J771" s="154">
        <v>0.122196</v>
      </c>
      <c r="K771" s="154">
        <v>0.13750699999999999</v>
      </c>
      <c r="L771" s="154">
        <v>9.7368999999999997E-2</v>
      </c>
      <c r="M771" s="154">
        <v>7.1336999999999998E-2</v>
      </c>
      <c r="N771" s="154">
        <v>4.7287000000000003E-2</v>
      </c>
      <c r="O771" s="154">
        <v>4.5303000000000003E-2</v>
      </c>
      <c r="P771" s="11"/>
      <c r="Q771" s="29"/>
      <c r="R771" s="30"/>
    </row>
    <row r="772" spans="1:18" ht="12" customHeight="1">
      <c r="A772" s="10" t="s">
        <v>403</v>
      </c>
      <c r="B772" s="11" t="s">
        <v>269</v>
      </c>
      <c r="D772" s="154">
        <v>1.5869000000000001E-2</v>
      </c>
      <c r="E772" s="154">
        <v>1.3114000000000001E-2</v>
      </c>
      <c r="F772" s="154">
        <v>1.6274E-2</v>
      </c>
      <c r="G772" s="154">
        <v>1.6427000000000001E-2</v>
      </c>
      <c r="H772" s="154">
        <v>2.1493999999999999E-2</v>
      </c>
      <c r="I772" s="154">
        <v>2.3828999999999999E-2</v>
      </c>
      <c r="J772" s="154">
        <v>3.2695000000000002E-2</v>
      </c>
      <c r="K772" s="154">
        <v>3.2140000000000002E-2</v>
      </c>
      <c r="L772" s="154">
        <v>2.6459E-2</v>
      </c>
      <c r="M772" s="154">
        <v>2.2533999999999998E-2</v>
      </c>
      <c r="N772" s="154">
        <v>1.6471E-2</v>
      </c>
      <c r="O772" s="154">
        <v>1.4428E-2</v>
      </c>
      <c r="P772" s="11"/>
      <c r="Q772" s="29"/>
      <c r="R772" s="30"/>
    </row>
    <row r="773" spans="1:18" ht="12" customHeight="1">
      <c r="A773" s="10" t="s">
        <v>404</v>
      </c>
      <c r="B773" s="11" t="s">
        <v>405</v>
      </c>
      <c r="D773" s="154">
        <v>9.0919999999999994E-3</v>
      </c>
      <c r="E773" s="154">
        <v>1.1320999999999999E-2</v>
      </c>
      <c r="F773" s="154">
        <v>1.2351000000000001E-2</v>
      </c>
      <c r="G773" s="154">
        <v>1.5674E-2</v>
      </c>
      <c r="H773" s="154">
        <v>2.1929000000000001E-2</v>
      </c>
      <c r="I773" s="154">
        <v>2.4355000000000002E-2</v>
      </c>
      <c r="J773" s="154">
        <v>3.5284999999999997E-2</v>
      </c>
      <c r="K773" s="154">
        <v>3.5854999999999998E-2</v>
      </c>
      <c r="L773" s="154">
        <v>2.6061000000000001E-2</v>
      </c>
      <c r="M773" s="154">
        <v>1.6004000000000001E-2</v>
      </c>
      <c r="N773" s="154">
        <v>1.464E-2</v>
      </c>
      <c r="O773" s="154">
        <v>1.0581999999999999E-2</v>
      </c>
      <c r="P773" s="11"/>
      <c r="Q773" s="29"/>
      <c r="R773" s="30"/>
    </row>
    <row r="774" spans="1:18" ht="12" customHeight="1">
      <c r="A774" s="10" t="s">
        <v>406</v>
      </c>
      <c r="B774" s="11" t="s">
        <v>23</v>
      </c>
      <c r="D774" s="154">
        <v>1.4607999999999999E-2</v>
      </c>
      <c r="E774" s="154">
        <v>1.6837000000000001E-2</v>
      </c>
      <c r="F774" s="154">
        <v>1.4361000000000001E-2</v>
      </c>
      <c r="G774" s="154">
        <v>1.8418E-2</v>
      </c>
      <c r="H774" s="154">
        <v>2.1027000000000001E-2</v>
      </c>
      <c r="I774" s="154">
        <v>2.3342999999999999E-2</v>
      </c>
      <c r="J774" s="154">
        <v>3.1543000000000002E-2</v>
      </c>
      <c r="K774" s="154">
        <v>3.4605999999999998E-2</v>
      </c>
      <c r="L774" s="154">
        <v>2.5281000000000001E-2</v>
      </c>
      <c r="M774" s="154">
        <v>2.0972000000000001E-2</v>
      </c>
      <c r="N774" s="154">
        <v>1.9585000000000002E-2</v>
      </c>
      <c r="O774" s="154">
        <v>1.6454E-2</v>
      </c>
      <c r="P774" s="11"/>
      <c r="Q774" s="29"/>
      <c r="R774" s="30"/>
    </row>
    <row r="775" spans="1:18" ht="12" customHeight="1">
      <c r="A775" s="10" t="s">
        <v>407</v>
      </c>
      <c r="B775" s="11" t="s">
        <v>22</v>
      </c>
      <c r="D775" s="154">
        <v>0.14857100000000001</v>
      </c>
      <c r="E775" s="154">
        <v>0.17211899999999999</v>
      </c>
      <c r="F775" s="154">
        <v>0.20800399999999999</v>
      </c>
      <c r="G775" s="154">
        <v>0.21290999999999999</v>
      </c>
      <c r="H775" s="154">
        <v>0.224359</v>
      </c>
      <c r="I775" s="154">
        <v>0.22354299999999999</v>
      </c>
      <c r="J775" s="154">
        <v>0.20683499999999999</v>
      </c>
      <c r="K775" s="154">
        <v>0.207568</v>
      </c>
      <c r="L775" s="154">
        <v>0.22781899999999999</v>
      </c>
      <c r="M775" s="154">
        <v>0.235428</v>
      </c>
      <c r="N775" s="154">
        <v>0.21143200000000001</v>
      </c>
      <c r="O775" s="154">
        <v>0.19658200000000001</v>
      </c>
      <c r="P775" s="11"/>
      <c r="Q775" s="29"/>
      <c r="R775" s="30"/>
    </row>
    <row r="776" spans="1:18" ht="12" customHeight="1">
      <c r="A776" s="10" t="s">
        <v>408</v>
      </c>
      <c r="B776" s="11" t="s">
        <v>21</v>
      </c>
      <c r="D776" s="154">
        <v>5.0850000000000001E-3</v>
      </c>
      <c r="E776" s="154">
        <v>6.1399999999999996E-3</v>
      </c>
      <c r="F776" s="154">
        <v>5.5950000000000001E-3</v>
      </c>
      <c r="G776" s="154">
        <v>6.2490000000000002E-3</v>
      </c>
      <c r="H776" s="154">
        <v>8.5459999999999998E-3</v>
      </c>
      <c r="I776" s="154">
        <v>7.3169999999999997E-3</v>
      </c>
      <c r="J776" s="154">
        <v>1.094E-2</v>
      </c>
      <c r="K776" s="154">
        <v>1.2338E-2</v>
      </c>
      <c r="L776" s="154">
        <v>8.8400000000000006E-3</v>
      </c>
      <c r="M776" s="154">
        <v>7.6400000000000001E-3</v>
      </c>
      <c r="N776" s="154">
        <v>6.3470000000000002E-3</v>
      </c>
      <c r="O776" s="154">
        <v>9.7359999999999999E-3</v>
      </c>
      <c r="P776" s="11"/>
      <c r="Q776" s="29"/>
      <c r="R776" s="30"/>
    </row>
    <row r="777" spans="1:18" ht="12" customHeight="1">
      <c r="A777" s="10" t="s">
        <v>409</v>
      </c>
      <c r="B777" s="11" t="s">
        <v>410</v>
      </c>
      <c r="D777" s="154">
        <v>1.6649000000000001E-2</v>
      </c>
      <c r="E777" s="154">
        <v>1.6239E-2</v>
      </c>
      <c r="F777" s="154">
        <v>2.0493000000000001E-2</v>
      </c>
      <c r="G777" s="154">
        <v>2.1477E-2</v>
      </c>
      <c r="H777" s="154">
        <v>2.6759000000000002E-2</v>
      </c>
      <c r="I777" s="154">
        <v>2.2475999999999999E-2</v>
      </c>
      <c r="J777" s="154">
        <v>2.8059000000000001E-2</v>
      </c>
      <c r="K777" s="154">
        <v>3.0655000000000002E-2</v>
      </c>
      <c r="L777" s="154">
        <v>2.8462000000000001E-2</v>
      </c>
      <c r="M777" s="154">
        <v>2.4537E-2</v>
      </c>
      <c r="N777" s="154">
        <v>2.0508999999999999E-2</v>
      </c>
      <c r="O777" s="154">
        <v>2.1461999999999998E-2</v>
      </c>
      <c r="P777" s="11"/>
      <c r="Q777" s="29"/>
      <c r="R777" s="30"/>
    </row>
    <row r="778" spans="1:18" ht="12" customHeight="1">
      <c r="A778" s="10" t="s">
        <v>411</v>
      </c>
      <c r="B778" s="11" t="s">
        <v>412</v>
      </c>
      <c r="D778" s="154">
        <v>0.17830099999999999</v>
      </c>
      <c r="E778" s="154">
        <v>0.16367000000000001</v>
      </c>
      <c r="F778" s="154">
        <v>0.16531199999999999</v>
      </c>
      <c r="G778" s="154">
        <v>0.16849700000000001</v>
      </c>
      <c r="H778" s="154">
        <v>0.23990800000000001</v>
      </c>
      <c r="I778" s="154">
        <v>0.23716100000000001</v>
      </c>
      <c r="J778" s="154">
        <v>0.445716</v>
      </c>
      <c r="K778" s="154">
        <v>0.53042199999999995</v>
      </c>
      <c r="L778" s="154">
        <v>0.237818</v>
      </c>
      <c r="M778" s="154">
        <v>0.21720600000000001</v>
      </c>
      <c r="N778" s="154">
        <v>0.168216</v>
      </c>
      <c r="O778" s="154">
        <v>0.16960900000000001</v>
      </c>
      <c r="P778" s="11"/>
      <c r="Q778" s="29"/>
      <c r="R778" s="30"/>
    </row>
    <row r="779" spans="1:18" ht="12" customHeight="1">
      <c r="A779" s="10" t="s">
        <v>413</v>
      </c>
      <c r="B779" s="11" t="s">
        <v>414</v>
      </c>
      <c r="D779" s="154">
        <v>0.292964</v>
      </c>
      <c r="E779" s="154">
        <v>0.286968</v>
      </c>
      <c r="F779" s="154">
        <v>0.37156699999999998</v>
      </c>
      <c r="G779" s="154">
        <v>0.48249300000000001</v>
      </c>
      <c r="H779" s="154">
        <v>0.819268</v>
      </c>
      <c r="I779" s="154">
        <v>0.98657700000000004</v>
      </c>
      <c r="J779" s="154">
        <v>1.865189</v>
      </c>
      <c r="K779" s="154">
        <v>2.098519</v>
      </c>
      <c r="L779" s="154">
        <v>1.003606</v>
      </c>
      <c r="M779" s="154">
        <v>0.55390499999999998</v>
      </c>
      <c r="N779" s="154">
        <v>0.29369400000000001</v>
      </c>
      <c r="O779" s="154">
        <v>0.360265</v>
      </c>
      <c r="P779" s="11"/>
      <c r="Q779" s="29"/>
      <c r="R779" s="30"/>
    </row>
    <row r="780" spans="1:18" ht="12" customHeight="1">
      <c r="A780" s="10" t="s">
        <v>415</v>
      </c>
      <c r="B780" s="11" t="s">
        <v>416</v>
      </c>
      <c r="D780" s="154">
        <v>7.7086000000000002E-2</v>
      </c>
      <c r="E780" s="154">
        <v>7.6238E-2</v>
      </c>
      <c r="F780" s="154">
        <v>0.108275</v>
      </c>
      <c r="G780" s="154">
        <v>0.11595900000000001</v>
      </c>
      <c r="H780" s="154">
        <v>0.137937</v>
      </c>
      <c r="I780" s="154">
        <v>0.14005799999999999</v>
      </c>
      <c r="J780" s="154">
        <v>0.19437599999999999</v>
      </c>
      <c r="K780" s="154">
        <v>0.189191</v>
      </c>
      <c r="L780" s="154">
        <v>0.13242200000000001</v>
      </c>
      <c r="M780" s="154">
        <v>0.135516</v>
      </c>
      <c r="N780" s="154">
        <v>0.115262</v>
      </c>
      <c r="O780" s="154">
        <v>0.128911</v>
      </c>
      <c r="P780" s="11"/>
      <c r="Q780" s="29"/>
      <c r="R780" s="30"/>
    </row>
    <row r="781" spans="1:18" ht="12" customHeight="1">
      <c r="A781" s="10" t="s">
        <v>417</v>
      </c>
      <c r="B781" s="11" t="s">
        <v>418</v>
      </c>
      <c r="D781" s="154">
        <v>4.1168000000000003E-2</v>
      </c>
      <c r="E781" s="154">
        <v>5.8104000000000003E-2</v>
      </c>
      <c r="F781" s="154">
        <v>7.0597999999999994E-2</v>
      </c>
      <c r="G781" s="154">
        <v>7.3938000000000004E-2</v>
      </c>
      <c r="H781" s="154">
        <v>0.109818</v>
      </c>
      <c r="I781" s="154">
        <v>0.114521</v>
      </c>
      <c r="J781" s="154">
        <v>0.14021500000000001</v>
      </c>
      <c r="K781" s="154">
        <v>0.12878300000000001</v>
      </c>
      <c r="L781" s="154">
        <v>9.9712999999999996E-2</v>
      </c>
      <c r="M781" s="154">
        <v>8.8951000000000002E-2</v>
      </c>
      <c r="N781" s="154">
        <v>6.5851000000000007E-2</v>
      </c>
      <c r="O781" s="154">
        <v>4.5305999999999999E-2</v>
      </c>
      <c r="P781" s="11"/>
      <c r="Q781" s="29"/>
      <c r="R781" s="30"/>
    </row>
    <row r="782" spans="1:18" ht="12" customHeight="1">
      <c r="A782" s="10" t="s">
        <v>419</v>
      </c>
      <c r="B782" s="11" t="s">
        <v>420</v>
      </c>
      <c r="D782" s="154">
        <v>0.13420199999999999</v>
      </c>
      <c r="E782" s="154">
        <v>0.18179100000000001</v>
      </c>
      <c r="F782" s="154">
        <v>9.257E-2</v>
      </c>
      <c r="G782" s="154">
        <v>5.0765999999999999E-2</v>
      </c>
      <c r="H782" s="154">
        <v>8.3136000000000002E-2</v>
      </c>
      <c r="I782" s="154">
        <v>8.8511999999999993E-2</v>
      </c>
      <c r="J782" s="154">
        <v>0.18940100000000001</v>
      </c>
      <c r="K782" s="154">
        <v>0.17569399999999999</v>
      </c>
      <c r="L782" s="154">
        <v>8.3457000000000003E-2</v>
      </c>
      <c r="M782" s="154">
        <v>7.7216999999999994E-2</v>
      </c>
      <c r="N782" s="154">
        <v>4.9602E-2</v>
      </c>
      <c r="O782" s="154">
        <v>9.2575000000000005E-2</v>
      </c>
      <c r="P782" s="11"/>
      <c r="Q782" s="29"/>
      <c r="R782" s="30"/>
    </row>
    <row r="783" spans="1:18" ht="12" customHeight="1">
      <c r="A783" s="10" t="s">
        <v>421</v>
      </c>
      <c r="B783" s="11" t="s">
        <v>422</v>
      </c>
      <c r="D783" s="154">
        <v>7.0826E-2</v>
      </c>
      <c r="E783" s="154">
        <v>8.9556999999999998E-2</v>
      </c>
      <c r="F783" s="154">
        <v>5.5857999999999998E-2</v>
      </c>
      <c r="G783" s="154">
        <v>4.9567E-2</v>
      </c>
      <c r="H783" s="154">
        <v>7.9635999999999998E-2</v>
      </c>
      <c r="I783" s="154">
        <v>9.2909000000000005E-2</v>
      </c>
      <c r="J783" s="154">
        <v>0.14117099999999999</v>
      </c>
      <c r="K783" s="154">
        <v>0.165272</v>
      </c>
      <c r="L783" s="154">
        <v>9.4514000000000001E-2</v>
      </c>
      <c r="M783" s="154">
        <v>7.1827000000000002E-2</v>
      </c>
      <c r="N783" s="154">
        <v>4.2346000000000002E-2</v>
      </c>
      <c r="O783" s="154">
        <v>5.7238999999999998E-2</v>
      </c>
      <c r="P783" s="11"/>
      <c r="Q783" s="29"/>
      <c r="R783" s="30"/>
    </row>
    <row r="784" spans="1:18" ht="12" customHeight="1">
      <c r="A784" s="10" t="s">
        <v>423</v>
      </c>
      <c r="B784" s="11" t="s">
        <v>424</v>
      </c>
      <c r="D784" s="154">
        <v>2.6567E-2</v>
      </c>
      <c r="E784" s="154">
        <v>3.3586999999999999E-2</v>
      </c>
      <c r="F784" s="154">
        <v>3.2301000000000003E-2</v>
      </c>
      <c r="G784" s="154">
        <v>2.682E-2</v>
      </c>
      <c r="H784" s="154">
        <v>3.6615000000000002E-2</v>
      </c>
      <c r="I784" s="154">
        <v>4.5034999999999999E-2</v>
      </c>
      <c r="J784" s="154">
        <v>6.1497000000000003E-2</v>
      </c>
      <c r="K784" s="154">
        <v>6.3714000000000007E-2</v>
      </c>
      <c r="L784" s="154">
        <v>3.6724E-2</v>
      </c>
      <c r="M784" s="154">
        <v>3.5527000000000003E-2</v>
      </c>
      <c r="N784" s="154">
        <v>3.2786999999999997E-2</v>
      </c>
      <c r="O784" s="154">
        <v>2.7632E-2</v>
      </c>
      <c r="P784" s="11"/>
      <c r="Q784" s="29"/>
      <c r="R784" s="30"/>
    </row>
    <row r="785" spans="1:18" ht="12" customHeight="1">
      <c r="A785" s="10" t="s">
        <v>425</v>
      </c>
      <c r="B785" s="11" t="s">
        <v>426</v>
      </c>
      <c r="D785" s="154">
        <v>0.15356800000000001</v>
      </c>
      <c r="E785" s="154">
        <v>0.15810299999999999</v>
      </c>
      <c r="F785" s="154">
        <v>0.167376</v>
      </c>
      <c r="G785" s="154">
        <v>0.169262</v>
      </c>
      <c r="H785" s="154">
        <v>0.22717100000000001</v>
      </c>
      <c r="I785" s="154">
        <v>0.31065399999999999</v>
      </c>
      <c r="J785" s="154">
        <v>0.33468900000000001</v>
      </c>
      <c r="K785" s="154">
        <v>0.37517099999999998</v>
      </c>
      <c r="L785" s="154">
        <v>0.25003700000000001</v>
      </c>
      <c r="M785" s="154">
        <v>0.215421</v>
      </c>
      <c r="N785" s="154">
        <v>0.22254599999999999</v>
      </c>
      <c r="O785" s="154">
        <v>0.24605399999999999</v>
      </c>
      <c r="P785" s="11"/>
      <c r="Q785" s="29"/>
      <c r="R785" s="30"/>
    </row>
    <row r="786" spans="1:18" ht="12" customHeight="1">
      <c r="A786" s="10" t="s">
        <v>427</v>
      </c>
      <c r="B786" s="11" t="s">
        <v>428</v>
      </c>
      <c r="D786" s="154">
        <v>1.5387E-2</v>
      </c>
      <c r="E786" s="154">
        <v>1.6278999999999998E-2</v>
      </c>
      <c r="F786" s="154">
        <v>1.7285999999999999E-2</v>
      </c>
      <c r="G786" s="154">
        <v>1.6558E-2</v>
      </c>
      <c r="H786" s="154">
        <v>2.8209000000000001E-2</v>
      </c>
      <c r="I786" s="154">
        <v>3.7530000000000001E-2</v>
      </c>
      <c r="J786" s="154">
        <v>4.9332000000000001E-2</v>
      </c>
      <c r="K786" s="154">
        <v>6.0705000000000002E-2</v>
      </c>
      <c r="L786" s="154">
        <v>2.3893999999999999E-2</v>
      </c>
      <c r="M786" s="154">
        <v>2.0500000000000001E-2</v>
      </c>
      <c r="N786" s="154">
        <v>1.7590999999999999E-2</v>
      </c>
      <c r="O786" s="154">
        <v>1.2678999999999999E-2</v>
      </c>
      <c r="P786" s="11"/>
      <c r="Q786" s="29"/>
      <c r="R786" s="30"/>
    </row>
    <row r="787" spans="1:18" ht="12" customHeight="1">
      <c r="A787" s="10" t="s">
        <v>429</v>
      </c>
      <c r="B787" s="11" t="s">
        <v>430</v>
      </c>
      <c r="D787" s="154">
        <v>0.39838099999999999</v>
      </c>
      <c r="E787" s="154">
        <v>0.42382999999999998</v>
      </c>
      <c r="F787" s="154">
        <v>0.31159799999999999</v>
      </c>
      <c r="G787" s="154">
        <v>5.7738999999999999E-2</v>
      </c>
      <c r="H787" s="154">
        <v>3.6042999999999999E-2</v>
      </c>
      <c r="I787" s="154">
        <v>9.2571000000000001E-2</v>
      </c>
      <c r="J787" s="154">
        <v>0.143151</v>
      </c>
      <c r="K787" s="154">
        <v>0.133046</v>
      </c>
      <c r="L787" s="154">
        <v>7.6869000000000007E-2</v>
      </c>
      <c r="M787" s="154">
        <v>7.8529000000000002E-2</v>
      </c>
      <c r="N787" s="154">
        <v>0.19176599999999999</v>
      </c>
      <c r="O787" s="154">
        <v>0.61624500000000004</v>
      </c>
      <c r="P787" s="11"/>
      <c r="Q787" s="29"/>
      <c r="R787" s="30"/>
    </row>
    <row r="788" spans="1:18" ht="12" customHeight="1">
      <c r="A788" s="10" t="s">
        <v>432</v>
      </c>
      <c r="B788" s="11" t="s">
        <v>431</v>
      </c>
      <c r="D788" s="154">
        <v>3.8400000000000001E-3</v>
      </c>
      <c r="E788" s="154">
        <v>3.2940000000000001E-3</v>
      </c>
      <c r="F788" s="154">
        <v>4.4099999999999999E-3</v>
      </c>
      <c r="G788" s="154">
        <v>5.5149999999999999E-3</v>
      </c>
      <c r="H788" s="154">
        <v>2.1170000000000001E-2</v>
      </c>
      <c r="I788" s="154">
        <v>2.9472000000000002E-2</v>
      </c>
      <c r="J788" s="154">
        <v>6.4568E-2</v>
      </c>
      <c r="K788" s="154">
        <v>4.1172E-2</v>
      </c>
      <c r="L788" s="154">
        <v>1.6140000000000002E-2</v>
      </c>
      <c r="M788" s="154">
        <v>8.2550000000000002E-3</v>
      </c>
      <c r="N788" s="154">
        <v>3.7529999999999998E-3</v>
      </c>
      <c r="O788" s="154">
        <v>2.4610000000000001E-3</v>
      </c>
      <c r="P788" s="11"/>
      <c r="Q788" s="29"/>
      <c r="R788" s="30"/>
    </row>
    <row r="789" spans="1:18" ht="12" customHeight="1">
      <c r="A789" s="10" t="s">
        <v>433</v>
      </c>
      <c r="B789" s="11" t="s">
        <v>434</v>
      </c>
      <c r="D789" s="154">
        <v>0.23838599999999999</v>
      </c>
      <c r="E789" s="154">
        <v>0.29422500000000001</v>
      </c>
      <c r="F789" s="154">
        <v>0.35091499999999998</v>
      </c>
      <c r="G789" s="154">
        <v>0.34995399999999999</v>
      </c>
      <c r="H789" s="154">
        <v>0.56263399999999997</v>
      </c>
      <c r="I789" s="154">
        <v>0.578847</v>
      </c>
      <c r="J789" s="154">
        <v>0.76790800000000004</v>
      </c>
      <c r="K789" s="154">
        <v>0.76055700000000004</v>
      </c>
      <c r="L789" s="154">
        <v>0.48083700000000001</v>
      </c>
      <c r="M789" s="154">
        <v>0.426728</v>
      </c>
      <c r="N789" s="154">
        <v>0.34917300000000001</v>
      </c>
      <c r="O789" s="154">
        <v>0.39013100000000001</v>
      </c>
      <c r="P789" s="11"/>
      <c r="Q789" s="29"/>
      <c r="R789" s="30"/>
    </row>
    <row r="790" spans="1:18" ht="12" customHeight="1">
      <c r="A790" s="10" t="s">
        <v>435</v>
      </c>
      <c r="B790" s="11" t="s">
        <v>436</v>
      </c>
      <c r="D790" s="154">
        <v>3.5560000000000001E-2</v>
      </c>
      <c r="E790" s="154">
        <v>3.8191999999999997E-2</v>
      </c>
      <c r="F790" s="154">
        <v>4.1007000000000002E-2</v>
      </c>
      <c r="G790" s="154">
        <v>4.8681000000000002E-2</v>
      </c>
      <c r="H790" s="154">
        <v>7.2983000000000006E-2</v>
      </c>
      <c r="I790" s="154">
        <v>0.119731</v>
      </c>
      <c r="J790" s="154">
        <v>0.23069799999999999</v>
      </c>
      <c r="K790" s="154">
        <v>0.15391299999999999</v>
      </c>
      <c r="L790" s="154">
        <v>7.1411000000000002E-2</v>
      </c>
      <c r="M790" s="154">
        <v>6.9026000000000004E-2</v>
      </c>
      <c r="N790" s="154">
        <v>4.9300999999999998E-2</v>
      </c>
      <c r="O790" s="154">
        <v>3.9205999999999998E-2</v>
      </c>
      <c r="P790" s="11"/>
      <c r="Q790" s="29"/>
      <c r="R790" s="30"/>
    </row>
    <row r="791" spans="1:18" ht="12" customHeight="1">
      <c r="A791" s="10" t="s">
        <v>437</v>
      </c>
      <c r="B791" s="11" t="s">
        <v>438</v>
      </c>
      <c r="D791" s="154">
        <v>2.4731E-2</v>
      </c>
      <c r="E791" s="154">
        <v>3.2799000000000002E-2</v>
      </c>
      <c r="F791" s="154">
        <v>3.1323999999999998E-2</v>
      </c>
      <c r="G791" s="154">
        <v>3.2224999999999997E-2</v>
      </c>
      <c r="H791" s="154">
        <v>9.2134999999999995E-2</v>
      </c>
      <c r="I791" s="154">
        <v>0.19653300000000001</v>
      </c>
      <c r="J791" s="154">
        <v>0.47060999999999997</v>
      </c>
      <c r="K791" s="154">
        <v>0.36111599999999999</v>
      </c>
      <c r="L791" s="154">
        <v>7.7058000000000001E-2</v>
      </c>
      <c r="M791" s="154">
        <v>3.9059000000000003E-2</v>
      </c>
      <c r="N791" s="154">
        <v>2.3244000000000001E-2</v>
      </c>
      <c r="O791" s="154">
        <v>1.8752000000000001E-2</v>
      </c>
      <c r="P791" s="11"/>
      <c r="Q791" s="29"/>
      <c r="R791" s="30"/>
    </row>
    <row r="792" spans="1:18" ht="12" customHeight="1">
      <c r="A792" s="10" t="s">
        <v>439</v>
      </c>
      <c r="B792" s="11" t="s">
        <v>440</v>
      </c>
      <c r="D792" s="154">
        <v>6.8315000000000001E-2</v>
      </c>
      <c r="E792" s="154">
        <v>8.7834999999999996E-2</v>
      </c>
      <c r="F792" s="154">
        <v>0.102733</v>
      </c>
      <c r="G792" s="154">
        <v>0.101688</v>
      </c>
      <c r="H792" s="154">
        <v>0.180755</v>
      </c>
      <c r="I792" s="154">
        <v>0.247419</v>
      </c>
      <c r="J792" s="154">
        <v>0.42581200000000002</v>
      </c>
      <c r="K792" s="154">
        <v>0.38610699999999998</v>
      </c>
      <c r="L792" s="154">
        <v>0.160107</v>
      </c>
      <c r="M792" s="154">
        <v>0.12074799999999999</v>
      </c>
      <c r="N792" s="154">
        <v>9.2575000000000005E-2</v>
      </c>
      <c r="O792" s="154">
        <v>9.4769999999999993E-2</v>
      </c>
      <c r="P792" s="11"/>
      <c r="Q792" s="29"/>
      <c r="R792" s="30"/>
    </row>
    <row r="793" spans="1:18" ht="12" customHeight="1">
      <c r="A793" s="10" t="s">
        <v>441</v>
      </c>
      <c r="B793" s="11" t="s">
        <v>442</v>
      </c>
      <c r="D793" s="154">
        <v>0.11727899999999999</v>
      </c>
      <c r="E793" s="154">
        <v>0.134573</v>
      </c>
      <c r="F793" s="154">
        <v>0.199516</v>
      </c>
      <c r="G793" s="154">
        <v>0.16501299999999999</v>
      </c>
      <c r="H793" s="154">
        <v>0.29924299999999998</v>
      </c>
      <c r="I793" s="154">
        <v>0.38925599999999999</v>
      </c>
      <c r="J793" s="154">
        <v>0.95660000000000001</v>
      </c>
      <c r="K793" s="154">
        <v>0.60355599999999998</v>
      </c>
      <c r="L793" s="154">
        <v>0.24748100000000001</v>
      </c>
      <c r="M793" s="154">
        <v>0.21840899999999999</v>
      </c>
      <c r="N793" s="154">
        <v>0.180948</v>
      </c>
      <c r="O793" s="154">
        <v>0.16689699999999999</v>
      </c>
      <c r="P793" s="11"/>
      <c r="Q793" s="29"/>
      <c r="R793" s="30"/>
    </row>
    <row r="794" spans="1:18" ht="12" customHeight="1">
      <c r="A794" s="16" t="s">
        <v>443</v>
      </c>
      <c r="B794" s="11" t="s">
        <v>444</v>
      </c>
      <c r="D794" s="154">
        <v>7.6752000000000001E-2</v>
      </c>
      <c r="E794" s="154">
        <v>0.112858</v>
      </c>
      <c r="F794" s="154">
        <v>8.2711000000000007E-2</v>
      </c>
      <c r="G794" s="154">
        <v>4.3409000000000003E-2</v>
      </c>
      <c r="H794" s="154">
        <v>8.6772000000000002E-2</v>
      </c>
      <c r="I794" s="154">
        <v>0.16988200000000001</v>
      </c>
      <c r="J794" s="154">
        <v>0.40276899999999999</v>
      </c>
      <c r="K794" s="154">
        <v>0.23513000000000001</v>
      </c>
      <c r="L794" s="154">
        <v>6.6323999999999994E-2</v>
      </c>
      <c r="M794" s="154">
        <v>4.3387000000000002E-2</v>
      </c>
      <c r="N794" s="154">
        <v>3.4452999999999998E-2</v>
      </c>
      <c r="O794" s="154">
        <v>5.5163999999999998E-2</v>
      </c>
      <c r="P794" s="11"/>
      <c r="Q794" s="29"/>
      <c r="R794" s="30"/>
    </row>
    <row r="795" spans="1:18" ht="12" customHeight="1">
      <c r="A795" s="10" t="s">
        <v>445</v>
      </c>
      <c r="B795" s="11" t="s">
        <v>446</v>
      </c>
      <c r="D795" s="154">
        <v>2.2582999999999999E-2</v>
      </c>
      <c r="E795" s="154">
        <v>4.3935000000000002E-2</v>
      </c>
      <c r="F795" s="154">
        <v>3.7218000000000001E-2</v>
      </c>
      <c r="G795" s="154">
        <v>2.0906999999999999E-2</v>
      </c>
      <c r="H795" s="154">
        <v>3.6274000000000001E-2</v>
      </c>
      <c r="I795" s="154">
        <v>6.9602999999999998E-2</v>
      </c>
      <c r="J795" s="154">
        <v>0.17654</v>
      </c>
      <c r="K795" s="154">
        <v>8.3528000000000005E-2</v>
      </c>
      <c r="L795" s="154">
        <v>3.2925000000000003E-2</v>
      </c>
      <c r="M795" s="154">
        <v>2.3064000000000001E-2</v>
      </c>
      <c r="N795" s="154">
        <v>1.8268E-2</v>
      </c>
      <c r="O795" s="154">
        <v>2.5874999999999999E-2</v>
      </c>
      <c r="P795" s="11"/>
      <c r="Q795" s="29"/>
      <c r="R795" s="30"/>
    </row>
    <row r="796" spans="1:18" ht="12" customHeight="1">
      <c r="A796" s="10" t="s">
        <v>447</v>
      </c>
      <c r="B796" s="11" t="s">
        <v>448</v>
      </c>
      <c r="D796" s="154">
        <v>9.9646999999999999E-2</v>
      </c>
      <c r="E796" s="154">
        <v>0.127498</v>
      </c>
      <c r="F796" s="154">
        <v>0.10893</v>
      </c>
      <c r="G796" s="154">
        <v>4.4913000000000002E-2</v>
      </c>
      <c r="H796" s="154">
        <v>5.8620999999999999E-2</v>
      </c>
      <c r="I796" s="154">
        <v>0.171379</v>
      </c>
      <c r="J796" s="154">
        <v>0.45539499999999999</v>
      </c>
      <c r="K796" s="154">
        <v>0.16436100000000001</v>
      </c>
      <c r="L796" s="154">
        <v>6.7871000000000001E-2</v>
      </c>
      <c r="M796" s="154">
        <v>4.5975000000000002E-2</v>
      </c>
      <c r="N796" s="154">
        <v>4.9618000000000002E-2</v>
      </c>
      <c r="O796" s="154">
        <v>0.101588</v>
      </c>
      <c r="P796" s="11"/>
      <c r="Q796" s="29"/>
      <c r="R796" s="30"/>
    </row>
    <row r="797" spans="1:18" ht="12" customHeight="1">
      <c r="A797" s="10" t="s">
        <v>452</v>
      </c>
      <c r="B797" s="11" t="s">
        <v>451</v>
      </c>
      <c r="D797" s="154">
        <v>0.340725</v>
      </c>
      <c r="E797" s="154">
        <v>0.47455700000000001</v>
      </c>
      <c r="F797" s="154">
        <v>0.55356700000000003</v>
      </c>
      <c r="G797" s="154">
        <v>0.40418100000000001</v>
      </c>
      <c r="H797" s="154">
        <v>0.56058200000000002</v>
      </c>
      <c r="I797" s="154">
        <v>0.82039399999999996</v>
      </c>
      <c r="J797" s="154">
        <v>1.1685680000000001</v>
      </c>
      <c r="K797" s="154">
        <v>1.1367320000000001</v>
      </c>
      <c r="L797" s="154">
        <v>0.802678</v>
      </c>
      <c r="M797" s="154">
        <v>0.67168799999999995</v>
      </c>
      <c r="N797" s="154">
        <v>0.45525599999999999</v>
      </c>
      <c r="O797" s="154">
        <v>0.38591599999999998</v>
      </c>
      <c r="P797" s="11"/>
      <c r="Q797" s="29"/>
      <c r="R797" s="30"/>
    </row>
    <row r="798" spans="1:18" ht="12" customHeight="1">
      <c r="A798" s="10" t="s">
        <v>454</v>
      </c>
      <c r="B798" s="11" t="s">
        <v>453</v>
      </c>
      <c r="D798" s="154">
        <v>1.6004000000000001E-2</v>
      </c>
      <c r="E798" s="154">
        <v>1.9643999999999998E-2</v>
      </c>
      <c r="F798" s="154">
        <v>1.7389000000000002E-2</v>
      </c>
      <c r="G798" s="154">
        <v>1.188E-2</v>
      </c>
      <c r="H798" s="154">
        <v>1.7226999999999999E-2</v>
      </c>
      <c r="I798" s="154">
        <v>1.9597E-2</v>
      </c>
      <c r="J798" s="154">
        <v>2.8815E-2</v>
      </c>
      <c r="K798" s="154">
        <v>2.9633E-2</v>
      </c>
      <c r="L798" s="154">
        <v>1.9879999999999998E-2</v>
      </c>
      <c r="M798" s="154">
        <v>1.8572999999999999E-2</v>
      </c>
      <c r="N798" s="154">
        <v>1.0841999999999999E-2</v>
      </c>
      <c r="O798" s="154">
        <v>1.3818E-2</v>
      </c>
      <c r="P798" s="11"/>
      <c r="Q798" s="29"/>
      <c r="R798" s="30"/>
    </row>
    <row r="799" spans="1:18" ht="12" customHeight="1">
      <c r="A799" s="10" t="s">
        <v>455</v>
      </c>
      <c r="B799" s="11" t="s">
        <v>456</v>
      </c>
      <c r="D799" s="154">
        <v>6.1994E-2</v>
      </c>
      <c r="E799" s="154">
        <v>0.12274500000000001</v>
      </c>
      <c r="F799" s="154">
        <v>9.2592999999999995E-2</v>
      </c>
      <c r="G799" s="154">
        <v>2.8369999999999999E-2</v>
      </c>
      <c r="H799" s="154">
        <v>3.6872000000000002E-2</v>
      </c>
      <c r="I799" s="154">
        <v>0.109808</v>
      </c>
      <c r="J799" s="154">
        <v>0.19698399999999999</v>
      </c>
      <c r="K799" s="154">
        <v>0.15974099999999999</v>
      </c>
      <c r="L799" s="154">
        <v>5.6481999999999997E-2</v>
      </c>
      <c r="M799" s="154">
        <v>2.7144000000000001E-2</v>
      </c>
      <c r="N799" s="154">
        <v>1.7308E-2</v>
      </c>
      <c r="O799" s="154">
        <v>5.6626999999999997E-2</v>
      </c>
      <c r="P799" s="11"/>
      <c r="Q799" s="29"/>
      <c r="R799" s="30"/>
    </row>
    <row r="800" spans="1:18" ht="12" customHeight="1">
      <c r="A800" s="10" t="s">
        <v>457</v>
      </c>
      <c r="B800" s="11" t="s">
        <v>3026</v>
      </c>
      <c r="D800" s="154">
        <v>1.3384999999999999E-2</v>
      </c>
      <c r="E800" s="154">
        <v>1.6707E-2</v>
      </c>
      <c r="F800" s="154">
        <v>1.9552E-2</v>
      </c>
      <c r="G800" s="154">
        <v>2.8034E-2</v>
      </c>
      <c r="H800" s="154">
        <v>6.0697000000000001E-2</v>
      </c>
      <c r="I800" s="154">
        <v>0.10900799999999999</v>
      </c>
      <c r="J800" s="154">
        <v>0.12701799999999999</v>
      </c>
      <c r="K800" s="154">
        <v>9.8387000000000002E-2</v>
      </c>
      <c r="L800" s="154">
        <v>5.5363000000000002E-2</v>
      </c>
      <c r="M800" s="154">
        <v>2.6987000000000001E-2</v>
      </c>
      <c r="N800" s="154">
        <v>1.8443000000000001E-2</v>
      </c>
      <c r="O800" s="154">
        <v>1.6650999999999999E-2</v>
      </c>
      <c r="P800" s="11"/>
      <c r="Q800" s="29"/>
      <c r="R800" s="30"/>
    </row>
    <row r="801" spans="1:18" ht="12" customHeight="1">
      <c r="A801" s="10" t="s">
        <v>458</v>
      </c>
      <c r="B801" s="11" t="s">
        <v>459</v>
      </c>
      <c r="D801" s="154">
        <v>9.8984000000000003E-2</v>
      </c>
      <c r="E801" s="154">
        <v>0.15420400000000001</v>
      </c>
      <c r="F801" s="154">
        <v>0.16031200000000001</v>
      </c>
      <c r="G801" s="154">
        <v>7.2896000000000002E-2</v>
      </c>
      <c r="H801" s="154">
        <v>0.11826</v>
      </c>
      <c r="I801" s="154">
        <v>0.324851</v>
      </c>
      <c r="J801" s="154">
        <v>0.46640900000000002</v>
      </c>
      <c r="K801" s="154">
        <v>0.35008400000000001</v>
      </c>
      <c r="L801" s="154">
        <v>0.174539</v>
      </c>
      <c r="M801" s="154">
        <v>0.13209499999999999</v>
      </c>
      <c r="N801" s="154">
        <v>0.12124799999999999</v>
      </c>
      <c r="O801" s="154">
        <v>0.16595799999999999</v>
      </c>
      <c r="P801" s="11"/>
      <c r="Q801" s="29"/>
      <c r="R801" s="30"/>
    </row>
    <row r="802" spans="1:18" ht="12" customHeight="1">
      <c r="A802" s="10" t="s">
        <v>549</v>
      </c>
      <c r="B802" s="11" t="s">
        <v>550</v>
      </c>
      <c r="D802" s="154">
        <v>0.21429500000000001</v>
      </c>
      <c r="E802" s="154">
        <v>0.25966600000000001</v>
      </c>
      <c r="F802" s="154">
        <v>0.27150800000000003</v>
      </c>
      <c r="G802" s="154">
        <v>0.23108799999999999</v>
      </c>
      <c r="H802" s="154">
        <v>0.29383199999999998</v>
      </c>
      <c r="I802" s="154">
        <v>0.38138899999999998</v>
      </c>
      <c r="J802" s="154">
        <v>0.52382399999999996</v>
      </c>
      <c r="K802" s="154">
        <v>0.55370900000000001</v>
      </c>
      <c r="L802" s="154">
        <v>0.322544</v>
      </c>
      <c r="M802" s="154">
        <v>0.27608899999999997</v>
      </c>
      <c r="N802" s="154">
        <v>0.22303500000000001</v>
      </c>
      <c r="O802" s="154">
        <v>0.27382299999999998</v>
      </c>
      <c r="P802" s="11"/>
      <c r="Q802" s="29"/>
      <c r="R802" s="30"/>
    </row>
    <row r="803" spans="1:18" ht="12" customHeight="1">
      <c r="A803" s="10" t="s">
        <v>551</v>
      </c>
      <c r="B803" s="11" t="s">
        <v>552</v>
      </c>
      <c r="D803" s="154">
        <v>3.4648999999999999E-2</v>
      </c>
      <c r="E803" s="154">
        <v>4.6389E-2</v>
      </c>
      <c r="F803" s="154">
        <v>6.0088000000000003E-2</v>
      </c>
      <c r="G803" s="154">
        <v>2.5947000000000001E-2</v>
      </c>
      <c r="H803" s="154">
        <v>5.5343000000000003E-2</v>
      </c>
      <c r="I803" s="154">
        <v>0.107678</v>
      </c>
      <c r="J803" s="154">
        <v>0.23697499999999999</v>
      </c>
      <c r="K803" s="154">
        <v>0.18407100000000001</v>
      </c>
      <c r="L803" s="154">
        <v>4.9804000000000001E-2</v>
      </c>
      <c r="M803" s="154">
        <v>3.2861000000000001E-2</v>
      </c>
      <c r="N803" s="154">
        <v>2.6417E-2</v>
      </c>
      <c r="O803" s="154">
        <v>3.3884999999999998E-2</v>
      </c>
      <c r="P803" s="11"/>
      <c r="Q803" s="29"/>
      <c r="R803" s="30"/>
    </row>
    <row r="804" spans="1:18" ht="12" customHeight="1">
      <c r="A804" s="10" t="s">
        <v>553</v>
      </c>
      <c r="B804" s="11" t="s">
        <v>554</v>
      </c>
      <c r="D804" s="154">
        <v>6.7160999999999998E-2</v>
      </c>
      <c r="E804" s="154">
        <v>8.5866999999999999E-2</v>
      </c>
      <c r="F804" s="154">
        <v>9.7492999999999996E-2</v>
      </c>
      <c r="G804" s="154">
        <v>0.13051099999999999</v>
      </c>
      <c r="H804" s="154">
        <v>0.31798700000000002</v>
      </c>
      <c r="I804" s="154">
        <v>0.60447200000000001</v>
      </c>
      <c r="J804" s="154">
        <v>0.887575</v>
      </c>
      <c r="K804" s="154">
        <v>0.81721100000000002</v>
      </c>
      <c r="L804" s="154">
        <v>0.34076299999999998</v>
      </c>
      <c r="M804" s="154">
        <v>0.156413</v>
      </c>
      <c r="N804" s="154">
        <v>0.100374</v>
      </c>
      <c r="O804" s="154">
        <v>9.4877000000000003E-2</v>
      </c>
      <c r="P804" s="11"/>
      <c r="Q804" s="29"/>
      <c r="R804" s="30"/>
    </row>
    <row r="805" spans="1:18" ht="12" customHeight="1">
      <c r="A805" s="10" t="s">
        <v>555</v>
      </c>
      <c r="B805" s="11" t="s">
        <v>556</v>
      </c>
      <c r="D805" s="154">
        <v>6.5459999999999997E-3</v>
      </c>
      <c r="E805" s="154">
        <v>9.9190000000000007E-3</v>
      </c>
      <c r="F805" s="154">
        <v>1.0243E-2</v>
      </c>
      <c r="G805" s="154">
        <v>8.371E-3</v>
      </c>
      <c r="H805" s="154">
        <v>9.7990000000000004E-3</v>
      </c>
      <c r="I805" s="154">
        <v>1.1063E-2</v>
      </c>
      <c r="J805" s="154">
        <v>1.5131E-2</v>
      </c>
      <c r="K805" s="154">
        <v>1.3528E-2</v>
      </c>
      <c r="L805" s="154">
        <v>7.4700000000000001E-3</v>
      </c>
      <c r="M805" s="154">
        <v>6.2509999999999996E-3</v>
      </c>
      <c r="N805" s="154">
        <v>4.6160000000000003E-3</v>
      </c>
      <c r="O805" s="154">
        <v>6.1390000000000004E-3</v>
      </c>
      <c r="P805" s="11"/>
      <c r="Q805" s="29"/>
      <c r="R805" s="30"/>
    </row>
    <row r="806" spans="1:18" ht="12" customHeight="1">
      <c r="A806" s="10" t="s">
        <v>460</v>
      </c>
      <c r="B806" s="11" t="s">
        <v>461</v>
      </c>
      <c r="D806" s="154">
        <v>0.63036499999999995</v>
      </c>
      <c r="E806" s="154">
        <v>0.70767100000000005</v>
      </c>
      <c r="F806" s="154">
        <v>0.75217100000000003</v>
      </c>
      <c r="G806" s="154">
        <v>0.48238399999999998</v>
      </c>
      <c r="H806" s="154">
        <v>0.54179100000000002</v>
      </c>
      <c r="I806" s="154">
        <v>0.70250000000000001</v>
      </c>
      <c r="J806" s="154">
        <v>1.003134</v>
      </c>
      <c r="K806" s="154">
        <v>1.101092</v>
      </c>
      <c r="L806" s="154">
        <v>0.6754</v>
      </c>
      <c r="M806" s="154">
        <v>0.47348000000000001</v>
      </c>
      <c r="N806" s="154">
        <v>0.35309099999999999</v>
      </c>
      <c r="O806" s="154">
        <v>0.67502399999999996</v>
      </c>
      <c r="P806" s="11"/>
      <c r="Q806" s="29"/>
      <c r="R806" s="30"/>
    </row>
    <row r="807" spans="1:18" ht="12" customHeight="1">
      <c r="A807" s="10" t="s">
        <v>462</v>
      </c>
      <c r="B807" s="11" t="s">
        <v>463</v>
      </c>
      <c r="D807" s="154">
        <v>0.26023499999999999</v>
      </c>
      <c r="E807" s="154">
        <v>0.30710799999999999</v>
      </c>
      <c r="F807" s="154">
        <v>0.28315299999999999</v>
      </c>
      <c r="G807" s="154">
        <v>0.299622</v>
      </c>
      <c r="H807" s="154">
        <v>0.50227999999999995</v>
      </c>
      <c r="I807" s="154">
        <v>0.645814</v>
      </c>
      <c r="J807" s="154">
        <v>0.84533599999999998</v>
      </c>
      <c r="K807" s="154">
        <v>0.91053799999999996</v>
      </c>
      <c r="L807" s="154">
        <v>0.58378399999999997</v>
      </c>
      <c r="M807" s="154">
        <v>0.40137800000000001</v>
      </c>
      <c r="N807" s="154">
        <v>0.189217</v>
      </c>
      <c r="O807" s="154">
        <v>0.30302099999999998</v>
      </c>
      <c r="P807" s="11"/>
      <c r="Q807" s="29"/>
      <c r="R807" s="30"/>
    </row>
    <row r="808" spans="1:18" ht="12" customHeight="1">
      <c r="A808" s="10" t="s">
        <v>464</v>
      </c>
      <c r="B808" s="11" t="s">
        <v>465</v>
      </c>
      <c r="D808" s="154">
        <v>7.7621999999999997E-2</v>
      </c>
      <c r="E808" s="154">
        <v>8.5528999999999994E-2</v>
      </c>
      <c r="F808" s="154">
        <v>0.10878699999999999</v>
      </c>
      <c r="G808" s="154">
        <v>0.115163</v>
      </c>
      <c r="H808" s="154">
        <v>0.14815999999999999</v>
      </c>
      <c r="I808" s="154">
        <v>0.164608</v>
      </c>
      <c r="J808" s="154">
        <v>0.16366</v>
      </c>
      <c r="K808" s="154">
        <v>0.162414</v>
      </c>
      <c r="L808" s="154">
        <v>0.14779</v>
      </c>
      <c r="M808" s="154">
        <v>0.14194300000000001</v>
      </c>
      <c r="N808" s="154">
        <v>0.123614</v>
      </c>
      <c r="O808" s="154">
        <v>0.15577099999999999</v>
      </c>
      <c r="P808" s="11"/>
      <c r="Q808" s="29"/>
      <c r="R808" s="30"/>
    </row>
    <row r="809" spans="1:18" ht="12" customHeight="1">
      <c r="A809" s="10" t="s">
        <v>466</v>
      </c>
      <c r="B809" s="11" t="s">
        <v>467</v>
      </c>
      <c r="D809" s="154">
        <v>0.26051800000000003</v>
      </c>
      <c r="E809" s="154">
        <v>0.243475</v>
      </c>
      <c r="F809" s="154">
        <v>0.30011399999999999</v>
      </c>
      <c r="G809" s="154">
        <v>0.32684299999999999</v>
      </c>
      <c r="H809" s="154">
        <v>0.39813799999999999</v>
      </c>
      <c r="I809" s="154">
        <v>0.44173400000000002</v>
      </c>
      <c r="J809" s="154">
        <v>0.48656700000000003</v>
      </c>
      <c r="K809" s="154">
        <v>0.45928999999999998</v>
      </c>
      <c r="L809" s="154">
        <v>0.41471599999999997</v>
      </c>
      <c r="M809" s="154">
        <v>0.36364999999999997</v>
      </c>
      <c r="N809" s="154">
        <v>0.30441699999999999</v>
      </c>
      <c r="O809" s="154">
        <v>0.38390400000000002</v>
      </c>
      <c r="P809" s="11"/>
      <c r="Q809" s="29"/>
      <c r="R809" s="30"/>
    </row>
    <row r="810" spans="1:18" ht="12" customHeight="1">
      <c r="A810" s="10" t="s">
        <v>468</v>
      </c>
      <c r="B810" s="11" t="s">
        <v>469</v>
      </c>
      <c r="D810" s="154">
        <v>0.41509000000000001</v>
      </c>
      <c r="E810" s="154">
        <v>0.44732699999999997</v>
      </c>
      <c r="F810" s="154">
        <v>0.43679000000000001</v>
      </c>
      <c r="G810" s="154">
        <v>0.13916700000000001</v>
      </c>
      <c r="H810" s="154">
        <v>0.169597</v>
      </c>
      <c r="I810" s="154">
        <v>0.26063399999999998</v>
      </c>
      <c r="J810" s="154">
        <v>0.43160599999999999</v>
      </c>
      <c r="K810" s="154">
        <v>0.59624900000000003</v>
      </c>
      <c r="L810" s="154">
        <v>0.284611</v>
      </c>
      <c r="M810" s="154">
        <v>0.161386</v>
      </c>
      <c r="N810" s="154">
        <v>7.5569999999999998E-2</v>
      </c>
      <c r="O810" s="154">
        <v>0.34211999999999998</v>
      </c>
      <c r="P810" s="11"/>
      <c r="Q810" s="29"/>
      <c r="R810" s="30"/>
    </row>
    <row r="811" spans="1:18" ht="12" customHeight="1">
      <c r="A811" s="10" t="s">
        <v>470</v>
      </c>
      <c r="B811" s="11" t="s">
        <v>471</v>
      </c>
      <c r="D811" s="154">
        <v>0.127748</v>
      </c>
      <c r="E811" s="154">
        <v>0.136881</v>
      </c>
      <c r="F811" s="154">
        <v>0.177228</v>
      </c>
      <c r="G811" s="154">
        <v>0.190001</v>
      </c>
      <c r="H811" s="154">
        <v>0.28246199999999999</v>
      </c>
      <c r="I811" s="154">
        <v>0.34629599999999999</v>
      </c>
      <c r="J811" s="154">
        <v>0.42493399999999998</v>
      </c>
      <c r="K811" s="154">
        <v>0.434</v>
      </c>
      <c r="L811" s="154">
        <v>0.30127999999999999</v>
      </c>
      <c r="M811" s="154">
        <v>0.22142600000000001</v>
      </c>
      <c r="N811" s="154">
        <v>0.127885</v>
      </c>
      <c r="O811" s="154">
        <v>0.182722</v>
      </c>
      <c r="P811" s="11"/>
      <c r="Q811" s="29"/>
      <c r="R811" s="30"/>
    </row>
    <row r="812" spans="1:18" ht="12" customHeight="1">
      <c r="A812" s="10" t="s">
        <v>472</v>
      </c>
      <c r="B812" s="11" t="s">
        <v>473</v>
      </c>
      <c r="D812" s="154">
        <v>3.1799000000000001E-2</v>
      </c>
      <c r="E812" s="154">
        <v>3.39E-2</v>
      </c>
      <c r="F812" s="154">
        <v>6.2615000000000004E-2</v>
      </c>
      <c r="G812" s="154">
        <v>8.4612999999999994E-2</v>
      </c>
      <c r="H812" s="154">
        <v>0.14804899999999999</v>
      </c>
      <c r="I812" s="154">
        <v>0.15779399999999999</v>
      </c>
      <c r="J812" s="154">
        <v>0.21430199999999999</v>
      </c>
      <c r="K812" s="154">
        <v>0.30206499999999997</v>
      </c>
      <c r="L812" s="154">
        <v>0.167265</v>
      </c>
      <c r="M812" s="154">
        <v>9.9772E-2</v>
      </c>
      <c r="N812" s="154">
        <v>4.9817E-2</v>
      </c>
      <c r="O812" s="154">
        <v>4.6920999999999997E-2</v>
      </c>
      <c r="P812" s="11"/>
      <c r="Q812" s="29"/>
      <c r="R812" s="30"/>
    </row>
    <row r="813" spans="1:18" ht="12" customHeight="1">
      <c r="A813" s="10" t="s">
        <v>2996</v>
      </c>
      <c r="B813" s="11" t="s">
        <v>2997</v>
      </c>
      <c r="D813" s="155" t="s">
        <v>546</v>
      </c>
      <c r="E813" s="155" t="s">
        <v>546</v>
      </c>
      <c r="F813" s="155" t="s">
        <v>546</v>
      </c>
      <c r="G813" s="155" t="s">
        <v>546</v>
      </c>
      <c r="H813" s="155" t="s">
        <v>546</v>
      </c>
      <c r="I813" s="155" t="s">
        <v>546</v>
      </c>
      <c r="J813" s="155" t="s">
        <v>546</v>
      </c>
      <c r="K813" s="155" t="s">
        <v>546</v>
      </c>
      <c r="L813" s="155" t="s">
        <v>546</v>
      </c>
      <c r="M813" s="155" t="s">
        <v>546</v>
      </c>
      <c r="N813" s="155" t="s">
        <v>546</v>
      </c>
      <c r="O813" s="155" t="s">
        <v>546</v>
      </c>
      <c r="P813" s="11"/>
      <c r="Q813" s="29"/>
      <c r="R813" s="30"/>
    </row>
    <row r="814" spans="1:18" ht="12" customHeight="1">
      <c r="A814" s="10" t="s">
        <v>3190</v>
      </c>
      <c r="B814" s="11" t="s">
        <v>3110</v>
      </c>
      <c r="D814" s="154">
        <v>1.9562E-2</v>
      </c>
      <c r="E814" s="154">
        <v>7.0151000000000005E-2</v>
      </c>
      <c r="F814" s="154">
        <v>0.106919</v>
      </c>
      <c r="G814" s="154">
        <v>0.267291</v>
      </c>
      <c r="H814" s="154">
        <v>0.43726799999999999</v>
      </c>
      <c r="I814" s="154">
        <v>0.65786900000000004</v>
      </c>
      <c r="J814" s="154">
        <v>0.94998700000000003</v>
      </c>
      <c r="K814" s="154">
        <v>1.0044489999999999</v>
      </c>
      <c r="L814" s="154">
        <v>0.61387100000000006</v>
      </c>
      <c r="M814" s="154">
        <v>0.31191000000000002</v>
      </c>
      <c r="N814" s="154">
        <v>0.10348300000000001</v>
      </c>
      <c r="O814" s="154">
        <v>6.0659999999999999E-2</v>
      </c>
      <c r="P814" s="11"/>
      <c r="Q814" s="29"/>
      <c r="R814" s="30"/>
    </row>
    <row r="815" spans="1:18" ht="12" customHeight="1">
      <c r="A815" s="10" t="s">
        <v>2990</v>
      </c>
      <c r="B815" s="11" t="s">
        <v>2991</v>
      </c>
      <c r="D815" s="155" t="s">
        <v>546</v>
      </c>
      <c r="E815" s="155" t="s">
        <v>546</v>
      </c>
      <c r="F815" s="155" t="s">
        <v>546</v>
      </c>
      <c r="G815" s="155" t="s">
        <v>546</v>
      </c>
      <c r="H815" s="155" t="s">
        <v>546</v>
      </c>
      <c r="I815" s="155" t="s">
        <v>546</v>
      </c>
      <c r="J815" s="155" t="s">
        <v>546</v>
      </c>
      <c r="K815" s="155" t="s">
        <v>546</v>
      </c>
      <c r="L815" s="155" t="s">
        <v>546</v>
      </c>
      <c r="M815" s="155" t="s">
        <v>546</v>
      </c>
      <c r="N815" s="155" t="s">
        <v>546</v>
      </c>
      <c r="O815" s="155" t="s">
        <v>546</v>
      </c>
      <c r="P815" s="11"/>
      <c r="Q815" s="29"/>
      <c r="R815" s="30"/>
    </row>
    <row r="816" spans="1:18" ht="12" customHeight="1">
      <c r="A816" s="10" t="s">
        <v>475</v>
      </c>
      <c r="B816" s="11" t="s">
        <v>474</v>
      </c>
      <c r="D816" s="154">
        <v>5.2706000000000003E-2</v>
      </c>
      <c r="E816" s="154">
        <v>4.9415000000000001E-2</v>
      </c>
      <c r="F816" s="154">
        <v>7.3300000000000004E-2</v>
      </c>
      <c r="G816" s="154">
        <v>0.10806200000000001</v>
      </c>
      <c r="H816" s="154">
        <v>0.141425</v>
      </c>
      <c r="I816" s="154">
        <v>0.17752899999999999</v>
      </c>
      <c r="J816" s="154">
        <v>0.22222700000000001</v>
      </c>
      <c r="K816" s="154">
        <v>0.23245499999999999</v>
      </c>
      <c r="L816" s="154">
        <v>0.178756</v>
      </c>
      <c r="M816" s="154">
        <v>0.14282700000000001</v>
      </c>
      <c r="N816" s="154">
        <v>8.4893999999999997E-2</v>
      </c>
      <c r="O816" s="154">
        <v>6.6781999999999994E-2</v>
      </c>
      <c r="P816" s="11"/>
      <c r="Q816" s="29"/>
      <c r="R816" s="30"/>
    </row>
    <row r="817" spans="1:18" ht="12" customHeight="1">
      <c r="A817" s="10" t="s">
        <v>3017</v>
      </c>
      <c r="B817" s="11" t="s">
        <v>3018</v>
      </c>
      <c r="D817" s="155" t="s">
        <v>546</v>
      </c>
      <c r="E817" s="155" t="s">
        <v>546</v>
      </c>
      <c r="F817" s="155" t="s">
        <v>546</v>
      </c>
      <c r="G817" s="155" t="s">
        <v>546</v>
      </c>
      <c r="H817" s="155" t="s">
        <v>546</v>
      </c>
      <c r="I817" s="155" t="s">
        <v>546</v>
      </c>
      <c r="J817" s="155" t="s">
        <v>546</v>
      </c>
      <c r="K817" s="155" t="s">
        <v>546</v>
      </c>
      <c r="L817" s="155" t="s">
        <v>546</v>
      </c>
      <c r="M817" s="155" t="s">
        <v>546</v>
      </c>
      <c r="N817" s="155" t="s">
        <v>546</v>
      </c>
      <c r="O817" s="155" t="s">
        <v>546</v>
      </c>
      <c r="P817" s="11"/>
      <c r="Q817" s="29"/>
      <c r="R817" s="30"/>
    </row>
    <row r="818" spans="1:18" ht="12" customHeight="1">
      <c r="A818" s="10" t="s">
        <v>2849</v>
      </c>
      <c r="B818" s="11" t="s">
        <v>2850</v>
      </c>
      <c r="D818" s="154">
        <v>1.1650000000000001E-2</v>
      </c>
      <c r="E818" s="154">
        <v>1.1534000000000001E-2</v>
      </c>
      <c r="F818" s="154">
        <v>2.0504000000000001E-2</v>
      </c>
      <c r="G818" s="154">
        <v>2.9309000000000002E-2</v>
      </c>
      <c r="H818" s="154">
        <v>5.1984000000000002E-2</v>
      </c>
      <c r="I818" s="154">
        <v>0.146263</v>
      </c>
      <c r="J818" s="154">
        <v>0.26050099999999998</v>
      </c>
      <c r="K818" s="154">
        <v>0.34183400000000003</v>
      </c>
      <c r="L818" s="154">
        <v>0.12926799999999999</v>
      </c>
      <c r="M818" s="154">
        <v>6.1137999999999998E-2</v>
      </c>
      <c r="N818" s="154">
        <v>3.3987999999999997E-2</v>
      </c>
      <c r="O818" s="154">
        <v>2.6609000000000001E-2</v>
      </c>
      <c r="P818" s="11"/>
      <c r="Q818" s="29"/>
      <c r="R818" s="30"/>
    </row>
    <row r="819" spans="1:18" ht="12" customHeight="1">
      <c r="A819" s="10" t="s">
        <v>2851</v>
      </c>
      <c r="B819" s="11" t="s">
        <v>2852</v>
      </c>
      <c r="D819" s="154">
        <v>7.2713E-2</v>
      </c>
      <c r="E819" s="154">
        <v>8.6439000000000002E-2</v>
      </c>
      <c r="F819" s="154">
        <v>0.109615</v>
      </c>
      <c r="G819" s="154">
        <v>0.20091500000000001</v>
      </c>
      <c r="H819" s="154">
        <v>0.22758400000000001</v>
      </c>
      <c r="I819" s="154">
        <v>0.27419399999999999</v>
      </c>
      <c r="J819" s="154">
        <v>0.36379400000000001</v>
      </c>
      <c r="K819" s="154">
        <v>0.43399599999999999</v>
      </c>
      <c r="L819" s="154">
        <v>0.32703599999999999</v>
      </c>
      <c r="M819" s="154">
        <v>0.18745400000000001</v>
      </c>
      <c r="N819" s="154">
        <v>0.14143800000000001</v>
      </c>
      <c r="O819" s="154">
        <v>9.3873999999999999E-2</v>
      </c>
      <c r="P819" s="11"/>
      <c r="Q819" s="29"/>
      <c r="R819" s="30"/>
    </row>
    <row r="820" spans="1:18" ht="12" customHeight="1">
      <c r="A820" s="10" t="s">
        <v>2853</v>
      </c>
      <c r="B820" s="11" t="s">
        <v>2854</v>
      </c>
      <c r="D820" s="154">
        <v>1.0402E-2</v>
      </c>
      <c r="E820" s="154">
        <v>1.0255E-2</v>
      </c>
      <c r="F820" s="154">
        <v>1.5597E-2</v>
      </c>
      <c r="G820" s="154">
        <v>4.7529000000000002E-2</v>
      </c>
      <c r="H820" s="154">
        <v>0.104919</v>
      </c>
      <c r="I820" s="154">
        <v>0.24246699999999999</v>
      </c>
      <c r="J820" s="154">
        <v>0.318635</v>
      </c>
      <c r="K820" s="154">
        <v>0.410134</v>
      </c>
      <c r="L820" s="154">
        <v>0.26682600000000001</v>
      </c>
      <c r="M820" s="154">
        <v>9.4917000000000001E-2</v>
      </c>
      <c r="N820" s="154">
        <v>4.8792000000000002E-2</v>
      </c>
      <c r="O820" s="154">
        <v>1.6830000000000001E-2</v>
      </c>
      <c r="P820" s="11"/>
      <c r="Q820" s="29"/>
      <c r="R820" s="30"/>
    </row>
    <row r="821" spans="1:18" ht="12" customHeight="1">
      <c r="A821" s="10" t="s">
        <v>557</v>
      </c>
      <c r="B821" s="11" t="s">
        <v>558</v>
      </c>
      <c r="D821" s="154">
        <v>0.173012</v>
      </c>
      <c r="E821" s="154">
        <v>0.17135600000000001</v>
      </c>
      <c r="F821" s="154">
        <v>0.237208</v>
      </c>
      <c r="G821" s="154">
        <v>0.276922</v>
      </c>
      <c r="H821" s="154">
        <v>0.31480000000000002</v>
      </c>
      <c r="I821" s="154">
        <v>0.28715200000000002</v>
      </c>
      <c r="J821" s="154">
        <v>0.307753</v>
      </c>
      <c r="K821" s="154">
        <v>0.30158400000000002</v>
      </c>
      <c r="L821" s="154">
        <v>0.289302</v>
      </c>
      <c r="M821" s="154">
        <v>0.31675599999999998</v>
      </c>
      <c r="N821" s="154">
        <v>0.25648900000000002</v>
      </c>
      <c r="O821" s="154">
        <v>0.26148900000000003</v>
      </c>
      <c r="P821" s="11"/>
      <c r="Q821" s="29"/>
      <c r="R821" s="30"/>
    </row>
    <row r="822" spans="1:18" ht="12" customHeight="1">
      <c r="A822" s="10" t="s">
        <v>559</v>
      </c>
      <c r="B822" s="11" t="s">
        <v>3197</v>
      </c>
      <c r="D822" s="154">
        <v>5.4192999999999998E-2</v>
      </c>
      <c r="E822" s="154">
        <v>5.3241999999999998E-2</v>
      </c>
      <c r="F822" s="154">
        <v>8.0948999999999993E-2</v>
      </c>
      <c r="G822" s="154">
        <v>8.0369999999999997E-2</v>
      </c>
      <c r="H822" s="154">
        <v>0.109198</v>
      </c>
      <c r="I822" s="154">
        <v>9.6874000000000002E-2</v>
      </c>
      <c r="J822" s="154">
        <v>0.12519</v>
      </c>
      <c r="K822" s="154">
        <v>0.116618</v>
      </c>
      <c r="L822" s="154">
        <v>8.6688000000000001E-2</v>
      </c>
      <c r="M822" s="154">
        <v>9.3533000000000005E-2</v>
      </c>
      <c r="N822" s="154">
        <v>7.6550999999999994E-2</v>
      </c>
      <c r="O822" s="154">
        <v>7.0368E-2</v>
      </c>
      <c r="P822" s="11"/>
      <c r="Q822" s="29"/>
      <c r="R822" s="30"/>
    </row>
    <row r="823" spans="1:18" ht="12" customHeight="1">
      <c r="A823" s="10" t="s">
        <v>560</v>
      </c>
      <c r="B823" s="11" t="s">
        <v>3198</v>
      </c>
      <c r="D823" s="154">
        <v>0.12264899999999999</v>
      </c>
      <c r="E823" s="154">
        <v>9.6406000000000006E-2</v>
      </c>
      <c r="F823" s="154">
        <v>7.0970000000000005E-2</v>
      </c>
      <c r="G823" s="154">
        <v>7.8621999999999997E-2</v>
      </c>
      <c r="H823" s="154">
        <v>9.5312999999999995E-2</v>
      </c>
      <c r="I823" s="154">
        <v>9.7364999999999993E-2</v>
      </c>
      <c r="J823" s="154">
        <v>0.148225</v>
      </c>
      <c r="K823" s="154">
        <v>0.161912</v>
      </c>
      <c r="L823" s="154">
        <v>0.10699699999999999</v>
      </c>
      <c r="M823" s="154">
        <v>9.5254000000000005E-2</v>
      </c>
      <c r="N823" s="154">
        <v>7.9435000000000006E-2</v>
      </c>
      <c r="O823" s="154">
        <v>0.106679</v>
      </c>
      <c r="P823" s="11"/>
      <c r="Q823" s="29"/>
      <c r="R823" s="30"/>
    </row>
    <row r="824" spans="1:18" ht="12" customHeight="1">
      <c r="A824" s="10" t="s">
        <v>561</v>
      </c>
      <c r="B824" s="11" t="s">
        <v>3199</v>
      </c>
      <c r="D824" s="154">
        <v>3.6292999999999999E-2</v>
      </c>
      <c r="E824" s="154">
        <v>2.8802000000000001E-2</v>
      </c>
      <c r="F824" s="154">
        <v>4.3340999999999998E-2</v>
      </c>
      <c r="G824" s="154">
        <v>3.8306E-2</v>
      </c>
      <c r="H824" s="154">
        <v>5.0470000000000001E-2</v>
      </c>
      <c r="I824" s="154">
        <v>5.2749999999999998E-2</v>
      </c>
      <c r="J824" s="154">
        <v>7.6350000000000001E-2</v>
      </c>
      <c r="K824" s="154">
        <v>8.7827000000000002E-2</v>
      </c>
      <c r="L824" s="154">
        <v>5.0386E-2</v>
      </c>
      <c r="M824" s="154">
        <v>4.6636999999999998E-2</v>
      </c>
      <c r="N824" s="154">
        <v>4.0724000000000003E-2</v>
      </c>
      <c r="O824" s="154">
        <v>4.8439000000000003E-2</v>
      </c>
      <c r="P824" s="11"/>
      <c r="Q824" s="29"/>
      <c r="R824" s="30"/>
    </row>
    <row r="825" spans="1:18" ht="12" customHeight="1">
      <c r="A825" s="10" t="s">
        <v>478</v>
      </c>
      <c r="B825" s="11" t="s">
        <v>2855</v>
      </c>
      <c r="D825" s="155" t="s">
        <v>546</v>
      </c>
      <c r="E825" s="155" t="s">
        <v>546</v>
      </c>
      <c r="F825" s="155" t="s">
        <v>546</v>
      </c>
      <c r="G825" s="155" t="s">
        <v>546</v>
      </c>
      <c r="H825" s="155" t="s">
        <v>546</v>
      </c>
      <c r="I825" s="155" t="s">
        <v>546</v>
      </c>
      <c r="J825" s="155" t="s">
        <v>546</v>
      </c>
      <c r="K825" s="155" t="s">
        <v>546</v>
      </c>
      <c r="L825" s="155" t="s">
        <v>546</v>
      </c>
      <c r="M825" s="155" t="s">
        <v>546</v>
      </c>
      <c r="N825" s="155" t="s">
        <v>546</v>
      </c>
      <c r="O825" s="155" t="s">
        <v>546</v>
      </c>
      <c r="P825" s="11"/>
      <c r="Q825" s="29"/>
      <c r="R825" s="30"/>
    </row>
    <row r="826" spans="1:18" ht="12" customHeight="1">
      <c r="A826" s="10" t="s">
        <v>2992</v>
      </c>
      <c r="B826" s="11" t="s">
        <v>2993</v>
      </c>
      <c r="D826" s="155" t="s">
        <v>546</v>
      </c>
      <c r="E826" s="155" t="s">
        <v>546</v>
      </c>
      <c r="F826" s="155" t="s">
        <v>546</v>
      </c>
      <c r="G826" s="155" t="s">
        <v>546</v>
      </c>
      <c r="H826" s="155" t="s">
        <v>546</v>
      </c>
      <c r="I826" s="155" t="s">
        <v>546</v>
      </c>
      <c r="J826" s="155" t="s">
        <v>546</v>
      </c>
      <c r="K826" s="155" t="s">
        <v>546</v>
      </c>
      <c r="L826" s="155" t="s">
        <v>546</v>
      </c>
      <c r="M826" s="155" t="s">
        <v>546</v>
      </c>
      <c r="N826" s="155" t="s">
        <v>546</v>
      </c>
      <c r="O826" s="155" t="s">
        <v>546</v>
      </c>
      <c r="P826" s="11"/>
      <c r="Q826" s="29"/>
      <c r="R826" s="30"/>
    </row>
    <row r="827" spans="1:18" ht="12" customHeight="1">
      <c r="A827" s="10"/>
      <c r="B827" s="11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1"/>
      <c r="Q827" s="29"/>
      <c r="R827" s="30"/>
    </row>
    <row r="828" spans="1:18" ht="12" customHeight="1">
      <c r="A828" s="10"/>
      <c r="B828" s="11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1"/>
      <c r="Q828" s="29"/>
      <c r="R828" s="30"/>
    </row>
    <row r="829" spans="1:18" ht="12" customHeight="1">
      <c r="A829" s="10"/>
      <c r="B829" s="11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1"/>
      <c r="Q829" s="29"/>
      <c r="R829" s="30"/>
    </row>
    <row r="830" spans="1:18" ht="12" customHeight="1">
      <c r="A830" s="16"/>
      <c r="B830" s="11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1"/>
      <c r="Q830" s="29"/>
      <c r="R830" s="30"/>
    </row>
    <row r="831" spans="1:18" ht="12" customHeight="1">
      <c r="A831" s="10"/>
      <c r="B831" s="11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1"/>
      <c r="Q831" s="29"/>
      <c r="R831" s="30"/>
    </row>
    <row r="832" spans="1:18" ht="12" customHeight="1">
      <c r="A832" s="10"/>
      <c r="B832" s="11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1"/>
      <c r="Q832" s="29"/>
      <c r="R832" s="30"/>
    </row>
    <row r="833" spans="1:18" ht="12" customHeight="1">
      <c r="A833" s="10"/>
      <c r="B833" s="11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1"/>
      <c r="Q833" s="29"/>
      <c r="R833" s="30"/>
    </row>
    <row r="834" spans="1:18" ht="12" customHeight="1">
      <c r="A834" s="10"/>
      <c r="B834" s="11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1"/>
      <c r="Q834" s="29"/>
      <c r="R834" s="30"/>
    </row>
    <row r="835" spans="1:18" ht="12" customHeight="1">
      <c r="A835" s="10"/>
      <c r="B835" s="11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1"/>
      <c r="Q835" s="29"/>
      <c r="R835" s="30"/>
    </row>
    <row r="836" spans="1:18" ht="12" customHeight="1">
      <c r="A836" s="10"/>
      <c r="B836" s="11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1"/>
      <c r="Q836" s="29"/>
      <c r="R836" s="30"/>
    </row>
    <row r="837" spans="1:18" ht="12" customHeight="1">
      <c r="A837" s="10"/>
      <c r="B837" s="11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1"/>
      <c r="Q837" s="29"/>
      <c r="R837" s="30"/>
    </row>
    <row r="838" spans="1:18" ht="12" customHeight="1">
      <c r="A838" s="10"/>
      <c r="B838" s="11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1"/>
      <c r="Q838" s="29"/>
      <c r="R838" s="30"/>
    </row>
    <row r="839" spans="1:18" ht="12" customHeight="1">
      <c r="A839" s="10"/>
      <c r="B839" s="11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1"/>
      <c r="Q839" s="29"/>
      <c r="R839" s="30"/>
    </row>
    <row r="840" spans="1:18" ht="12" customHeight="1">
      <c r="A840" s="10"/>
      <c r="B840" s="11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1"/>
      <c r="Q840" s="29"/>
      <c r="R840" s="30"/>
    </row>
    <row r="841" spans="1:18" ht="12" customHeight="1">
      <c r="A841" s="10"/>
      <c r="B841" s="11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1"/>
      <c r="Q841" s="29"/>
      <c r="R841" s="30"/>
    </row>
    <row r="842" spans="1:18" ht="12" customHeight="1">
      <c r="A842" s="10"/>
      <c r="B842" s="11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1"/>
      <c r="Q842" s="29"/>
      <c r="R842" s="30"/>
    </row>
    <row r="843" spans="1:18" ht="12" customHeight="1">
      <c r="A843" s="16"/>
      <c r="B843" s="11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1"/>
      <c r="Q843" s="29"/>
      <c r="R843" s="30"/>
    </row>
    <row r="844" spans="1:18" ht="12" customHeight="1">
      <c r="A844" s="10"/>
      <c r="B844" s="11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1"/>
      <c r="Q844" s="29"/>
      <c r="R844" s="30"/>
    </row>
    <row r="845" spans="1:18" ht="12" customHeight="1">
      <c r="A845" s="10"/>
      <c r="B845" s="11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1"/>
      <c r="Q845" s="29"/>
      <c r="R845" s="30"/>
    </row>
    <row r="846" spans="1:18" ht="12" customHeight="1">
      <c r="A846" s="10"/>
      <c r="B846" s="11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1"/>
      <c r="Q846" s="29"/>
      <c r="R846" s="30"/>
    </row>
    <row r="847" spans="1:18" ht="12" customHeight="1">
      <c r="A847" s="10"/>
      <c r="B847" s="11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1"/>
      <c r="Q847" s="29"/>
      <c r="R847" s="30"/>
    </row>
    <row r="848" spans="1:18" ht="12" customHeight="1">
      <c r="A848" s="10"/>
      <c r="B848" s="11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1"/>
      <c r="Q848" s="29"/>
      <c r="R848" s="30"/>
    </row>
    <row r="849" spans="1:18" ht="12" customHeight="1">
      <c r="A849" s="10"/>
      <c r="B849" s="11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1"/>
      <c r="Q849" s="29"/>
      <c r="R849" s="30"/>
    </row>
    <row r="850" spans="1:18" ht="12" customHeight="1">
      <c r="A850" s="10"/>
      <c r="B850" s="11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1"/>
      <c r="Q850" s="29"/>
      <c r="R850" s="30"/>
    </row>
    <row r="851" spans="1:18" ht="12" customHeight="1">
      <c r="A851" s="10"/>
      <c r="B851" s="11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1"/>
      <c r="Q851" s="29"/>
      <c r="R851" s="30"/>
    </row>
    <row r="852" spans="1:18" ht="12" customHeight="1">
      <c r="A852" s="10"/>
      <c r="B852" s="11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1"/>
      <c r="Q852" s="29"/>
      <c r="R852" s="30"/>
    </row>
    <row r="853" spans="1:18" ht="12" customHeight="1">
      <c r="A853" s="10"/>
      <c r="B853" s="127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7"/>
      <c r="Q853" s="29"/>
      <c r="R853" s="30"/>
    </row>
    <row r="854" spans="1:18" ht="12" customHeight="1">
      <c r="A854" s="10"/>
      <c r="B854" s="11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1"/>
      <c r="Q854" s="29"/>
      <c r="R854" s="30"/>
    </row>
    <row r="855" spans="1:18" ht="12" customHeight="1">
      <c r="A855" s="10"/>
      <c r="B855" s="11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1"/>
      <c r="Q855" s="29"/>
      <c r="R855" s="30"/>
    </row>
    <row r="856" spans="1:18" ht="12" customHeight="1">
      <c r="A856" s="16"/>
      <c r="B856" s="11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1"/>
      <c r="Q856" s="29"/>
      <c r="R856" s="30"/>
    </row>
    <row r="857" spans="1:18" ht="12" customHeight="1">
      <c r="A857" s="16"/>
      <c r="B857" s="11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1"/>
      <c r="Q857" s="29"/>
      <c r="R857" s="30"/>
    </row>
    <row r="858" spans="1:18" ht="12" customHeight="1">
      <c r="A858" s="16"/>
      <c r="B858" s="11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1"/>
      <c r="Q858" s="29"/>
      <c r="R858" s="30"/>
    </row>
    <row r="859" spans="1:18" ht="12" customHeight="1">
      <c r="A859" s="10"/>
      <c r="B859" s="11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1"/>
      <c r="Q859" s="29"/>
      <c r="R859" s="30"/>
    </row>
    <row r="860" spans="1:18" ht="12" customHeight="1">
      <c r="A860" s="10"/>
      <c r="B860" s="11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1"/>
      <c r="Q860" s="29"/>
      <c r="R860" s="30"/>
    </row>
    <row r="861" spans="1:18" ht="12" customHeight="1">
      <c r="A861" s="10"/>
      <c r="B861" s="11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1"/>
      <c r="Q861" s="29"/>
      <c r="R861" s="30"/>
    </row>
    <row r="862" spans="1:18" ht="12" customHeight="1">
      <c r="A862" s="10"/>
      <c r="B862" s="11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1"/>
      <c r="Q862" s="29"/>
      <c r="R862" s="30"/>
    </row>
    <row r="863" spans="1:18" ht="12" customHeight="1">
      <c r="A863" s="10"/>
      <c r="B863" s="11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1"/>
      <c r="Q863" s="29"/>
      <c r="R863" s="30"/>
    </row>
    <row r="864" spans="1:18" ht="12" customHeight="1">
      <c r="A864" s="10"/>
      <c r="B864" s="11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1"/>
      <c r="Q864" s="29"/>
      <c r="R864" s="30"/>
    </row>
    <row r="865" spans="1:18" ht="12" customHeight="1">
      <c r="A865" s="10"/>
      <c r="B865" s="11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1"/>
      <c r="Q865" s="29"/>
      <c r="R865" s="30"/>
    </row>
    <row r="866" spans="1:18" ht="12" customHeight="1">
      <c r="A866" s="10"/>
      <c r="B866" s="11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1"/>
      <c r="Q866" s="29"/>
      <c r="R866" s="30"/>
    </row>
    <row r="867" spans="1:18" ht="12" customHeight="1">
      <c r="A867" s="10"/>
      <c r="B867" s="11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1"/>
      <c r="Q867" s="29"/>
      <c r="R867" s="30"/>
    </row>
    <row r="868" spans="1:18" ht="12" customHeight="1">
      <c r="A868" s="10"/>
      <c r="B868" s="11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1"/>
      <c r="Q868" s="29"/>
      <c r="R868" s="30"/>
    </row>
    <row r="869" spans="1:18" ht="12" customHeight="1">
      <c r="A869" s="10"/>
      <c r="B869" s="11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1"/>
      <c r="Q869" s="29"/>
      <c r="R869" s="30"/>
    </row>
    <row r="870" spans="1:18" ht="12" customHeight="1">
      <c r="A870" s="10"/>
      <c r="B870" s="11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1"/>
      <c r="Q870" s="29"/>
      <c r="R870" s="30"/>
    </row>
    <row r="871" spans="1:18" ht="12" customHeight="1">
      <c r="A871" s="10"/>
      <c r="B871" s="11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1"/>
      <c r="Q871" s="29"/>
      <c r="R871" s="30"/>
    </row>
    <row r="872" spans="1:18" ht="12" customHeight="1">
      <c r="A872" s="10"/>
      <c r="B872" s="11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1"/>
      <c r="Q872" s="29"/>
      <c r="R872" s="30"/>
    </row>
    <row r="873" spans="1:18" ht="12" customHeight="1">
      <c r="A873" s="10"/>
      <c r="B873" s="11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1"/>
      <c r="Q873" s="29"/>
      <c r="R873" s="30"/>
    </row>
    <row r="874" spans="1:18" ht="12" customHeight="1">
      <c r="A874" s="10"/>
      <c r="B874" s="11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1"/>
      <c r="Q874" s="29"/>
      <c r="R874" s="30"/>
    </row>
    <row r="875" spans="1:18" ht="12" customHeight="1">
      <c r="A875" s="10"/>
      <c r="B875" s="11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1"/>
      <c r="Q875" s="29"/>
      <c r="R875" s="30"/>
    </row>
    <row r="876" spans="1:18" ht="12" customHeight="1">
      <c r="A876" s="10"/>
      <c r="B876" s="11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1"/>
      <c r="Q876" s="29"/>
      <c r="R876" s="30"/>
    </row>
    <row r="877" spans="1:18" ht="12" customHeight="1">
      <c r="A877" s="10"/>
      <c r="B877" s="11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1"/>
      <c r="Q877" s="29"/>
      <c r="R877" s="30"/>
    </row>
    <row r="878" spans="1:18" ht="12" customHeight="1">
      <c r="A878" s="10"/>
      <c r="B878" s="11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1"/>
      <c r="Q878" s="29"/>
      <c r="R878" s="30"/>
    </row>
    <row r="879" spans="1:18" ht="12" customHeight="1">
      <c r="A879" s="10"/>
      <c r="B879" s="11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1"/>
      <c r="Q879" s="29"/>
      <c r="R879" s="30"/>
    </row>
    <row r="880" spans="1:18" ht="12" customHeight="1">
      <c r="A880" s="10"/>
      <c r="B880" s="11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1"/>
      <c r="Q880" s="29"/>
      <c r="R880" s="30"/>
    </row>
    <row r="881" spans="1:18" ht="12" customHeight="1">
      <c r="A881" s="10"/>
      <c r="B881" s="11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1"/>
      <c r="Q881" s="29"/>
      <c r="R881" s="30"/>
    </row>
    <row r="882" spans="1:18" ht="12" customHeight="1">
      <c r="A882" s="10"/>
      <c r="B882" s="11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1"/>
      <c r="Q882" s="29"/>
      <c r="R882" s="30"/>
    </row>
    <row r="883" spans="1:18" ht="12" customHeight="1">
      <c r="A883" s="10"/>
      <c r="B883" s="11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1"/>
      <c r="Q883" s="29"/>
      <c r="R883" s="30"/>
    </row>
    <row r="884" spans="1:18" ht="12" customHeight="1">
      <c r="A884" s="10"/>
      <c r="B884" s="11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1"/>
      <c r="Q884" s="29"/>
      <c r="R884" s="30"/>
    </row>
    <row r="885" spans="1:18" ht="12" customHeight="1">
      <c r="A885" s="10"/>
      <c r="B885" s="11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1"/>
      <c r="Q885" s="29"/>
      <c r="R885" s="30"/>
    </row>
    <row r="886" spans="1:18" ht="12" customHeight="1">
      <c r="A886" s="10"/>
      <c r="B886" s="11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1"/>
      <c r="Q886" s="29"/>
      <c r="R886" s="30"/>
    </row>
    <row r="887" spans="1:18" ht="12" customHeight="1">
      <c r="A887" s="10"/>
      <c r="B887" s="11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1"/>
      <c r="Q887" s="29"/>
      <c r="R887" s="30"/>
    </row>
    <row r="888" spans="1:18" ht="12" customHeight="1">
      <c r="A888" s="10"/>
      <c r="B888" s="11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1"/>
      <c r="Q888" s="29"/>
      <c r="R888" s="30"/>
    </row>
    <row r="889" spans="1:18" ht="12" customHeight="1">
      <c r="A889" s="16"/>
      <c r="B889" s="11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1"/>
      <c r="Q889" s="29"/>
      <c r="R889" s="30"/>
    </row>
    <row r="890" spans="1:18" ht="12" customHeight="1">
      <c r="A890" s="10"/>
      <c r="B890" s="11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1"/>
      <c r="Q890" s="29"/>
      <c r="R890" s="30"/>
    </row>
    <row r="891" spans="1:18" ht="12" customHeight="1">
      <c r="A891" s="10"/>
      <c r="B891" s="11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1"/>
      <c r="Q891" s="29"/>
      <c r="R891" s="30"/>
    </row>
    <row r="892" spans="1:18" ht="12" customHeight="1">
      <c r="A892" s="10"/>
      <c r="B892" s="11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1"/>
      <c r="Q892" s="29"/>
      <c r="R892" s="30"/>
    </row>
    <row r="893" spans="1:18" ht="12" customHeight="1">
      <c r="A893" s="16"/>
      <c r="B893" s="11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1"/>
      <c r="Q893" s="29"/>
      <c r="R893" s="30"/>
    </row>
    <row r="894" spans="1:18" ht="12" customHeight="1">
      <c r="A894" s="16"/>
      <c r="B894" s="11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1"/>
      <c r="Q894" s="29"/>
      <c r="R894" s="30"/>
    </row>
    <row r="895" spans="1:18" ht="12" customHeight="1">
      <c r="A895" s="10"/>
      <c r="B895" s="11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1"/>
      <c r="Q895" s="29"/>
      <c r="R895" s="30"/>
    </row>
    <row r="896" spans="1:18" ht="12" customHeight="1">
      <c r="A896" s="16"/>
      <c r="B896" s="11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1"/>
      <c r="Q896" s="29"/>
      <c r="R896" s="30"/>
    </row>
    <row r="897" spans="1:18" ht="12" customHeight="1">
      <c r="A897" s="16"/>
      <c r="B897" s="11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1"/>
      <c r="Q897" s="29"/>
      <c r="R897" s="30"/>
    </row>
    <row r="898" spans="1:18" ht="12" customHeight="1">
      <c r="A898" s="10"/>
      <c r="B898" s="11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1"/>
      <c r="Q898" s="29"/>
      <c r="R898" s="30"/>
    </row>
    <row r="899" spans="1:18" ht="12" customHeight="1">
      <c r="A899" s="10"/>
      <c r="B899" s="11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1"/>
      <c r="Q899" s="29"/>
      <c r="R899" s="30"/>
    </row>
    <row r="900" spans="1:18" ht="12" customHeight="1">
      <c r="A900" s="10"/>
      <c r="B900" s="11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1"/>
      <c r="Q900" s="29"/>
      <c r="R900" s="30"/>
    </row>
    <row r="901" spans="1:18" ht="12" customHeight="1">
      <c r="A901" s="10"/>
      <c r="B901" s="11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1"/>
      <c r="Q901" s="29"/>
      <c r="R901" s="30"/>
    </row>
    <row r="902" spans="1:18" ht="12" customHeight="1">
      <c r="A902" s="10"/>
      <c r="B902" s="11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1"/>
      <c r="Q902" s="29"/>
      <c r="R902" s="30"/>
    </row>
    <row r="903" spans="1:18" ht="12" customHeight="1">
      <c r="A903" s="10"/>
      <c r="B903" s="11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1"/>
      <c r="Q903" s="29"/>
      <c r="R903" s="30"/>
    </row>
    <row r="904" spans="1:18" ht="12" customHeight="1">
      <c r="A904" s="10"/>
      <c r="B904" s="11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1"/>
      <c r="Q904" s="29"/>
      <c r="R904" s="30"/>
    </row>
    <row r="905" spans="1:18" ht="12" customHeight="1">
      <c r="A905" s="10"/>
      <c r="B905" s="11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1"/>
      <c r="Q905" s="29"/>
      <c r="R905" s="30"/>
    </row>
    <row r="906" spans="1:18" ht="12" customHeight="1">
      <c r="A906" s="10"/>
      <c r="B906" s="11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1"/>
      <c r="Q906" s="29"/>
      <c r="R906" s="30"/>
    </row>
    <row r="907" spans="1:18" ht="12" customHeight="1">
      <c r="A907" s="10"/>
      <c r="B907" s="11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1"/>
      <c r="Q907" s="29"/>
      <c r="R907" s="30"/>
    </row>
    <row r="908" spans="1:18" ht="12" customHeight="1">
      <c r="A908" s="10"/>
      <c r="B908" s="11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1"/>
      <c r="Q908" s="29"/>
      <c r="R908" s="30"/>
    </row>
    <row r="909" spans="1:18" ht="12" customHeight="1">
      <c r="A909" s="10"/>
      <c r="B909" s="11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1"/>
      <c r="Q909" s="29"/>
      <c r="R909" s="30"/>
    </row>
    <row r="910" spans="1:18" ht="12" customHeight="1">
      <c r="A910" s="10"/>
      <c r="B910" s="11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1"/>
      <c r="Q910" s="29"/>
      <c r="R910" s="30"/>
    </row>
    <row r="911" spans="1:18" ht="12" customHeight="1">
      <c r="A911" s="10"/>
      <c r="B911" s="11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1"/>
      <c r="Q911" s="29"/>
      <c r="R911" s="30"/>
    </row>
    <row r="912" spans="1:18" ht="12" customHeight="1">
      <c r="A912" s="10"/>
      <c r="B912" s="11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1"/>
      <c r="Q912" s="29"/>
      <c r="R912" s="30"/>
    </row>
    <row r="913" spans="1:18" ht="12" customHeight="1">
      <c r="A913" s="10"/>
      <c r="B913" s="11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1"/>
      <c r="Q913" s="29"/>
      <c r="R913" s="30"/>
    </row>
    <row r="914" spans="1:18" ht="12" customHeight="1">
      <c r="A914" s="16"/>
      <c r="B914" s="11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1"/>
      <c r="Q914" s="29"/>
      <c r="R914" s="30"/>
    </row>
    <row r="915" spans="1:18" ht="12" customHeight="1">
      <c r="A915" s="16"/>
      <c r="B915" s="11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1"/>
      <c r="Q915" s="29"/>
      <c r="R915" s="30"/>
    </row>
    <row r="916" spans="1:18" ht="12" customHeight="1">
      <c r="A916" s="10"/>
      <c r="B916" s="11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1"/>
      <c r="Q916" s="29"/>
      <c r="R916" s="30"/>
    </row>
    <row r="917" spans="1:18" ht="12" customHeight="1">
      <c r="A917" s="10"/>
      <c r="B917" s="11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1"/>
      <c r="Q917" s="29"/>
      <c r="R917" s="30"/>
    </row>
    <row r="918" spans="1:18" ht="12" customHeight="1">
      <c r="A918" s="16"/>
      <c r="B918" s="11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1"/>
      <c r="Q918" s="29"/>
      <c r="R918" s="30"/>
    </row>
    <row r="919" spans="1:18" ht="12" customHeight="1">
      <c r="A919" s="16"/>
      <c r="B919" s="11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1"/>
      <c r="Q919" s="29"/>
      <c r="R919" s="30"/>
    </row>
    <row r="920" spans="1:18" ht="12" customHeight="1">
      <c r="A920" s="16"/>
      <c r="B920" s="11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1"/>
      <c r="Q920" s="29"/>
      <c r="R920" s="30"/>
    </row>
    <row r="921" spans="1:18" ht="12" customHeight="1">
      <c r="A921" s="16"/>
      <c r="B921" s="11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1"/>
      <c r="Q921" s="29"/>
      <c r="R921" s="30"/>
    </row>
    <row r="922" spans="1:18" ht="12" customHeight="1">
      <c r="A922" s="16"/>
      <c r="B922" s="11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1"/>
      <c r="Q922" s="29"/>
      <c r="R922" s="30"/>
    </row>
    <row r="923" spans="1:18" ht="12" customHeight="1">
      <c r="A923" s="16"/>
      <c r="B923" s="11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1"/>
      <c r="Q923" s="29"/>
      <c r="R923" s="30"/>
    </row>
    <row r="924" spans="1:18" ht="12" customHeight="1">
      <c r="A924" s="16"/>
      <c r="B924" s="11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1"/>
      <c r="Q924" s="29"/>
      <c r="R924" s="30"/>
    </row>
    <row r="925" spans="1:18" ht="12" customHeight="1">
      <c r="A925" s="10"/>
      <c r="B925" s="11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1"/>
      <c r="Q925" s="29"/>
      <c r="R925" s="30"/>
    </row>
    <row r="926" spans="1:18" ht="12" customHeight="1">
      <c r="A926" s="10"/>
      <c r="B926" s="11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1"/>
      <c r="Q926" s="29"/>
      <c r="R926" s="30"/>
    </row>
    <row r="927" spans="1:18" ht="12" customHeight="1">
      <c r="A927" s="16"/>
      <c r="B927" s="11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1"/>
      <c r="Q927" s="29"/>
      <c r="R927" s="30"/>
    </row>
    <row r="928" spans="1:18" ht="12" customHeight="1">
      <c r="A928" s="16"/>
      <c r="B928" s="11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1"/>
      <c r="Q928" s="29"/>
      <c r="R928" s="30"/>
    </row>
    <row r="929" spans="1:18" ht="12" customHeight="1">
      <c r="A929" s="10"/>
      <c r="B929" s="11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1"/>
      <c r="Q929" s="29"/>
      <c r="R929" s="30"/>
    </row>
    <row r="930" spans="1:18" ht="12" customHeight="1">
      <c r="A930" s="10"/>
      <c r="B930" s="11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1"/>
      <c r="Q930" s="29"/>
      <c r="R930" s="30"/>
    </row>
    <row r="931" spans="1:18" ht="12" customHeight="1">
      <c r="A931" s="10"/>
      <c r="B931" s="11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1"/>
      <c r="Q931" s="29"/>
      <c r="R931" s="30"/>
    </row>
    <row r="932" spans="1:18" ht="12" customHeight="1">
      <c r="A932" s="10"/>
      <c r="B932" s="11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1"/>
      <c r="Q932" s="29"/>
      <c r="R932" s="30"/>
    </row>
    <row r="933" spans="1:18" ht="12" customHeight="1">
      <c r="A933" s="10"/>
      <c r="B933" s="11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1"/>
      <c r="Q933" s="29"/>
      <c r="R933" s="30"/>
    </row>
    <row r="934" spans="1:18" ht="12" customHeight="1">
      <c r="A934" s="10"/>
      <c r="B934" s="11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1"/>
      <c r="Q934" s="29"/>
      <c r="R934" s="30"/>
    </row>
    <row r="935" spans="1:18" ht="12" customHeight="1">
      <c r="A935" s="10"/>
      <c r="B935" s="11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1"/>
      <c r="Q935" s="29"/>
      <c r="R935" s="30"/>
    </row>
    <row r="936" spans="1:18" ht="12" customHeight="1">
      <c r="A936" s="10"/>
      <c r="B936" s="11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1"/>
      <c r="Q936" s="29"/>
      <c r="R936" s="30"/>
    </row>
    <row r="937" spans="1:18" ht="12" customHeight="1">
      <c r="A937" s="10"/>
      <c r="B937" s="11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1"/>
      <c r="Q937" s="29"/>
      <c r="R937" s="30"/>
    </row>
    <row r="938" spans="1:18" ht="12" customHeight="1">
      <c r="A938" s="10"/>
      <c r="B938" s="11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1"/>
      <c r="Q938" s="29"/>
      <c r="R938" s="30"/>
    </row>
    <row r="939" spans="1:18" ht="12" customHeight="1">
      <c r="A939" s="10"/>
      <c r="B939" s="11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1"/>
      <c r="Q939" s="29"/>
      <c r="R939" s="30"/>
    </row>
    <row r="940" spans="1:18" ht="12" customHeight="1">
      <c r="A940" s="10"/>
      <c r="B940" s="11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1"/>
      <c r="Q940" s="29"/>
      <c r="R940" s="30"/>
    </row>
    <row r="941" spans="1:18" ht="12" customHeight="1">
      <c r="A941" s="10"/>
      <c r="B941" s="11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1"/>
      <c r="Q941" s="29"/>
      <c r="R941" s="30"/>
    </row>
    <row r="942" spans="1:18" ht="12" customHeight="1">
      <c r="A942" s="10"/>
      <c r="B942" s="11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1"/>
      <c r="Q942" s="29"/>
      <c r="R942" s="30"/>
    </row>
    <row r="943" spans="1:18" ht="12" customHeight="1">
      <c r="A943" s="10"/>
      <c r="B943" s="11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1"/>
      <c r="Q943" s="29"/>
      <c r="R943" s="30"/>
    </row>
    <row r="944" spans="1:18" ht="12" customHeight="1">
      <c r="A944" s="10"/>
      <c r="B944" s="11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1"/>
      <c r="Q944" s="29"/>
      <c r="R944" s="30"/>
    </row>
    <row r="945" spans="1:18" ht="12" customHeight="1">
      <c r="A945" s="10"/>
      <c r="B945" s="11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1"/>
      <c r="Q945" s="29"/>
      <c r="R945" s="30"/>
    </row>
    <row r="946" spans="1:18" ht="12" customHeight="1">
      <c r="A946" s="10"/>
      <c r="B946" s="11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1"/>
      <c r="Q946" s="29"/>
      <c r="R946" s="30"/>
    </row>
    <row r="947" spans="1:18" ht="12" customHeight="1">
      <c r="A947" s="10"/>
      <c r="B947" s="11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1"/>
      <c r="Q947" s="29"/>
      <c r="R947" s="30"/>
    </row>
    <row r="948" spans="1:18" ht="12" customHeight="1">
      <c r="A948" s="10"/>
      <c r="B948" s="11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1"/>
      <c r="Q948" s="29"/>
      <c r="R948" s="30"/>
    </row>
    <row r="949" spans="1:18" ht="12" customHeight="1">
      <c r="A949" s="16"/>
      <c r="B949" s="11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1"/>
      <c r="Q949" s="29"/>
      <c r="R949" s="30"/>
    </row>
    <row r="950" spans="1:18" ht="12" customHeight="1">
      <c r="A950" s="16"/>
      <c r="B950" s="11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1"/>
      <c r="Q950" s="29"/>
      <c r="R950" s="30"/>
    </row>
    <row r="951" spans="1:18" ht="12" customHeight="1">
      <c r="A951" s="10"/>
      <c r="B951" s="11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1"/>
      <c r="Q951" s="29"/>
      <c r="R951" s="30"/>
    </row>
    <row r="952" spans="1:18" ht="12" customHeight="1">
      <c r="A952" s="10"/>
      <c r="B952" s="11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1"/>
      <c r="Q952" s="29"/>
      <c r="R952" s="30"/>
    </row>
    <row r="953" spans="1:18" ht="12" customHeight="1">
      <c r="A953" s="10"/>
      <c r="B953" s="11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1"/>
      <c r="Q953" s="29"/>
      <c r="R953" s="30"/>
    </row>
    <row r="954" spans="1:18" ht="12" customHeight="1">
      <c r="A954" s="10"/>
      <c r="B954" s="11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1"/>
      <c r="Q954" s="29"/>
      <c r="R954" s="30"/>
    </row>
    <row r="955" spans="1:18" ht="12" customHeight="1">
      <c r="A955" s="10"/>
      <c r="B955" s="11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1"/>
      <c r="Q955" s="29"/>
      <c r="R955" s="30"/>
    </row>
    <row r="956" spans="1:18" ht="12" customHeight="1">
      <c r="A956" s="10"/>
      <c r="B956" s="11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1"/>
      <c r="Q956" s="29"/>
      <c r="R956" s="30"/>
    </row>
    <row r="957" spans="1:18" ht="12" customHeight="1">
      <c r="A957" s="10"/>
      <c r="B957" s="11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1"/>
      <c r="Q957" s="29"/>
      <c r="R957" s="30"/>
    </row>
    <row r="958" spans="1:18" ht="12" customHeight="1">
      <c r="A958" s="10"/>
      <c r="B958" s="11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1"/>
      <c r="Q958" s="29"/>
      <c r="R958" s="30"/>
    </row>
    <row r="959" spans="1:18" ht="12" customHeight="1">
      <c r="A959" s="10"/>
      <c r="B959" s="11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1"/>
      <c r="Q959" s="29"/>
      <c r="R959" s="30"/>
    </row>
    <row r="960" spans="1:18" ht="12" customHeight="1">
      <c r="A960" s="10"/>
      <c r="B960" s="11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1"/>
      <c r="Q960" s="29"/>
      <c r="R960" s="30"/>
    </row>
    <row r="961" spans="1:18" ht="12" customHeight="1">
      <c r="A961" s="10"/>
      <c r="B961" s="11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1"/>
      <c r="Q961" s="29"/>
      <c r="R961" s="30"/>
    </row>
    <row r="962" spans="1:18" ht="12" customHeight="1">
      <c r="A962" s="10"/>
      <c r="B962" s="11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1"/>
      <c r="Q962" s="29"/>
      <c r="R962" s="30"/>
    </row>
    <row r="963" spans="1:18" ht="12" customHeight="1">
      <c r="A963" s="10"/>
      <c r="B963" s="11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1"/>
      <c r="Q963" s="29"/>
      <c r="R963" s="30"/>
    </row>
    <row r="964" spans="1:18" ht="12" customHeight="1">
      <c r="A964" s="10"/>
      <c r="B964" s="11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1"/>
      <c r="Q964" s="29"/>
      <c r="R964" s="30"/>
    </row>
    <row r="965" spans="1:18" ht="12" customHeight="1">
      <c r="A965" s="10"/>
      <c r="B965" s="11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1"/>
      <c r="Q965" s="29"/>
      <c r="R965" s="30"/>
    </row>
    <row r="966" spans="1:18" ht="12" customHeight="1">
      <c r="A966" s="10"/>
      <c r="B966" s="11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1"/>
      <c r="Q966" s="29"/>
      <c r="R966" s="30"/>
    </row>
    <row r="967" spans="1:18" ht="12" customHeight="1">
      <c r="A967" s="10"/>
      <c r="B967" s="11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1"/>
      <c r="Q967" s="29"/>
      <c r="R967" s="30"/>
    </row>
    <row r="968" spans="1:18" ht="12" customHeight="1">
      <c r="A968" s="10"/>
      <c r="B968" s="11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1"/>
      <c r="Q968" s="29"/>
      <c r="R968" s="30"/>
    </row>
    <row r="969" spans="1:18" ht="12" customHeight="1">
      <c r="A969" s="10"/>
      <c r="B969" s="11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1"/>
      <c r="Q969" s="29"/>
      <c r="R969" s="30"/>
    </row>
    <row r="970" spans="1:18" ht="12" customHeight="1">
      <c r="A970" s="10"/>
      <c r="B970" s="11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1"/>
      <c r="Q970" s="29"/>
      <c r="R970" s="30"/>
    </row>
    <row r="971" spans="1:18" ht="12" customHeight="1">
      <c r="A971" s="10"/>
      <c r="B971" s="11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1"/>
      <c r="Q971" s="29"/>
      <c r="R971" s="30"/>
    </row>
    <row r="972" spans="1:18" ht="12" customHeight="1">
      <c r="A972" s="10"/>
      <c r="B972" s="11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1"/>
      <c r="Q972" s="29"/>
      <c r="R972" s="30"/>
    </row>
    <row r="973" spans="1:18" ht="12" customHeight="1">
      <c r="A973" s="10"/>
      <c r="B973" s="11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1"/>
      <c r="Q973" s="29"/>
      <c r="R973" s="30"/>
    </row>
    <row r="974" spans="1:18" ht="12" customHeight="1">
      <c r="A974" s="10"/>
      <c r="B974" s="11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1"/>
      <c r="Q974" s="29"/>
      <c r="R974" s="30"/>
    </row>
    <row r="975" spans="1:18" ht="12" customHeight="1">
      <c r="A975" s="10"/>
      <c r="B975" s="11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1"/>
      <c r="Q975" s="29"/>
      <c r="R975" s="30"/>
    </row>
    <row r="976" spans="1:18" ht="12" customHeight="1">
      <c r="A976" s="10"/>
      <c r="B976" s="11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1"/>
      <c r="Q976" s="29"/>
      <c r="R976" s="30"/>
    </row>
    <row r="977" spans="1:18" ht="12" customHeight="1">
      <c r="A977" s="10"/>
      <c r="B977" s="11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1"/>
      <c r="Q977" s="29"/>
      <c r="R977" s="30"/>
    </row>
    <row r="978" spans="1:18" ht="12" customHeight="1">
      <c r="A978" s="10"/>
      <c r="B978" s="11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1"/>
      <c r="Q978" s="29"/>
      <c r="R978" s="30"/>
    </row>
    <row r="979" spans="1:18" ht="12" customHeight="1">
      <c r="A979" s="10"/>
      <c r="B979" s="11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1"/>
      <c r="Q979" s="29"/>
      <c r="R979" s="30"/>
    </row>
    <row r="980" spans="1:18" ht="12" customHeight="1">
      <c r="A980" s="10"/>
      <c r="B980" s="11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1"/>
      <c r="Q980" s="29"/>
      <c r="R980" s="30"/>
    </row>
    <row r="981" spans="1:18" ht="12" customHeight="1">
      <c r="A981" s="10"/>
      <c r="B981" s="11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1"/>
      <c r="Q981" s="29"/>
      <c r="R981" s="30"/>
    </row>
    <row r="982" spans="1:18" ht="12" customHeight="1">
      <c r="A982" s="10"/>
      <c r="B982" s="11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1"/>
      <c r="Q982" s="29"/>
      <c r="R982" s="30"/>
    </row>
    <row r="983" spans="1:18" ht="12" customHeight="1">
      <c r="A983" s="10"/>
      <c r="B983" s="11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1"/>
      <c r="Q983" s="29"/>
      <c r="R983" s="30"/>
    </row>
    <row r="984" spans="1:18" ht="12" customHeight="1">
      <c r="A984" s="10"/>
      <c r="B984" s="11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1"/>
      <c r="Q984" s="29"/>
      <c r="R984" s="30"/>
    </row>
    <row r="985" spans="1:18" ht="12" customHeight="1">
      <c r="A985" s="10"/>
      <c r="B985" s="11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1"/>
      <c r="Q985" s="29"/>
      <c r="R985" s="30"/>
    </row>
    <row r="986" spans="1:18" ht="12" customHeight="1">
      <c r="A986" s="10"/>
      <c r="B986" s="11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1"/>
      <c r="Q986" s="29"/>
      <c r="R986" s="30"/>
    </row>
    <row r="987" spans="1:18" ht="12" customHeight="1">
      <c r="A987" s="10"/>
      <c r="B987" s="11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1"/>
      <c r="Q987" s="29"/>
      <c r="R987" s="30"/>
    </row>
    <row r="988" spans="1:18" ht="12" customHeight="1">
      <c r="A988" s="10"/>
      <c r="B988" s="11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1"/>
      <c r="Q988" s="29"/>
      <c r="R988" s="30"/>
    </row>
    <row r="989" spans="1:18" ht="12" customHeight="1">
      <c r="A989" s="10"/>
      <c r="B989" s="11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1"/>
      <c r="Q989" s="29"/>
      <c r="R989" s="30"/>
    </row>
    <row r="990" spans="1:18" ht="12" customHeight="1">
      <c r="A990" s="10"/>
      <c r="B990" s="11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1"/>
      <c r="Q990" s="29"/>
      <c r="R990" s="30"/>
    </row>
    <row r="991" spans="1:18" ht="12" customHeight="1">
      <c r="A991" s="10"/>
      <c r="B991" s="11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1"/>
      <c r="Q991" s="29"/>
      <c r="R991" s="30"/>
    </row>
    <row r="992" spans="1:18" ht="12" customHeight="1">
      <c r="A992" s="10"/>
      <c r="B992" s="11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1"/>
      <c r="Q992" s="29"/>
      <c r="R992" s="30"/>
    </row>
    <row r="993" spans="1:18" ht="12" customHeight="1">
      <c r="A993" s="10"/>
      <c r="B993" s="11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1"/>
      <c r="Q993" s="29"/>
      <c r="R993" s="30"/>
    </row>
    <row r="994" spans="1:18" ht="12" customHeight="1">
      <c r="A994" s="10"/>
      <c r="B994" s="11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1"/>
      <c r="Q994" s="29"/>
      <c r="R994" s="30"/>
    </row>
    <row r="995" spans="1:18" ht="12" customHeight="1">
      <c r="A995" s="10"/>
      <c r="B995" s="11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1"/>
      <c r="Q995" s="29"/>
      <c r="R995" s="30"/>
    </row>
    <row r="996" spans="1:18" ht="12" customHeight="1">
      <c r="A996" s="10"/>
      <c r="B996" s="11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1"/>
      <c r="Q996" s="29"/>
      <c r="R996" s="30"/>
    </row>
    <row r="997" spans="1:18" ht="12" customHeight="1">
      <c r="A997" s="10"/>
      <c r="B997" s="11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1"/>
      <c r="Q997" s="29"/>
      <c r="R997" s="30"/>
    </row>
    <row r="998" spans="1:18" ht="12" customHeight="1">
      <c r="A998" s="10"/>
      <c r="B998" s="11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1"/>
      <c r="Q998" s="29"/>
      <c r="R998" s="30"/>
    </row>
    <row r="999" spans="1:18" ht="12" customHeight="1">
      <c r="A999" s="10"/>
      <c r="B999" s="11"/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1"/>
      <c r="Q999" s="29"/>
      <c r="R999" s="30"/>
    </row>
    <row r="1000" spans="1:18" ht="12" customHeight="1">
      <c r="A1000" s="10"/>
      <c r="B1000" s="11"/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1"/>
      <c r="Q1000" s="29"/>
      <c r="R1000" s="30"/>
    </row>
    <row r="1001" spans="1:18" ht="12" customHeight="1">
      <c r="A1001" s="10"/>
      <c r="B1001" s="11"/>
      <c r="C1001" s="126"/>
      <c r="D1001" s="126"/>
      <c r="E1001" s="126"/>
      <c r="F1001" s="126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1"/>
      <c r="Q1001" s="29"/>
      <c r="R1001" s="30"/>
    </row>
    <row r="1002" spans="1:18" ht="12" customHeight="1">
      <c r="A1002" s="10"/>
      <c r="B1002" s="11"/>
      <c r="C1002" s="126"/>
      <c r="D1002" s="126"/>
      <c r="E1002" s="126"/>
      <c r="F1002" s="126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1"/>
      <c r="Q1002" s="29"/>
      <c r="R1002" s="30"/>
    </row>
    <row r="1003" spans="1:18" ht="12" customHeight="1">
      <c r="A1003" s="10"/>
      <c r="B1003" s="11"/>
      <c r="C1003" s="126"/>
      <c r="D1003" s="126"/>
      <c r="E1003" s="126"/>
      <c r="F1003" s="126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1"/>
      <c r="Q1003" s="29"/>
      <c r="R1003" s="30"/>
    </row>
    <row r="1004" spans="1:18" ht="12" customHeight="1">
      <c r="A1004" s="10"/>
      <c r="B1004" s="11"/>
      <c r="C1004" s="126"/>
      <c r="D1004" s="126"/>
      <c r="E1004" s="126"/>
      <c r="F1004" s="126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1"/>
      <c r="Q1004" s="29"/>
      <c r="R1004" s="30"/>
    </row>
    <row r="1005" spans="1:18" ht="12" customHeight="1">
      <c r="A1005" s="10"/>
      <c r="B1005" s="11"/>
      <c r="C1005" s="126"/>
      <c r="D1005" s="126"/>
      <c r="E1005" s="126"/>
      <c r="F1005" s="126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1"/>
      <c r="Q1005" s="29"/>
      <c r="R1005" s="30"/>
    </row>
    <row r="1006" spans="1:18" ht="12" customHeight="1">
      <c r="A1006" s="10"/>
      <c r="B1006" s="11"/>
      <c r="C1006" s="126"/>
      <c r="D1006" s="126"/>
      <c r="E1006" s="126"/>
      <c r="F1006" s="126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1"/>
      <c r="Q1006" s="29"/>
      <c r="R1006" s="30"/>
    </row>
    <row r="1007" spans="1:18" ht="12" customHeight="1">
      <c r="A1007" s="10"/>
      <c r="B1007" s="11"/>
      <c r="C1007" s="126"/>
      <c r="D1007" s="126"/>
      <c r="E1007" s="126"/>
      <c r="F1007" s="126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1"/>
      <c r="Q1007" s="29"/>
      <c r="R1007" s="30"/>
    </row>
    <row r="1008" spans="1:18" ht="12" customHeight="1">
      <c r="A1008" s="10"/>
      <c r="B1008" s="11"/>
      <c r="C1008" s="126"/>
      <c r="D1008" s="126"/>
      <c r="E1008" s="126"/>
      <c r="F1008" s="126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1"/>
      <c r="Q1008" s="29"/>
      <c r="R1008" s="30"/>
    </row>
    <row r="1009" spans="1:18" ht="12" customHeight="1">
      <c r="A1009" s="10"/>
      <c r="B1009" s="11"/>
      <c r="C1009" s="126"/>
      <c r="D1009" s="126"/>
      <c r="E1009" s="126"/>
      <c r="F1009" s="126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1"/>
      <c r="Q1009" s="29"/>
      <c r="R1009" s="30"/>
    </row>
    <row r="1010" spans="1:18" ht="12" customHeight="1">
      <c r="A1010" s="10"/>
      <c r="B1010" s="11"/>
      <c r="C1010" s="126"/>
      <c r="D1010" s="126"/>
      <c r="E1010" s="126"/>
      <c r="F1010" s="126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1"/>
      <c r="Q1010" s="29"/>
      <c r="R1010" s="30"/>
    </row>
    <row r="1011" spans="1:18" ht="12" customHeight="1">
      <c r="A1011" s="10"/>
      <c r="B1011" s="11"/>
      <c r="C1011" s="126"/>
      <c r="D1011" s="126"/>
      <c r="E1011" s="126"/>
      <c r="F1011" s="126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1"/>
      <c r="Q1011" s="29"/>
      <c r="R1011" s="30"/>
    </row>
    <row r="1012" spans="1:18" ht="12" customHeight="1">
      <c r="A1012" s="10"/>
      <c r="B1012" s="11"/>
      <c r="C1012" s="126"/>
      <c r="D1012" s="126"/>
      <c r="E1012" s="126"/>
      <c r="F1012" s="126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1"/>
      <c r="Q1012" s="29"/>
      <c r="R1012" s="30"/>
    </row>
    <row r="1013" spans="1:18" ht="12" customHeight="1">
      <c r="A1013" s="10"/>
      <c r="B1013" s="11"/>
      <c r="C1013" s="126"/>
      <c r="D1013" s="126"/>
      <c r="E1013" s="126"/>
      <c r="F1013" s="126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1"/>
      <c r="Q1013" s="29"/>
      <c r="R1013" s="30"/>
    </row>
    <row r="1014" spans="1:18" ht="12" customHeight="1">
      <c r="A1014" s="10"/>
      <c r="B1014" s="11"/>
      <c r="C1014" s="126"/>
      <c r="D1014" s="126"/>
      <c r="E1014" s="126"/>
      <c r="F1014" s="126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1"/>
      <c r="Q1014" s="29"/>
      <c r="R1014" s="30"/>
    </row>
    <row r="1015" spans="1:18" ht="12" customHeight="1">
      <c r="A1015" s="10"/>
      <c r="B1015" s="11"/>
      <c r="C1015" s="126"/>
      <c r="D1015" s="126"/>
      <c r="E1015" s="126"/>
      <c r="F1015" s="126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1"/>
      <c r="Q1015" s="29"/>
      <c r="R1015" s="30"/>
    </row>
    <row r="1016" spans="1:18" ht="12" customHeight="1">
      <c r="A1016" s="10"/>
      <c r="B1016" s="11"/>
      <c r="C1016" s="126"/>
      <c r="D1016" s="126"/>
      <c r="E1016" s="126"/>
      <c r="F1016" s="126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1"/>
      <c r="Q1016" s="29"/>
      <c r="R1016" s="30"/>
    </row>
    <row r="1017" spans="1:18" ht="12" customHeight="1">
      <c r="A1017" s="10"/>
      <c r="B1017" s="11"/>
      <c r="C1017" s="126"/>
      <c r="D1017" s="126"/>
      <c r="E1017" s="126"/>
      <c r="F1017" s="126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1"/>
      <c r="Q1017" s="29"/>
      <c r="R1017" s="30"/>
    </row>
    <row r="1018" spans="1:18" ht="12" customHeight="1">
      <c r="A1018" s="10"/>
      <c r="B1018" s="11"/>
      <c r="C1018" s="126"/>
      <c r="D1018" s="126"/>
      <c r="E1018" s="126"/>
      <c r="F1018" s="126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1"/>
      <c r="Q1018" s="29"/>
      <c r="R1018" s="30"/>
    </row>
    <row r="1019" spans="1:18" ht="12" customHeight="1">
      <c r="A1019" s="10"/>
      <c r="B1019" s="11"/>
      <c r="C1019" s="126"/>
      <c r="D1019" s="126"/>
      <c r="E1019" s="126"/>
      <c r="F1019" s="126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1"/>
      <c r="Q1019" s="29"/>
      <c r="R1019" s="30"/>
    </row>
    <row r="1020" spans="1:18" ht="12" customHeight="1">
      <c r="A1020" s="10"/>
      <c r="B1020" s="11"/>
      <c r="C1020" s="126"/>
      <c r="D1020" s="126"/>
      <c r="E1020" s="126"/>
      <c r="F1020" s="126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1"/>
      <c r="Q1020" s="29"/>
      <c r="R1020" s="30"/>
    </row>
    <row r="1021" spans="1:18" ht="12" customHeight="1">
      <c r="A1021" s="10"/>
      <c r="B1021" s="11"/>
      <c r="C1021" s="126"/>
      <c r="D1021" s="126"/>
      <c r="E1021" s="126"/>
      <c r="F1021" s="126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1"/>
      <c r="Q1021" s="29"/>
      <c r="R1021" s="30"/>
    </row>
    <row r="1022" spans="1:18" ht="12" customHeight="1">
      <c r="A1022" s="10"/>
      <c r="B1022" s="11"/>
      <c r="C1022" s="126"/>
      <c r="D1022" s="126"/>
      <c r="E1022" s="126"/>
      <c r="F1022" s="126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1"/>
      <c r="Q1022" s="29"/>
      <c r="R1022" s="30"/>
    </row>
    <row r="1023" spans="1:18" ht="12" customHeight="1">
      <c r="A1023" s="10"/>
      <c r="B1023" s="11"/>
      <c r="C1023" s="126"/>
      <c r="D1023" s="126"/>
      <c r="E1023" s="126"/>
      <c r="F1023" s="126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1"/>
      <c r="Q1023" s="29"/>
      <c r="R1023" s="30"/>
    </row>
    <row r="1024" spans="1:18" ht="12" customHeight="1">
      <c r="A1024" s="10"/>
      <c r="B1024" s="11"/>
      <c r="C1024" s="126"/>
      <c r="D1024" s="126"/>
      <c r="E1024" s="126"/>
      <c r="F1024" s="126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1"/>
      <c r="Q1024" s="29"/>
      <c r="R1024" s="30"/>
    </row>
    <row r="1025" spans="1:18" ht="12" customHeight="1">
      <c r="A1025" s="10"/>
      <c r="B1025" s="11"/>
      <c r="C1025" s="126"/>
      <c r="D1025" s="126"/>
      <c r="E1025" s="126"/>
      <c r="F1025" s="126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1"/>
      <c r="Q1025" s="29"/>
      <c r="R1025" s="30"/>
    </row>
    <row r="1026" spans="1:18" ht="12" customHeight="1">
      <c r="A1026" s="10"/>
      <c r="B1026" s="11"/>
      <c r="C1026" s="126"/>
      <c r="D1026" s="126"/>
      <c r="E1026" s="126"/>
      <c r="F1026" s="126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1"/>
      <c r="Q1026" s="29"/>
      <c r="R1026" s="30"/>
    </row>
    <row r="1027" spans="1:18" ht="12" customHeight="1">
      <c r="A1027" s="10"/>
      <c r="B1027" s="11"/>
      <c r="C1027" s="126"/>
      <c r="D1027" s="126"/>
      <c r="E1027" s="126"/>
      <c r="F1027" s="126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1"/>
      <c r="Q1027" s="29"/>
      <c r="R1027" s="30"/>
    </row>
    <row r="1028" spans="1:18" ht="12" customHeight="1">
      <c r="A1028" s="10"/>
      <c r="B1028" s="11"/>
      <c r="C1028" s="126"/>
      <c r="D1028" s="126"/>
      <c r="E1028" s="126"/>
      <c r="F1028" s="126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1"/>
      <c r="Q1028" s="29"/>
      <c r="R1028" s="30"/>
    </row>
    <row r="1029" spans="1:18" ht="12" customHeight="1">
      <c r="A1029" s="10"/>
      <c r="B1029" s="11"/>
      <c r="C1029" s="126"/>
      <c r="D1029" s="126"/>
      <c r="E1029" s="126"/>
      <c r="F1029" s="126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1"/>
      <c r="Q1029" s="29"/>
      <c r="R1029" s="30"/>
    </row>
    <row r="1030" spans="1:18" ht="12" customHeight="1">
      <c r="A1030" s="10"/>
      <c r="B1030" s="11"/>
      <c r="C1030" s="126"/>
      <c r="D1030" s="126"/>
      <c r="E1030" s="126"/>
      <c r="F1030" s="126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1"/>
      <c r="Q1030" s="29"/>
      <c r="R1030" s="30"/>
    </row>
    <row r="1031" spans="1:18" ht="12" customHeight="1">
      <c r="A1031" s="10"/>
      <c r="B1031" s="11"/>
      <c r="C1031" s="126"/>
      <c r="D1031" s="126"/>
      <c r="E1031" s="126"/>
      <c r="F1031" s="126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1"/>
      <c r="Q1031" s="29"/>
      <c r="R1031" s="30"/>
    </row>
    <row r="1032" spans="1:18" ht="12" customHeight="1">
      <c r="A1032" s="10"/>
      <c r="B1032" s="11"/>
      <c r="C1032" s="126"/>
      <c r="D1032" s="126"/>
      <c r="E1032" s="126"/>
      <c r="F1032" s="126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1"/>
      <c r="Q1032" s="29"/>
      <c r="R1032" s="30"/>
    </row>
    <row r="1033" spans="1:18" ht="12" customHeight="1">
      <c r="A1033" s="10"/>
      <c r="B1033" s="11"/>
      <c r="C1033" s="126"/>
      <c r="D1033" s="126"/>
      <c r="E1033" s="126"/>
      <c r="F1033" s="126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1"/>
      <c r="Q1033" s="29"/>
      <c r="R1033" s="30"/>
    </row>
    <row r="1034" spans="1:18" ht="12" customHeight="1">
      <c r="A1034" s="10"/>
      <c r="B1034" s="11"/>
      <c r="C1034" s="126"/>
      <c r="D1034" s="126"/>
      <c r="E1034" s="126"/>
      <c r="F1034" s="126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1"/>
      <c r="Q1034" s="29"/>
      <c r="R1034" s="30"/>
    </row>
    <row r="1035" spans="1:18" ht="12" customHeight="1">
      <c r="A1035" s="10"/>
      <c r="B1035" s="11"/>
      <c r="C1035" s="126"/>
      <c r="D1035" s="126"/>
      <c r="E1035" s="126"/>
      <c r="F1035" s="126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1"/>
      <c r="Q1035" s="29"/>
      <c r="R1035" s="30"/>
    </row>
    <row r="1036" spans="1:18" ht="12" customHeight="1">
      <c r="A1036" s="10"/>
      <c r="B1036" s="11"/>
      <c r="C1036" s="126"/>
      <c r="D1036" s="126"/>
      <c r="E1036" s="126"/>
      <c r="F1036" s="126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1"/>
      <c r="Q1036" s="29"/>
      <c r="R1036" s="30"/>
    </row>
    <row r="1037" spans="1:18" ht="12" customHeight="1">
      <c r="A1037" s="10"/>
      <c r="B1037" s="11"/>
      <c r="C1037" s="126"/>
      <c r="D1037" s="126"/>
      <c r="E1037" s="126"/>
      <c r="F1037" s="126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1"/>
      <c r="Q1037" s="29"/>
      <c r="R1037" s="30"/>
    </row>
    <row r="1038" spans="1:18" ht="12" customHeight="1">
      <c r="A1038" s="10"/>
      <c r="B1038" s="11"/>
      <c r="C1038" s="126"/>
      <c r="D1038" s="126"/>
      <c r="E1038" s="126"/>
      <c r="F1038" s="126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1"/>
      <c r="Q1038" s="29"/>
      <c r="R1038" s="30"/>
    </row>
    <row r="1039" spans="1:18" ht="12" customHeight="1">
      <c r="A1039" s="10"/>
      <c r="B1039" s="11"/>
      <c r="C1039" s="126"/>
      <c r="D1039" s="126"/>
      <c r="E1039" s="126"/>
      <c r="F1039" s="126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1"/>
      <c r="Q1039" s="29"/>
      <c r="R1039" s="30"/>
    </row>
    <row r="1040" spans="1:18" ht="12" customHeight="1">
      <c r="A1040" s="10"/>
      <c r="B1040" s="11"/>
      <c r="C1040" s="126"/>
      <c r="D1040" s="126"/>
      <c r="E1040" s="126"/>
      <c r="F1040" s="126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1"/>
      <c r="Q1040" s="29"/>
      <c r="R1040" s="30"/>
    </row>
    <row r="1041" spans="1:18" ht="12" customHeight="1">
      <c r="A1041" s="10"/>
      <c r="B1041" s="11"/>
      <c r="C1041" s="126"/>
      <c r="D1041" s="126"/>
      <c r="E1041" s="126"/>
      <c r="F1041" s="126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1"/>
      <c r="Q1041" s="29"/>
      <c r="R1041" s="30"/>
    </row>
    <row r="1042" spans="1:18" ht="12" customHeight="1">
      <c r="A1042" s="10"/>
      <c r="B1042" s="11"/>
      <c r="C1042" s="126"/>
      <c r="D1042" s="126"/>
      <c r="E1042" s="126"/>
      <c r="F1042" s="126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1"/>
      <c r="Q1042" s="29"/>
      <c r="R1042" s="30"/>
    </row>
    <row r="1043" spans="1:18" ht="12" customHeight="1">
      <c r="A1043" s="10"/>
      <c r="B1043" s="11"/>
      <c r="C1043" s="126"/>
      <c r="D1043" s="126"/>
      <c r="E1043" s="126"/>
      <c r="F1043" s="126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1"/>
      <c r="Q1043" s="29"/>
      <c r="R1043" s="30"/>
    </row>
    <row r="1044" spans="1:18" ht="12" customHeight="1">
      <c r="A1044" s="16"/>
      <c r="B1044" s="11"/>
      <c r="C1044" s="126"/>
      <c r="D1044" s="126"/>
      <c r="E1044" s="126"/>
      <c r="F1044" s="126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1"/>
      <c r="Q1044" s="29"/>
      <c r="R1044" s="30"/>
    </row>
    <row r="1045" spans="1:18" ht="12" customHeight="1">
      <c r="A1045" s="10"/>
      <c r="B1045" s="11"/>
      <c r="C1045" s="126"/>
      <c r="D1045" s="126"/>
      <c r="E1045" s="126"/>
      <c r="F1045" s="126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1"/>
      <c r="Q1045" s="29"/>
      <c r="R1045" s="30"/>
    </row>
    <row r="1046" spans="1:18" ht="12" customHeight="1">
      <c r="A1046" s="10"/>
      <c r="B1046" s="11"/>
      <c r="C1046" s="126"/>
      <c r="D1046" s="126"/>
      <c r="E1046" s="126"/>
      <c r="F1046" s="126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1"/>
      <c r="Q1046" s="29"/>
      <c r="R1046" s="30"/>
    </row>
    <row r="1047" spans="1:18" ht="12" customHeight="1">
      <c r="A1047" s="10"/>
      <c r="B1047" s="11"/>
      <c r="C1047" s="126"/>
      <c r="D1047" s="126"/>
      <c r="E1047" s="126"/>
      <c r="F1047" s="126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1"/>
      <c r="Q1047" s="29"/>
      <c r="R1047" s="30"/>
    </row>
    <row r="1048" spans="1:18" ht="12" customHeight="1">
      <c r="A1048" s="10"/>
      <c r="B1048" s="11"/>
      <c r="C1048" s="126"/>
      <c r="D1048" s="126"/>
      <c r="E1048" s="126"/>
      <c r="F1048" s="126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1"/>
      <c r="Q1048" s="29"/>
      <c r="R1048" s="30"/>
    </row>
    <row r="1049" spans="1:18" ht="12" customHeight="1">
      <c r="A1049" s="16"/>
      <c r="B1049" s="11"/>
      <c r="C1049" s="126"/>
      <c r="D1049" s="126"/>
      <c r="E1049" s="126"/>
      <c r="F1049" s="126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1"/>
      <c r="Q1049" s="29"/>
      <c r="R1049" s="30"/>
    </row>
    <row r="1050" spans="1:18" ht="12" customHeight="1">
      <c r="A1050" s="16"/>
      <c r="B1050" s="11"/>
      <c r="C1050" s="126"/>
      <c r="D1050" s="126"/>
      <c r="E1050" s="126"/>
      <c r="F1050" s="126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1"/>
      <c r="Q1050" s="29"/>
      <c r="R1050" s="30"/>
    </row>
    <row r="1051" spans="1:18" ht="12" customHeight="1">
      <c r="A1051" s="16"/>
      <c r="B1051" s="11"/>
      <c r="C1051" s="126"/>
      <c r="D1051" s="126"/>
      <c r="E1051" s="126"/>
      <c r="F1051" s="126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1"/>
      <c r="Q1051" s="29"/>
      <c r="R1051" s="30"/>
    </row>
    <row r="1052" spans="1:18" ht="12" customHeight="1">
      <c r="A1052" s="16"/>
      <c r="B1052" s="11"/>
      <c r="C1052" s="126"/>
      <c r="D1052" s="126"/>
      <c r="E1052" s="126"/>
      <c r="F1052" s="126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1"/>
      <c r="Q1052" s="29"/>
      <c r="R1052" s="30"/>
    </row>
    <row r="1053" spans="1:18" ht="12" customHeight="1">
      <c r="A1053" s="16"/>
      <c r="B1053" s="11"/>
      <c r="C1053" s="126"/>
      <c r="D1053" s="126"/>
      <c r="E1053" s="126"/>
      <c r="F1053" s="126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1"/>
      <c r="Q1053" s="29"/>
      <c r="R1053" s="30"/>
    </row>
    <row r="1054" spans="1:18" ht="12" customHeight="1">
      <c r="A1054" s="16"/>
      <c r="B1054" s="11"/>
      <c r="C1054" s="126"/>
      <c r="D1054" s="126"/>
      <c r="E1054" s="126"/>
      <c r="F1054" s="126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1"/>
      <c r="Q1054" s="29"/>
      <c r="R1054" s="30"/>
    </row>
    <row r="1055" spans="1:18" ht="12" customHeight="1">
      <c r="A1055" s="16"/>
      <c r="B1055" s="11"/>
      <c r="C1055" s="126"/>
      <c r="D1055" s="126"/>
      <c r="E1055" s="126"/>
      <c r="F1055" s="126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1"/>
      <c r="Q1055" s="29"/>
      <c r="R1055" s="30"/>
    </row>
    <row r="1056" spans="1:18" ht="12" customHeight="1">
      <c r="A1056" s="16"/>
      <c r="B1056" s="11"/>
      <c r="C1056" s="126"/>
      <c r="D1056" s="126"/>
      <c r="E1056" s="126"/>
      <c r="F1056" s="126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1"/>
      <c r="Q1056" s="29"/>
      <c r="R1056" s="30"/>
    </row>
    <row r="1057" spans="1:18" ht="12" customHeight="1">
      <c r="A1057" s="16"/>
      <c r="B1057" s="11"/>
      <c r="C1057" s="126"/>
      <c r="D1057" s="126"/>
      <c r="E1057" s="126"/>
      <c r="F1057" s="126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1"/>
      <c r="Q1057" s="29"/>
      <c r="R1057" s="30"/>
    </row>
    <row r="1058" spans="1:18" ht="12" customHeight="1">
      <c r="A1058" s="16"/>
      <c r="B1058" s="11"/>
      <c r="C1058" s="126"/>
      <c r="D1058" s="126"/>
      <c r="E1058" s="126"/>
      <c r="F1058" s="126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1"/>
      <c r="Q1058" s="29"/>
      <c r="R1058" s="30"/>
    </row>
    <row r="1059" spans="1:18" ht="12" customHeight="1">
      <c r="A1059" s="16"/>
      <c r="B1059" s="11"/>
      <c r="C1059" s="126"/>
      <c r="D1059" s="126"/>
      <c r="E1059" s="126"/>
      <c r="F1059" s="126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1"/>
      <c r="Q1059" s="29"/>
      <c r="R1059" s="30"/>
    </row>
    <row r="1060" spans="1:18" ht="12" customHeight="1">
      <c r="A1060" s="16"/>
      <c r="B1060" s="11"/>
      <c r="C1060" s="126"/>
      <c r="D1060" s="126"/>
      <c r="E1060" s="126"/>
      <c r="F1060" s="126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1"/>
      <c r="Q1060" s="29"/>
      <c r="R1060" s="30"/>
    </row>
    <row r="1061" spans="1:18" ht="12" customHeight="1">
      <c r="A1061" s="16"/>
      <c r="B1061" s="11"/>
      <c r="C1061" s="126"/>
      <c r="D1061" s="126"/>
      <c r="E1061" s="126"/>
      <c r="F1061" s="126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1"/>
      <c r="Q1061" s="29"/>
      <c r="R1061" s="30"/>
    </row>
    <row r="1062" spans="1:18" ht="12" customHeight="1">
      <c r="A1062" s="16"/>
      <c r="B1062" s="11"/>
      <c r="C1062" s="126"/>
      <c r="D1062" s="126"/>
      <c r="E1062" s="126"/>
      <c r="F1062" s="126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1"/>
      <c r="Q1062" s="29"/>
      <c r="R1062" s="30"/>
    </row>
    <row r="1063" spans="1:18" ht="12" customHeight="1">
      <c r="A1063" s="16"/>
      <c r="B1063" s="11"/>
      <c r="C1063" s="126"/>
      <c r="D1063" s="126"/>
      <c r="E1063" s="126"/>
      <c r="F1063" s="126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1"/>
      <c r="Q1063" s="29"/>
      <c r="R1063" s="30"/>
    </row>
    <row r="1064" spans="1:18" ht="12" customHeight="1">
      <c r="A1064" s="10"/>
      <c r="B1064" s="11"/>
      <c r="C1064" s="126"/>
      <c r="D1064" s="126"/>
      <c r="E1064" s="126"/>
      <c r="F1064" s="126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1"/>
      <c r="Q1064" s="29"/>
      <c r="R1064" s="30"/>
    </row>
    <row r="1065" spans="1:18" ht="12" customHeight="1">
      <c r="A1065" s="10"/>
      <c r="B1065" s="11"/>
      <c r="C1065" s="126"/>
      <c r="D1065" s="126"/>
      <c r="E1065" s="126"/>
      <c r="F1065" s="126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1"/>
      <c r="Q1065" s="29"/>
      <c r="R1065" s="30"/>
    </row>
    <row r="1066" spans="1:18" ht="12" customHeight="1">
      <c r="A1066" s="10"/>
      <c r="B1066" s="11"/>
      <c r="C1066" s="126"/>
      <c r="D1066" s="126"/>
      <c r="E1066" s="126"/>
      <c r="F1066" s="126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1"/>
      <c r="Q1066" s="29"/>
      <c r="R1066" s="30"/>
    </row>
    <row r="1067" spans="1:18" ht="12" customHeight="1">
      <c r="A1067" s="10"/>
      <c r="B1067" s="11"/>
      <c r="C1067" s="126"/>
      <c r="D1067" s="126"/>
      <c r="E1067" s="126"/>
      <c r="F1067" s="126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1"/>
      <c r="Q1067" s="29"/>
      <c r="R1067" s="30"/>
    </row>
    <row r="1068" spans="1:18" ht="12" customHeight="1">
      <c r="A1068" s="10"/>
      <c r="B1068" s="11"/>
      <c r="C1068" s="126"/>
      <c r="D1068" s="126"/>
      <c r="E1068" s="126"/>
      <c r="F1068" s="126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1"/>
      <c r="Q1068" s="29"/>
      <c r="R1068" s="30"/>
    </row>
    <row r="1069" spans="1:18" ht="12" customHeight="1">
      <c r="A1069" s="10"/>
      <c r="B1069" s="11"/>
      <c r="C1069" s="126"/>
      <c r="D1069" s="126"/>
      <c r="E1069" s="126"/>
      <c r="F1069" s="126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1"/>
      <c r="Q1069" s="29"/>
      <c r="R1069" s="30"/>
    </row>
    <row r="1070" spans="1:18" ht="12" customHeight="1">
      <c r="A1070" s="10"/>
      <c r="B1070" s="11"/>
      <c r="C1070" s="126"/>
      <c r="D1070" s="126"/>
      <c r="E1070" s="126"/>
      <c r="F1070" s="126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1"/>
      <c r="Q1070" s="29"/>
      <c r="R1070" s="30"/>
    </row>
    <row r="1071" spans="1:18" ht="12" customHeight="1">
      <c r="A1071" s="10"/>
      <c r="B1071" s="11"/>
      <c r="C1071" s="126"/>
      <c r="D1071" s="126"/>
      <c r="E1071" s="126"/>
      <c r="F1071" s="126"/>
      <c r="G1071" s="126"/>
      <c r="H1071" s="126"/>
      <c r="I1071" s="126"/>
      <c r="J1071" s="126"/>
      <c r="K1071" s="126"/>
      <c r="L1071" s="126"/>
      <c r="M1071" s="126"/>
      <c r="N1071" s="126"/>
      <c r="O1071" s="126"/>
      <c r="P1071" s="11"/>
      <c r="Q1071" s="29"/>
      <c r="R1071" s="30"/>
    </row>
    <row r="1072" spans="1:18" ht="12" customHeight="1">
      <c r="A1072" s="10"/>
      <c r="B1072" s="11"/>
      <c r="C1072" s="126"/>
      <c r="D1072" s="126"/>
      <c r="E1072" s="126"/>
      <c r="F1072" s="126"/>
      <c r="G1072" s="126"/>
      <c r="H1072" s="126"/>
      <c r="I1072" s="126"/>
      <c r="J1072" s="126"/>
      <c r="K1072" s="126"/>
      <c r="L1072" s="126"/>
      <c r="M1072" s="126"/>
      <c r="N1072" s="126"/>
      <c r="O1072" s="126"/>
      <c r="P1072" s="11"/>
      <c r="Q1072" s="29"/>
      <c r="R1072" s="30"/>
    </row>
    <row r="1073" spans="1:18" ht="12" customHeight="1">
      <c r="A1073" s="10"/>
      <c r="B1073" s="11"/>
      <c r="C1073" s="126"/>
      <c r="D1073" s="126"/>
      <c r="E1073" s="126"/>
      <c r="F1073" s="126"/>
      <c r="G1073" s="126"/>
      <c r="H1073" s="126"/>
      <c r="I1073" s="126"/>
      <c r="J1073" s="126"/>
      <c r="K1073" s="126"/>
      <c r="L1073" s="126"/>
      <c r="M1073" s="126"/>
      <c r="N1073" s="126"/>
      <c r="O1073" s="126"/>
      <c r="P1073" s="11"/>
      <c r="Q1073" s="29"/>
      <c r="R1073" s="30"/>
    </row>
    <row r="1074" spans="1:18" ht="12" customHeight="1">
      <c r="A1074" s="10"/>
      <c r="B1074" s="11"/>
      <c r="C1074" s="126"/>
      <c r="D1074" s="126"/>
      <c r="E1074" s="126"/>
      <c r="F1074" s="126"/>
      <c r="G1074" s="126"/>
      <c r="H1074" s="126"/>
      <c r="I1074" s="126"/>
      <c r="J1074" s="126"/>
      <c r="K1074" s="126"/>
      <c r="L1074" s="126"/>
      <c r="M1074" s="126"/>
      <c r="N1074" s="126"/>
      <c r="O1074" s="126"/>
      <c r="P1074" s="11"/>
      <c r="Q1074" s="29"/>
      <c r="R1074" s="30"/>
    </row>
    <row r="1075" spans="1:18" ht="12" customHeight="1">
      <c r="A1075" s="10"/>
      <c r="B1075" s="11"/>
      <c r="C1075" s="126"/>
      <c r="D1075" s="126"/>
      <c r="E1075" s="126"/>
      <c r="F1075" s="126"/>
      <c r="G1075" s="126"/>
      <c r="H1075" s="126"/>
      <c r="I1075" s="126"/>
      <c r="J1075" s="126"/>
      <c r="K1075" s="126"/>
      <c r="L1075" s="126"/>
      <c r="M1075" s="126"/>
      <c r="N1075" s="126"/>
      <c r="O1075" s="126"/>
      <c r="P1075" s="11"/>
      <c r="Q1075" s="29"/>
      <c r="R1075" s="30"/>
    </row>
    <row r="1076" spans="1:18" ht="12" customHeight="1">
      <c r="A1076" s="10"/>
      <c r="B1076" s="11"/>
      <c r="C1076" s="126"/>
      <c r="D1076" s="126"/>
      <c r="E1076" s="126"/>
      <c r="F1076" s="126"/>
      <c r="G1076" s="126"/>
      <c r="H1076" s="126"/>
      <c r="I1076" s="126"/>
      <c r="J1076" s="126"/>
      <c r="K1076" s="126"/>
      <c r="L1076" s="126"/>
      <c r="M1076" s="126"/>
      <c r="N1076" s="126"/>
      <c r="O1076" s="126"/>
      <c r="P1076" s="11"/>
      <c r="Q1076" s="29"/>
      <c r="R1076" s="30"/>
    </row>
    <row r="1077" spans="1:18" ht="12" customHeight="1">
      <c r="A1077" s="10"/>
      <c r="B1077" s="11"/>
      <c r="C1077" s="126"/>
      <c r="D1077" s="126"/>
      <c r="E1077" s="126"/>
      <c r="F1077" s="126"/>
      <c r="G1077" s="126"/>
      <c r="H1077" s="126"/>
      <c r="I1077" s="126"/>
      <c r="J1077" s="126"/>
      <c r="K1077" s="126"/>
      <c r="L1077" s="126"/>
      <c r="M1077" s="126"/>
      <c r="N1077" s="126"/>
      <c r="O1077" s="126"/>
      <c r="P1077" s="11"/>
      <c r="Q1077" s="29"/>
      <c r="R1077" s="30"/>
    </row>
    <row r="1078" spans="1:18" ht="12" customHeight="1">
      <c r="A1078" s="10"/>
      <c r="B1078" s="11"/>
      <c r="C1078" s="126"/>
      <c r="D1078" s="126"/>
      <c r="E1078" s="126"/>
      <c r="F1078" s="126"/>
      <c r="G1078" s="126"/>
      <c r="H1078" s="126"/>
      <c r="I1078" s="126"/>
      <c r="J1078" s="126"/>
      <c r="K1078" s="126"/>
      <c r="L1078" s="126"/>
      <c r="M1078" s="126"/>
      <c r="N1078" s="126"/>
      <c r="O1078" s="126"/>
      <c r="P1078" s="11"/>
      <c r="Q1078" s="29"/>
      <c r="R1078" s="30"/>
    </row>
    <row r="1079" spans="1:18" ht="12" customHeight="1">
      <c r="A1079" s="10"/>
      <c r="B1079" s="11"/>
      <c r="C1079" s="126"/>
      <c r="D1079" s="126"/>
      <c r="E1079" s="126"/>
      <c r="F1079" s="126"/>
      <c r="G1079" s="126"/>
      <c r="H1079" s="126"/>
      <c r="I1079" s="126"/>
      <c r="J1079" s="126"/>
      <c r="K1079" s="126"/>
      <c r="L1079" s="126"/>
      <c r="M1079" s="126"/>
      <c r="N1079" s="126"/>
      <c r="O1079" s="126"/>
      <c r="P1079" s="11"/>
      <c r="Q1079" s="29"/>
      <c r="R1079" s="30"/>
    </row>
    <row r="1080" spans="1:18" ht="12" customHeight="1">
      <c r="A1080" s="10"/>
      <c r="B1080" s="11"/>
      <c r="C1080" s="126"/>
      <c r="D1080" s="126"/>
      <c r="E1080" s="126"/>
      <c r="F1080" s="126"/>
      <c r="G1080" s="126"/>
      <c r="H1080" s="126"/>
      <c r="I1080" s="126"/>
      <c r="J1080" s="126"/>
      <c r="K1080" s="126"/>
      <c r="L1080" s="126"/>
      <c r="M1080" s="126"/>
      <c r="N1080" s="126"/>
      <c r="O1080" s="126"/>
      <c r="P1080" s="11"/>
      <c r="Q1080" s="29"/>
      <c r="R1080" s="30"/>
    </row>
    <row r="1081" spans="1:18" ht="12" customHeight="1">
      <c r="A1081" s="10"/>
      <c r="B1081" s="11"/>
      <c r="C1081" s="126"/>
      <c r="D1081" s="126"/>
      <c r="E1081" s="126"/>
      <c r="F1081" s="126"/>
      <c r="G1081" s="126"/>
      <c r="H1081" s="126"/>
      <c r="I1081" s="126"/>
      <c r="J1081" s="126"/>
      <c r="K1081" s="126"/>
      <c r="L1081" s="126"/>
      <c r="M1081" s="126"/>
      <c r="N1081" s="126"/>
      <c r="O1081" s="126"/>
      <c r="P1081" s="11"/>
      <c r="Q1081" s="29"/>
      <c r="R1081" s="30"/>
    </row>
    <row r="1082" spans="1:18" ht="12" customHeight="1">
      <c r="A1082" s="10"/>
      <c r="B1082" s="11"/>
      <c r="C1082" s="126"/>
      <c r="D1082" s="126"/>
      <c r="E1082" s="126"/>
      <c r="F1082" s="126"/>
      <c r="G1082" s="126"/>
      <c r="H1082" s="126"/>
      <c r="I1082" s="126"/>
      <c r="J1082" s="126"/>
      <c r="K1082" s="126"/>
      <c r="L1082" s="126"/>
      <c r="M1082" s="126"/>
      <c r="N1082" s="126"/>
      <c r="O1082" s="126"/>
      <c r="P1082" s="11"/>
      <c r="Q1082" s="29"/>
      <c r="R1082" s="30"/>
    </row>
    <row r="1083" spans="1:18" ht="12" customHeight="1">
      <c r="A1083" s="10"/>
      <c r="B1083" s="11"/>
      <c r="C1083" s="126"/>
      <c r="D1083" s="126"/>
      <c r="E1083" s="126"/>
      <c r="F1083" s="126"/>
      <c r="G1083" s="126"/>
      <c r="H1083" s="126"/>
      <c r="I1083" s="126"/>
      <c r="J1083" s="126"/>
      <c r="K1083" s="126"/>
      <c r="L1083" s="126"/>
      <c r="M1083" s="126"/>
      <c r="N1083" s="126"/>
      <c r="O1083" s="126"/>
      <c r="P1083" s="11"/>
      <c r="Q1083" s="29"/>
      <c r="R1083" s="30"/>
    </row>
    <row r="1084" spans="1:18" ht="12" customHeight="1">
      <c r="A1084" s="10"/>
      <c r="B1084" s="11"/>
      <c r="C1084" s="126"/>
      <c r="D1084" s="126"/>
      <c r="E1084" s="126"/>
      <c r="F1084" s="126"/>
      <c r="G1084" s="126"/>
      <c r="H1084" s="126"/>
      <c r="I1084" s="126"/>
      <c r="J1084" s="126"/>
      <c r="K1084" s="126"/>
      <c r="L1084" s="126"/>
      <c r="M1084" s="126"/>
      <c r="N1084" s="126"/>
      <c r="O1084" s="126"/>
      <c r="P1084" s="11"/>
      <c r="Q1084" s="29"/>
      <c r="R1084" s="30"/>
    </row>
    <row r="1085" spans="1:18" ht="12" customHeight="1">
      <c r="A1085" s="10"/>
      <c r="B1085" s="11"/>
      <c r="C1085" s="126"/>
      <c r="D1085" s="126"/>
      <c r="E1085" s="126"/>
      <c r="F1085" s="126"/>
      <c r="G1085" s="126"/>
      <c r="H1085" s="126"/>
      <c r="I1085" s="126"/>
      <c r="J1085" s="126"/>
      <c r="K1085" s="126"/>
      <c r="L1085" s="126"/>
      <c r="M1085" s="126"/>
      <c r="N1085" s="126"/>
      <c r="O1085" s="126"/>
      <c r="P1085" s="11"/>
      <c r="Q1085" s="29"/>
      <c r="R1085" s="30"/>
    </row>
    <row r="1086" spans="1:18" ht="12" customHeight="1">
      <c r="A1086" s="10"/>
      <c r="B1086" s="11"/>
      <c r="C1086" s="126"/>
      <c r="D1086" s="126"/>
      <c r="E1086" s="126"/>
      <c r="F1086" s="126"/>
      <c r="G1086" s="126"/>
      <c r="H1086" s="126"/>
      <c r="I1086" s="126"/>
      <c r="J1086" s="126"/>
      <c r="K1086" s="126"/>
      <c r="L1086" s="126"/>
      <c r="M1086" s="126"/>
      <c r="N1086" s="126"/>
      <c r="O1086" s="126"/>
      <c r="P1086" s="11"/>
      <c r="Q1086" s="29"/>
      <c r="R1086" s="30"/>
    </row>
    <row r="1087" spans="1:18" ht="12" customHeight="1">
      <c r="A1087" s="10"/>
      <c r="B1087" s="11"/>
      <c r="C1087" s="126"/>
      <c r="D1087" s="126"/>
      <c r="E1087" s="126"/>
      <c r="F1087" s="126"/>
      <c r="G1087" s="126"/>
      <c r="H1087" s="126"/>
      <c r="I1087" s="126"/>
      <c r="J1087" s="126"/>
      <c r="K1087" s="126"/>
      <c r="L1087" s="126"/>
      <c r="M1087" s="126"/>
      <c r="N1087" s="126"/>
      <c r="O1087" s="126"/>
      <c r="P1087" s="11"/>
      <c r="Q1087" s="29"/>
      <c r="R1087" s="30"/>
    </row>
    <row r="1088" spans="1:18" ht="12" customHeight="1">
      <c r="A1088" s="10"/>
      <c r="B1088" s="11"/>
      <c r="C1088" s="126"/>
      <c r="D1088" s="126"/>
      <c r="E1088" s="126"/>
      <c r="F1088" s="126"/>
      <c r="G1088" s="126"/>
      <c r="H1088" s="126"/>
      <c r="I1088" s="126"/>
      <c r="J1088" s="126"/>
      <c r="K1088" s="126"/>
      <c r="L1088" s="126"/>
      <c r="M1088" s="126"/>
      <c r="N1088" s="126"/>
      <c r="O1088" s="126"/>
      <c r="P1088" s="11"/>
      <c r="Q1088" s="29"/>
      <c r="R1088" s="30"/>
    </row>
    <row r="1089" spans="1:18" ht="12" customHeight="1">
      <c r="A1089" s="10"/>
      <c r="B1089" s="11"/>
      <c r="C1089" s="126"/>
      <c r="D1089" s="126"/>
      <c r="E1089" s="126"/>
      <c r="F1089" s="126"/>
      <c r="G1089" s="126"/>
      <c r="H1089" s="126"/>
      <c r="I1089" s="126"/>
      <c r="J1089" s="126"/>
      <c r="K1089" s="126"/>
      <c r="L1089" s="126"/>
      <c r="M1089" s="126"/>
      <c r="N1089" s="126"/>
      <c r="O1089" s="126"/>
      <c r="P1089" s="11"/>
      <c r="Q1089" s="29"/>
      <c r="R1089" s="30"/>
    </row>
    <row r="1090" spans="1:18" ht="12" customHeight="1">
      <c r="A1090" s="10"/>
      <c r="B1090" s="11"/>
      <c r="C1090" s="126"/>
      <c r="D1090" s="126"/>
      <c r="E1090" s="126"/>
      <c r="F1090" s="126"/>
      <c r="G1090" s="126"/>
      <c r="H1090" s="126"/>
      <c r="I1090" s="126"/>
      <c r="J1090" s="126"/>
      <c r="K1090" s="126"/>
      <c r="L1090" s="126"/>
      <c r="M1090" s="126"/>
      <c r="N1090" s="126"/>
      <c r="O1090" s="126"/>
      <c r="P1090" s="11"/>
      <c r="Q1090" s="29"/>
      <c r="R1090" s="30"/>
    </row>
    <row r="1091" spans="1:18" ht="12" customHeight="1">
      <c r="A1091" s="10"/>
      <c r="B1091" s="11"/>
      <c r="C1091" s="126"/>
      <c r="D1091" s="126"/>
      <c r="E1091" s="126"/>
      <c r="F1091" s="126"/>
      <c r="G1091" s="126"/>
      <c r="H1091" s="126"/>
      <c r="I1091" s="126"/>
      <c r="J1091" s="126"/>
      <c r="K1091" s="126"/>
      <c r="L1091" s="126"/>
      <c r="M1091" s="126"/>
      <c r="N1091" s="126"/>
      <c r="O1091" s="126"/>
      <c r="P1091" s="11"/>
      <c r="Q1091" s="29"/>
      <c r="R1091" s="30"/>
    </row>
    <row r="1092" spans="1:18" ht="12" customHeight="1">
      <c r="A1092" s="10"/>
      <c r="B1092" s="11"/>
      <c r="C1092" s="126"/>
      <c r="D1092" s="126"/>
      <c r="E1092" s="126"/>
      <c r="F1092" s="126"/>
      <c r="G1092" s="126"/>
      <c r="H1092" s="126"/>
      <c r="I1092" s="126"/>
      <c r="J1092" s="126"/>
      <c r="K1092" s="126"/>
      <c r="L1092" s="126"/>
      <c r="M1092" s="126"/>
      <c r="N1092" s="126"/>
      <c r="O1092" s="126"/>
      <c r="P1092" s="11"/>
      <c r="Q1092" s="29"/>
      <c r="R1092" s="30"/>
    </row>
    <row r="1093" spans="1:18" ht="12" customHeight="1">
      <c r="A1093" s="10"/>
      <c r="B1093" s="11"/>
      <c r="C1093" s="126"/>
      <c r="D1093" s="126"/>
      <c r="E1093" s="126"/>
      <c r="F1093" s="126"/>
      <c r="G1093" s="126"/>
      <c r="H1093" s="126"/>
      <c r="I1093" s="126"/>
      <c r="J1093" s="126"/>
      <c r="K1093" s="126"/>
      <c r="L1093" s="126"/>
      <c r="M1093" s="126"/>
      <c r="N1093" s="126"/>
      <c r="O1093" s="126"/>
      <c r="P1093" s="11"/>
      <c r="Q1093" s="29"/>
      <c r="R1093" s="30"/>
    </row>
    <row r="1094" spans="1:18" ht="12" customHeight="1">
      <c r="A1094" s="10"/>
      <c r="B1094" s="11"/>
      <c r="C1094" s="126"/>
      <c r="D1094" s="126"/>
      <c r="E1094" s="126"/>
      <c r="F1094" s="126"/>
      <c r="G1094" s="126"/>
      <c r="H1094" s="126"/>
      <c r="I1094" s="126"/>
      <c r="J1094" s="126"/>
      <c r="K1094" s="126"/>
      <c r="L1094" s="126"/>
      <c r="M1094" s="126"/>
      <c r="N1094" s="126"/>
      <c r="O1094" s="126"/>
      <c r="P1094" s="11"/>
      <c r="Q1094" s="29"/>
      <c r="R1094" s="30"/>
    </row>
    <row r="1095" spans="1:18" ht="12" customHeight="1">
      <c r="A1095" s="10"/>
      <c r="B1095" s="11"/>
      <c r="C1095" s="126"/>
      <c r="D1095" s="126"/>
      <c r="E1095" s="126"/>
      <c r="F1095" s="126"/>
      <c r="G1095" s="126"/>
      <c r="H1095" s="126"/>
      <c r="I1095" s="126"/>
      <c r="J1095" s="126"/>
      <c r="K1095" s="126"/>
      <c r="L1095" s="126"/>
      <c r="M1095" s="126"/>
      <c r="N1095" s="126"/>
      <c r="O1095" s="126"/>
      <c r="P1095" s="11"/>
      <c r="Q1095" s="29"/>
      <c r="R1095" s="30"/>
    </row>
    <row r="1096" spans="1:18" ht="12" customHeight="1">
      <c r="A1096" s="10"/>
      <c r="B1096" s="11"/>
      <c r="C1096" s="126"/>
      <c r="D1096" s="126"/>
      <c r="E1096" s="126"/>
      <c r="F1096" s="126"/>
      <c r="G1096" s="126"/>
      <c r="H1096" s="126"/>
      <c r="I1096" s="126"/>
      <c r="J1096" s="126"/>
      <c r="K1096" s="126"/>
      <c r="L1096" s="126"/>
      <c r="M1096" s="126"/>
      <c r="N1096" s="126"/>
      <c r="O1096" s="126"/>
      <c r="P1096" s="11"/>
      <c r="Q1096" s="29"/>
      <c r="R1096" s="30"/>
    </row>
    <row r="1097" spans="1:18" ht="12" customHeight="1">
      <c r="A1097" s="10"/>
      <c r="B1097" s="11"/>
      <c r="C1097" s="126"/>
      <c r="D1097" s="126"/>
      <c r="E1097" s="126"/>
      <c r="F1097" s="126"/>
      <c r="G1097" s="126"/>
      <c r="H1097" s="126"/>
      <c r="I1097" s="126"/>
      <c r="J1097" s="126"/>
      <c r="K1097" s="126"/>
      <c r="L1097" s="126"/>
      <c r="M1097" s="126"/>
      <c r="N1097" s="126"/>
      <c r="O1097" s="126"/>
      <c r="P1097" s="11"/>
      <c r="Q1097" s="29"/>
      <c r="R1097" s="30"/>
    </row>
    <row r="1098" spans="1:18" ht="12" customHeight="1">
      <c r="A1098" s="10"/>
      <c r="B1098" s="11"/>
      <c r="C1098" s="126"/>
      <c r="D1098" s="126"/>
      <c r="E1098" s="126"/>
      <c r="F1098" s="126"/>
      <c r="G1098" s="126"/>
      <c r="H1098" s="126"/>
      <c r="I1098" s="126"/>
      <c r="J1098" s="126"/>
      <c r="K1098" s="126"/>
      <c r="L1098" s="126"/>
      <c r="M1098" s="126"/>
      <c r="N1098" s="126"/>
      <c r="O1098" s="126"/>
      <c r="P1098" s="11"/>
      <c r="Q1098" s="29"/>
      <c r="R1098" s="30"/>
    </row>
    <row r="1099" spans="1:18" ht="12" customHeight="1">
      <c r="A1099" s="10"/>
      <c r="B1099" s="11"/>
      <c r="C1099" s="126"/>
      <c r="D1099" s="126"/>
      <c r="E1099" s="126"/>
      <c r="F1099" s="126"/>
      <c r="G1099" s="126"/>
      <c r="H1099" s="126"/>
      <c r="I1099" s="126"/>
      <c r="J1099" s="126"/>
      <c r="K1099" s="126"/>
      <c r="L1099" s="126"/>
      <c r="M1099" s="126"/>
      <c r="N1099" s="126"/>
      <c r="O1099" s="126"/>
      <c r="P1099" s="11"/>
      <c r="Q1099" s="29"/>
      <c r="R1099" s="30"/>
    </row>
    <row r="1100" spans="1:18" ht="12" customHeight="1">
      <c r="A1100" s="10"/>
      <c r="B1100" s="11"/>
      <c r="C1100" s="126"/>
      <c r="D1100" s="126"/>
      <c r="E1100" s="126"/>
      <c r="F1100" s="126"/>
      <c r="G1100" s="126"/>
      <c r="H1100" s="126"/>
      <c r="I1100" s="126"/>
      <c r="J1100" s="126"/>
      <c r="K1100" s="126"/>
      <c r="L1100" s="126"/>
      <c r="M1100" s="126"/>
      <c r="N1100" s="126"/>
      <c r="O1100" s="126"/>
      <c r="P1100" s="11"/>
      <c r="Q1100" s="29"/>
      <c r="R1100" s="30"/>
    </row>
    <row r="1101" spans="1:18" ht="12" customHeight="1">
      <c r="A1101" s="10"/>
      <c r="B1101" s="11"/>
      <c r="C1101" s="126"/>
      <c r="D1101" s="126"/>
      <c r="E1101" s="126"/>
      <c r="F1101" s="126"/>
      <c r="G1101" s="126"/>
      <c r="H1101" s="126"/>
      <c r="I1101" s="126"/>
      <c r="J1101" s="126"/>
      <c r="K1101" s="126"/>
      <c r="L1101" s="126"/>
      <c r="M1101" s="126"/>
      <c r="N1101" s="126"/>
      <c r="O1101" s="126"/>
      <c r="P1101" s="11"/>
      <c r="Q1101" s="29"/>
      <c r="R1101" s="30"/>
    </row>
    <row r="1102" spans="1:18" ht="12" customHeight="1">
      <c r="A1102" s="10"/>
      <c r="B1102" s="11"/>
      <c r="C1102" s="126"/>
      <c r="D1102" s="126"/>
      <c r="E1102" s="126"/>
      <c r="F1102" s="126"/>
      <c r="G1102" s="126"/>
      <c r="H1102" s="126"/>
      <c r="I1102" s="126"/>
      <c r="J1102" s="126"/>
      <c r="K1102" s="126"/>
      <c r="L1102" s="126"/>
      <c r="M1102" s="126"/>
      <c r="N1102" s="126"/>
      <c r="O1102" s="126"/>
      <c r="P1102" s="11"/>
      <c r="Q1102" s="29"/>
      <c r="R1102" s="30"/>
    </row>
    <row r="1103" spans="1:18" ht="12" customHeight="1">
      <c r="A1103" s="10"/>
      <c r="B1103" s="11"/>
      <c r="C1103" s="126"/>
      <c r="D1103" s="126"/>
      <c r="E1103" s="126"/>
      <c r="F1103" s="126"/>
      <c r="G1103" s="126"/>
      <c r="H1103" s="126"/>
      <c r="I1103" s="126"/>
      <c r="J1103" s="126"/>
      <c r="K1103" s="126"/>
      <c r="L1103" s="126"/>
      <c r="M1103" s="126"/>
      <c r="N1103" s="126"/>
      <c r="O1103" s="126"/>
      <c r="P1103" s="11"/>
      <c r="Q1103" s="29"/>
      <c r="R1103" s="30"/>
    </row>
    <row r="1104" spans="1:18" ht="12" customHeight="1">
      <c r="A1104" s="10"/>
      <c r="B1104" s="11"/>
      <c r="C1104" s="126"/>
      <c r="D1104" s="126"/>
      <c r="E1104" s="126"/>
      <c r="F1104" s="126"/>
      <c r="G1104" s="126"/>
      <c r="H1104" s="126"/>
      <c r="I1104" s="126"/>
      <c r="J1104" s="126"/>
      <c r="K1104" s="126"/>
      <c r="L1104" s="126"/>
      <c r="M1104" s="126"/>
      <c r="N1104" s="126"/>
      <c r="O1104" s="126"/>
      <c r="P1104" s="11"/>
      <c r="Q1104" s="29"/>
      <c r="R1104" s="30"/>
    </row>
    <row r="1105" spans="1:18" ht="12" customHeight="1">
      <c r="A1105" s="10"/>
      <c r="B1105" s="11"/>
      <c r="C1105" s="126"/>
      <c r="D1105" s="126"/>
      <c r="E1105" s="126"/>
      <c r="F1105" s="126"/>
      <c r="G1105" s="126"/>
      <c r="H1105" s="126"/>
      <c r="I1105" s="126"/>
      <c r="J1105" s="126"/>
      <c r="K1105" s="126"/>
      <c r="L1105" s="126"/>
      <c r="M1105" s="126"/>
      <c r="N1105" s="126"/>
      <c r="O1105" s="126"/>
      <c r="P1105" s="11"/>
      <c r="Q1105" s="29"/>
      <c r="R1105" s="30"/>
    </row>
    <row r="1106" spans="1:18" ht="12" customHeight="1">
      <c r="A1106" s="10"/>
      <c r="B1106" s="11"/>
      <c r="C1106" s="126"/>
      <c r="D1106" s="126"/>
      <c r="E1106" s="126"/>
      <c r="F1106" s="126"/>
      <c r="G1106" s="126"/>
      <c r="H1106" s="126"/>
      <c r="I1106" s="126"/>
      <c r="J1106" s="126"/>
      <c r="K1106" s="126"/>
      <c r="L1106" s="126"/>
      <c r="M1106" s="126"/>
      <c r="N1106" s="126"/>
      <c r="O1106" s="126"/>
      <c r="P1106" s="11"/>
      <c r="Q1106" s="29"/>
      <c r="R1106" s="30"/>
    </row>
    <row r="1107" spans="1:18" ht="12" customHeight="1">
      <c r="A1107" s="10"/>
      <c r="B1107" s="11"/>
      <c r="C1107" s="126"/>
      <c r="D1107" s="126"/>
      <c r="E1107" s="126"/>
      <c r="F1107" s="126"/>
      <c r="G1107" s="126"/>
      <c r="H1107" s="126"/>
      <c r="I1107" s="126"/>
      <c r="J1107" s="126"/>
      <c r="K1107" s="126"/>
      <c r="L1107" s="126"/>
      <c r="M1107" s="126"/>
      <c r="N1107" s="126"/>
      <c r="O1107" s="126"/>
      <c r="P1107" s="11"/>
      <c r="Q1107" s="29"/>
      <c r="R1107" s="30"/>
    </row>
    <row r="1108" spans="1:18" ht="12" customHeight="1">
      <c r="A1108" s="10"/>
      <c r="B1108" s="11"/>
      <c r="C1108" s="126"/>
      <c r="D1108" s="126"/>
      <c r="E1108" s="126"/>
      <c r="F1108" s="126"/>
      <c r="G1108" s="126"/>
      <c r="H1108" s="126"/>
      <c r="I1108" s="126"/>
      <c r="J1108" s="126"/>
      <c r="K1108" s="126"/>
      <c r="L1108" s="126"/>
      <c r="M1108" s="126"/>
      <c r="N1108" s="126"/>
      <c r="O1108" s="126"/>
      <c r="P1108" s="11"/>
      <c r="Q1108" s="29"/>
      <c r="R1108" s="30"/>
    </row>
    <row r="1109" spans="1:18" ht="12" customHeight="1">
      <c r="A1109" s="10"/>
      <c r="B1109" s="11"/>
      <c r="C1109" s="126"/>
      <c r="D1109" s="126"/>
      <c r="E1109" s="126"/>
      <c r="F1109" s="126"/>
      <c r="G1109" s="126"/>
      <c r="H1109" s="126"/>
      <c r="I1109" s="126"/>
      <c r="J1109" s="126"/>
      <c r="K1109" s="126"/>
      <c r="L1109" s="126"/>
      <c r="M1109" s="126"/>
      <c r="N1109" s="126"/>
      <c r="O1109" s="126"/>
      <c r="P1109" s="11"/>
      <c r="Q1109" s="29"/>
      <c r="R1109" s="30"/>
    </row>
    <row r="1110" spans="1:18" ht="12" customHeight="1">
      <c r="A1110" s="10"/>
      <c r="B1110" s="11"/>
      <c r="C1110" s="126"/>
      <c r="D1110" s="126"/>
      <c r="E1110" s="126"/>
      <c r="F1110" s="126"/>
      <c r="G1110" s="126"/>
      <c r="H1110" s="126"/>
      <c r="I1110" s="126"/>
      <c r="J1110" s="126"/>
      <c r="K1110" s="126"/>
      <c r="L1110" s="126"/>
      <c r="M1110" s="126"/>
      <c r="N1110" s="126"/>
      <c r="O1110" s="126"/>
      <c r="P1110" s="11"/>
      <c r="Q1110" s="29"/>
      <c r="R1110" s="30"/>
    </row>
    <row r="1111" spans="1:18" ht="12" customHeight="1">
      <c r="A1111" s="10"/>
      <c r="B1111" s="11"/>
      <c r="C1111" s="126"/>
      <c r="D1111" s="126"/>
      <c r="E1111" s="126"/>
      <c r="F1111" s="126"/>
      <c r="G1111" s="126"/>
      <c r="H1111" s="126"/>
      <c r="I1111" s="126"/>
      <c r="J1111" s="126"/>
      <c r="K1111" s="126"/>
      <c r="L1111" s="126"/>
      <c r="M1111" s="126"/>
      <c r="N1111" s="126"/>
      <c r="O1111" s="126"/>
      <c r="P1111" s="11"/>
      <c r="Q1111" s="29"/>
      <c r="R1111" s="30"/>
    </row>
    <row r="1112" spans="1:18" ht="12" customHeight="1">
      <c r="A1112" s="10"/>
      <c r="B1112" s="11"/>
      <c r="C1112" s="126"/>
      <c r="D1112" s="126"/>
      <c r="E1112" s="126"/>
      <c r="F1112" s="126"/>
      <c r="G1112" s="126"/>
      <c r="H1112" s="126"/>
      <c r="I1112" s="126"/>
      <c r="J1112" s="126"/>
      <c r="K1112" s="126"/>
      <c r="L1112" s="126"/>
      <c r="M1112" s="126"/>
      <c r="N1112" s="126"/>
      <c r="O1112" s="126"/>
      <c r="P1112" s="11"/>
      <c r="Q1112" s="29"/>
      <c r="R1112" s="30"/>
    </row>
    <row r="1113" spans="1:18" ht="12" customHeight="1">
      <c r="A1113" s="10"/>
      <c r="B1113" s="11"/>
      <c r="C1113" s="126"/>
      <c r="D1113" s="126"/>
      <c r="E1113" s="126"/>
      <c r="F1113" s="126"/>
      <c r="G1113" s="126"/>
      <c r="H1113" s="126"/>
      <c r="I1113" s="126"/>
      <c r="J1113" s="126"/>
      <c r="K1113" s="126"/>
      <c r="L1113" s="126"/>
      <c r="M1113" s="126"/>
      <c r="N1113" s="126"/>
      <c r="O1113" s="126"/>
      <c r="P1113" s="11"/>
      <c r="Q1113" s="29"/>
      <c r="R1113" s="30"/>
    </row>
    <row r="1114" spans="1:18" ht="12" customHeight="1">
      <c r="A1114" s="10"/>
      <c r="B1114" s="11"/>
      <c r="C1114" s="126"/>
      <c r="D1114" s="126"/>
      <c r="E1114" s="126"/>
      <c r="F1114" s="126"/>
      <c r="G1114" s="126"/>
      <c r="H1114" s="126"/>
      <c r="I1114" s="126"/>
      <c r="J1114" s="126"/>
      <c r="K1114" s="126"/>
      <c r="L1114" s="126"/>
      <c r="M1114" s="126"/>
      <c r="N1114" s="126"/>
      <c r="O1114" s="126"/>
      <c r="P1114" s="11"/>
      <c r="Q1114" s="29"/>
      <c r="R1114" s="30"/>
    </row>
    <row r="1115" spans="1:18" ht="12" customHeight="1">
      <c r="A1115" s="10"/>
      <c r="B1115" s="11"/>
      <c r="C1115" s="126"/>
      <c r="D1115" s="126"/>
      <c r="E1115" s="126"/>
      <c r="F1115" s="126"/>
      <c r="G1115" s="126"/>
      <c r="H1115" s="126"/>
      <c r="I1115" s="126"/>
      <c r="J1115" s="126"/>
      <c r="K1115" s="126"/>
      <c r="L1115" s="126"/>
      <c r="M1115" s="126"/>
      <c r="N1115" s="126"/>
      <c r="O1115" s="126"/>
      <c r="P1115" s="11"/>
      <c r="Q1115" s="29"/>
      <c r="R1115" s="30"/>
    </row>
    <row r="1116" spans="1:18" ht="12" customHeight="1">
      <c r="A1116" s="10"/>
      <c r="B1116" s="11"/>
      <c r="C1116" s="126"/>
      <c r="D1116" s="126"/>
      <c r="E1116" s="126"/>
      <c r="F1116" s="126"/>
      <c r="G1116" s="126"/>
      <c r="H1116" s="126"/>
      <c r="I1116" s="126"/>
      <c r="J1116" s="126"/>
      <c r="K1116" s="126"/>
      <c r="L1116" s="126"/>
      <c r="M1116" s="126"/>
      <c r="N1116" s="126"/>
      <c r="O1116" s="126"/>
      <c r="P1116" s="11"/>
      <c r="Q1116" s="29"/>
      <c r="R1116" s="30"/>
    </row>
    <row r="1117" spans="1:18" ht="12" customHeight="1">
      <c r="A1117" s="10"/>
      <c r="B1117" s="11"/>
      <c r="C1117" s="126"/>
      <c r="D1117" s="126"/>
      <c r="E1117" s="126"/>
      <c r="F1117" s="126"/>
      <c r="G1117" s="126"/>
      <c r="H1117" s="126"/>
      <c r="I1117" s="126"/>
      <c r="J1117" s="126"/>
      <c r="K1117" s="126"/>
      <c r="L1117" s="126"/>
      <c r="M1117" s="126"/>
      <c r="N1117" s="126"/>
      <c r="O1117" s="126"/>
      <c r="P1117" s="11"/>
      <c r="Q1117" s="29"/>
      <c r="R1117" s="30"/>
    </row>
    <row r="1118" spans="1:18" ht="12" customHeight="1">
      <c r="A1118" s="10"/>
      <c r="B1118" s="11"/>
      <c r="C1118" s="126"/>
      <c r="D1118" s="126"/>
      <c r="E1118" s="126"/>
      <c r="F1118" s="126"/>
      <c r="G1118" s="126"/>
      <c r="H1118" s="126"/>
      <c r="I1118" s="126"/>
      <c r="J1118" s="126"/>
      <c r="K1118" s="126"/>
      <c r="L1118" s="126"/>
      <c r="M1118" s="126"/>
      <c r="N1118" s="126"/>
      <c r="O1118" s="126"/>
      <c r="P1118" s="11"/>
      <c r="Q1118" s="29"/>
      <c r="R1118" s="30"/>
    </row>
    <row r="1119" spans="1:18" ht="12" customHeight="1">
      <c r="A1119" s="10"/>
      <c r="B1119" s="11"/>
      <c r="C1119" s="126"/>
      <c r="D1119" s="126"/>
      <c r="E1119" s="126"/>
      <c r="F1119" s="126"/>
      <c r="G1119" s="126"/>
      <c r="H1119" s="126"/>
      <c r="I1119" s="126"/>
      <c r="J1119" s="126"/>
      <c r="K1119" s="126"/>
      <c r="L1119" s="126"/>
      <c r="M1119" s="126"/>
      <c r="N1119" s="126"/>
      <c r="O1119" s="126"/>
      <c r="P1119" s="11"/>
      <c r="Q1119" s="29"/>
      <c r="R1119" s="30"/>
    </row>
    <row r="1120" spans="1:18" ht="12" customHeight="1">
      <c r="A1120" s="10"/>
      <c r="B1120" s="11"/>
      <c r="C1120" s="126"/>
      <c r="D1120" s="126"/>
      <c r="E1120" s="126"/>
      <c r="F1120" s="126"/>
      <c r="G1120" s="126"/>
      <c r="H1120" s="126"/>
      <c r="I1120" s="126"/>
      <c r="J1120" s="126"/>
      <c r="K1120" s="126"/>
      <c r="L1120" s="126"/>
      <c r="M1120" s="126"/>
      <c r="N1120" s="126"/>
      <c r="O1120" s="126"/>
      <c r="P1120" s="11"/>
      <c r="Q1120" s="29"/>
      <c r="R1120" s="30"/>
    </row>
    <row r="1121" spans="1:18" ht="12" customHeight="1">
      <c r="A1121" s="10"/>
      <c r="B1121" s="11"/>
      <c r="C1121" s="126"/>
      <c r="D1121" s="126"/>
      <c r="E1121" s="126"/>
      <c r="F1121" s="126"/>
      <c r="G1121" s="126"/>
      <c r="H1121" s="126"/>
      <c r="I1121" s="126"/>
      <c r="J1121" s="126"/>
      <c r="K1121" s="126"/>
      <c r="L1121" s="126"/>
      <c r="M1121" s="126"/>
      <c r="N1121" s="126"/>
      <c r="O1121" s="126"/>
      <c r="P1121" s="11"/>
      <c r="Q1121" s="29"/>
      <c r="R1121" s="30"/>
    </row>
    <row r="1122" spans="1:18" ht="12" customHeight="1">
      <c r="A1122" s="10"/>
      <c r="B1122" s="11"/>
      <c r="C1122" s="126"/>
      <c r="D1122" s="126"/>
      <c r="E1122" s="126"/>
      <c r="F1122" s="126"/>
      <c r="G1122" s="126"/>
      <c r="H1122" s="126"/>
      <c r="I1122" s="126"/>
      <c r="J1122" s="126"/>
      <c r="K1122" s="126"/>
      <c r="L1122" s="126"/>
      <c r="M1122" s="126"/>
      <c r="N1122" s="126"/>
      <c r="O1122" s="126"/>
      <c r="P1122" s="11"/>
      <c r="Q1122" s="29"/>
      <c r="R1122" s="30"/>
    </row>
    <row r="1123" spans="1:18" ht="12" customHeight="1">
      <c r="A1123" s="10"/>
      <c r="B1123" s="11"/>
      <c r="C1123" s="126"/>
      <c r="D1123" s="126"/>
      <c r="E1123" s="126"/>
      <c r="F1123" s="126"/>
      <c r="G1123" s="126"/>
      <c r="H1123" s="126"/>
      <c r="I1123" s="126"/>
      <c r="J1123" s="126"/>
      <c r="K1123" s="126"/>
      <c r="L1123" s="126"/>
      <c r="M1123" s="126"/>
      <c r="N1123" s="126"/>
      <c r="O1123" s="126"/>
      <c r="P1123" s="11"/>
      <c r="Q1123" s="29"/>
      <c r="R1123" s="30"/>
    </row>
    <row r="1124" spans="1:18" ht="12" customHeight="1">
      <c r="A1124" s="10"/>
      <c r="B1124" s="11"/>
      <c r="C1124" s="126"/>
      <c r="D1124" s="126"/>
      <c r="E1124" s="126"/>
      <c r="F1124" s="126"/>
      <c r="G1124" s="126"/>
      <c r="H1124" s="126"/>
      <c r="I1124" s="126"/>
      <c r="J1124" s="126"/>
      <c r="K1124" s="126"/>
      <c r="L1124" s="126"/>
      <c r="M1124" s="126"/>
      <c r="N1124" s="126"/>
      <c r="O1124" s="126"/>
      <c r="P1124" s="11"/>
      <c r="Q1124" s="29"/>
      <c r="R1124" s="30"/>
    </row>
    <row r="1125" spans="1:18" ht="12" customHeight="1">
      <c r="A1125" s="10"/>
      <c r="B1125" s="11"/>
      <c r="C1125" s="126"/>
      <c r="D1125" s="126"/>
      <c r="E1125" s="126"/>
      <c r="F1125" s="126"/>
      <c r="G1125" s="126"/>
      <c r="H1125" s="126"/>
      <c r="I1125" s="126"/>
      <c r="J1125" s="126"/>
      <c r="K1125" s="126"/>
      <c r="L1125" s="126"/>
      <c r="M1125" s="126"/>
      <c r="N1125" s="126"/>
      <c r="O1125" s="126"/>
      <c r="P1125" s="11"/>
      <c r="Q1125" s="29"/>
      <c r="R1125" s="30"/>
    </row>
    <row r="1126" spans="1:18" ht="12" customHeight="1">
      <c r="A1126" s="10"/>
      <c r="B1126" s="11"/>
      <c r="C1126" s="126"/>
      <c r="D1126" s="126"/>
      <c r="E1126" s="126"/>
      <c r="F1126" s="126"/>
      <c r="G1126" s="126"/>
      <c r="H1126" s="126"/>
      <c r="I1126" s="126"/>
      <c r="J1126" s="126"/>
      <c r="K1126" s="126"/>
      <c r="L1126" s="126"/>
      <c r="M1126" s="126"/>
      <c r="N1126" s="126"/>
      <c r="O1126" s="126"/>
      <c r="P1126" s="11"/>
      <c r="Q1126" s="29"/>
      <c r="R1126" s="30"/>
    </row>
    <row r="1127" spans="1:18" ht="12" customHeight="1">
      <c r="A1127" s="10"/>
      <c r="B1127" s="11"/>
      <c r="C1127" s="126"/>
      <c r="D1127" s="126"/>
      <c r="E1127" s="126"/>
      <c r="F1127" s="126"/>
      <c r="G1127" s="126"/>
      <c r="H1127" s="126"/>
      <c r="I1127" s="126"/>
      <c r="J1127" s="126"/>
      <c r="K1127" s="126"/>
      <c r="L1127" s="126"/>
      <c r="M1127" s="126"/>
      <c r="N1127" s="126"/>
      <c r="O1127" s="126"/>
      <c r="P1127" s="11"/>
      <c r="Q1127" s="29"/>
      <c r="R1127" s="30"/>
    </row>
    <row r="1128" spans="1:18" ht="12" customHeight="1">
      <c r="A1128" s="10"/>
      <c r="B1128" s="11"/>
      <c r="C1128" s="126"/>
      <c r="D1128" s="126"/>
      <c r="E1128" s="126"/>
      <c r="F1128" s="126"/>
      <c r="G1128" s="126"/>
      <c r="H1128" s="126"/>
      <c r="I1128" s="126"/>
      <c r="J1128" s="126"/>
      <c r="K1128" s="126"/>
      <c r="L1128" s="126"/>
      <c r="M1128" s="126"/>
      <c r="N1128" s="126"/>
      <c r="O1128" s="126"/>
      <c r="P1128" s="11"/>
      <c r="Q1128" s="29"/>
      <c r="R1128" s="30"/>
    </row>
    <row r="1129" spans="1:18" ht="12" customHeight="1">
      <c r="A1129" s="16"/>
      <c r="B1129" s="11"/>
      <c r="C1129" s="126"/>
      <c r="D1129" s="126"/>
      <c r="E1129" s="126"/>
      <c r="F1129" s="126"/>
      <c r="G1129" s="126"/>
      <c r="H1129" s="126"/>
      <c r="I1129" s="126"/>
      <c r="J1129" s="126"/>
      <c r="K1129" s="126"/>
      <c r="L1129" s="126"/>
      <c r="M1129" s="126"/>
      <c r="N1129" s="126"/>
      <c r="O1129" s="126"/>
      <c r="P1129" s="11"/>
      <c r="Q1129" s="29"/>
      <c r="R1129" s="30"/>
    </row>
    <row r="1130" spans="1:18" ht="12" customHeight="1">
      <c r="A1130" s="16"/>
      <c r="B1130" s="11"/>
      <c r="C1130" s="126"/>
      <c r="D1130" s="126"/>
      <c r="E1130" s="126"/>
      <c r="F1130" s="126"/>
      <c r="G1130" s="126"/>
      <c r="H1130" s="126"/>
      <c r="I1130" s="126"/>
      <c r="J1130" s="126"/>
      <c r="K1130" s="126"/>
      <c r="L1130" s="126"/>
      <c r="M1130" s="126"/>
      <c r="N1130" s="126"/>
      <c r="O1130" s="126"/>
      <c r="P1130" s="11"/>
      <c r="Q1130" s="29"/>
      <c r="R1130" s="30"/>
    </row>
    <row r="1131" spans="1:18" ht="12" customHeight="1">
      <c r="A1131" s="16"/>
      <c r="B1131" s="11"/>
      <c r="C1131" s="126"/>
      <c r="D1131" s="126"/>
      <c r="E1131" s="126"/>
      <c r="F1131" s="126"/>
      <c r="G1131" s="126"/>
      <c r="H1131" s="126"/>
      <c r="I1131" s="126"/>
      <c r="J1131" s="126"/>
      <c r="K1131" s="126"/>
      <c r="L1131" s="126"/>
      <c r="M1131" s="126"/>
      <c r="N1131" s="126"/>
      <c r="O1131" s="126"/>
      <c r="P1131" s="11"/>
      <c r="Q1131" s="29"/>
      <c r="R1131" s="30"/>
    </row>
    <row r="1132" spans="1:18" ht="12" customHeight="1">
      <c r="A1132" s="16"/>
      <c r="B1132" s="11"/>
      <c r="C1132" s="126"/>
      <c r="D1132" s="126"/>
      <c r="E1132" s="126"/>
      <c r="F1132" s="126"/>
      <c r="G1132" s="126"/>
      <c r="H1132" s="126"/>
      <c r="I1132" s="126"/>
      <c r="J1132" s="126"/>
      <c r="K1132" s="126"/>
      <c r="L1132" s="126"/>
      <c r="M1132" s="126"/>
      <c r="N1132" s="126"/>
      <c r="O1132" s="126"/>
      <c r="P1132" s="11"/>
      <c r="Q1132" s="29"/>
      <c r="R1132" s="30"/>
    </row>
    <row r="1133" spans="1:18" ht="12" customHeight="1">
      <c r="A1133" s="10"/>
      <c r="B1133" s="11"/>
      <c r="C1133" s="126"/>
      <c r="D1133" s="126"/>
      <c r="E1133" s="126"/>
      <c r="F1133" s="126"/>
      <c r="G1133" s="126"/>
      <c r="H1133" s="126"/>
      <c r="I1133" s="126"/>
      <c r="J1133" s="126"/>
      <c r="K1133" s="126"/>
      <c r="L1133" s="126"/>
      <c r="M1133" s="126"/>
      <c r="N1133" s="126"/>
      <c r="O1133" s="126"/>
      <c r="P1133" s="11"/>
      <c r="Q1133" s="29"/>
      <c r="R1133" s="30"/>
    </row>
    <row r="1134" spans="1:18" ht="12" customHeight="1">
      <c r="A1134" s="10"/>
      <c r="B1134" s="11"/>
      <c r="C1134" s="126"/>
      <c r="D1134" s="126"/>
      <c r="E1134" s="126"/>
      <c r="F1134" s="126"/>
      <c r="G1134" s="126"/>
      <c r="H1134" s="126"/>
      <c r="I1134" s="126"/>
      <c r="J1134" s="126"/>
      <c r="K1134" s="126"/>
      <c r="L1134" s="126"/>
      <c r="M1134" s="126"/>
      <c r="N1134" s="126"/>
      <c r="O1134" s="126"/>
      <c r="P1134" s="11"/>
      <c r="Q1134" s="29"/>
      <c r="R1134" s="30"/>
    </row>
    <row r="1135" spans="1:18" ht="12" customHeight="1">
      <c r="A1135" s="10"/>
      <c r="B1135" s="11"/>
      <c r="C1135" s="126"/>
      <c r="D1135" s="126"/>
      <c r="E1135" s="126"/>
      <c r="F1135" s="126"/>
      <c r="G1135" s="126"/>
      <c r="H1135" s="126"/>
      <c r="I1135" s="126"/>
      <c r="J1135" s="126"/>
      <c r="K1135" s="126"/>
      <c r="L1135" s="126"/>
      <c r="M1135" s="126"/>
      <c r="N1135" s="126"/>
      <c r="O1135" s="126"/>
      <c r="P1135" s="11"/>
      <c r="Q1135" s="29"/>
      <c r="R1135" s="30"/>
    </row>
    <row r="1136" spans="1:18" ht="12" customHeight="1">
      <c r="A1136" s="10"/>
      <c r="B1136" s="11"/>
      <c r="C1136" s="126"/>
      <c r="D1136" s="126"/>
      <c r="E1136" s="126"/>
      <c r="F1136" s="126"/>
      <c r="G1136" s="126"/>
      <c r="H1136" s="126"/>
      <c r="I1136" s="126"/>
      <c r="J1136" s="126"/>
      <c r="K1136" s="126"/>
      <c r="L1136" s="126"/>
      <c r="M1136" s="126"/>
      <c r="N1136" s="126"/>
      <c r="O1136" s="126"/>
      <c r="P1136" s="11"/>
      <c r="Q1136" s="29"/>
      <c r="R1136" s="30"/>
    </row>
    <row r="1137" spans="1:18" ht="12" customHeight="1">
      <c r="A1137" s="16"/>
      <c r="B1137" s="11"/>
      <c r="C1137" s="126"/>
      <c r="D1137" s="126"/>
      <c r="E1137" s="126"/>
      <c r="F1137" s="126"/>
      <c r="G1137" s="126"/>
      <c r="H1137" s="126"/>
      <c r="I1137" s="126"/>
      <c r="J1137" s="126"/>
      <c r="K1137" s="126"/>
      <c r="L1137" s="126"/>
      <c r="M1137" s="126"/>
      <c r="N1137" s="126"/>
      <c r="O1137" s="126"/>
      <c r="P1137" s="11"/>
      <c r="Q1137" s="29"/>
      <c r="R1137" s="30"/>
    </row>
    <row r="1138" spans="1:18" ht="12" customHeight="1">
      <c r="A1138" s="16"/>
      <c r="B1138" s="11"/>
      <c r="C1138" s="126"/>
      <c r="D1138" s="126"/>
      <c r="E1138" s="126"/>
      <c r="F1138" s="126"/>
      <c r="G1138" s="126"/>
      <c r="H1138" s="126"/>
      <c r="I1138" s="126"/>
      <c r="J1138" s="126"/>
      <c r="K1138" s="126"/>
      <c r="L1138" s="126"/>
      <c r="M1138" s="126"/>
      <c r="N1138" s="126"/>
      <c r="O1138" s="126"/>
      <c r="P1138" s="11"/>
      <c r="Q1138" s="29"/>
      <c r="R1138" s="30"/>
    </row>
    <row r="1139" spans="1:18" ht="12" customHeight="1">
      <c r="A1139" s="10"/>
      <c r="B1139" s="11"/>
      <c r="C1139" s="126"/>
      <c r="D1139" s="126"/>
      <c r="E1139" s="126"/>
      <c r="F1139" s="126"/>
      <c r="G1139" s="126"/>
      <c r="H1139" s="126"/>
      <c r="I1139" s="126"/>
      <c r="J1139" s="126"/>
      <c r="K1139" s="126"/>
      <c r="L1139" s="126"/>
      <c r="M1139" s="126"/>
      <c r="N1139" s="126"/>
      <c r="O1139" s="126"/>
      <c r="P1139" s="11"/>
      <c r="Q1139" s="29"/>
      <c r="R1139" s="30"/>
    </row>
    <row r="1140" spans="1:18" ht="12" customHeight="1">
      <c r="A1140" s="10"/>
      <c r="B1140" s="11"/>
      <c r="C1140" s="126"/>
      <c r="D1140" s="126"/>
      <c r="E1140" s="126"/>
      <c r="F1140" s="126"/>
      <c r="G1140" s="126"/>
      <c r="H1140" s="126"/>
      <c r="I1140" s="126"/>
      <c r="J1140" s="126"/>
      <c r="K1140" s="126"/>
      <c r="L1140" s="126"/>
      <c r="M1140" s="126"/>
      <c r="N1140" s="126"/>
      <c r="O1140" s="126"/>
      <c r="P1140" s="11"/>
      <c r="Q1140" s="29"/>
      <c r="R1140" s="30"/>
    </row>
    <row r="1141" spans="1:18" ht="12" customHeight="1">
      <c r="A1141" s="10"/>
      <c r="B1141" s="11"/>
      <c r="C1141" s="126"/>
      <c r="D1141" s="126"/>
      <c r="E1141" s="126"/>
      <c r="F1141" s="126"/>
      <c r="G1141" s="126"/>
      <c r="H1141" s="126"/>
      <c r="I1141" s="126"/>
      <c r="J1141" s="126"/>
      <c r="K1141" s="126"/>
      <c r="L1141" s="126"/>
      <c r="M1141" s="126"/>
      <c r="N1141" s="126"/>
      <c r="O1141" s="126"/>
      <c r="P1141" s="11"/>
      <c r="Q1141" s="29"/>
      <c r="R1141" s="30"/>
    </row>
    <row r="1142" spans="1:18" ht="12" customHeight="1">
      <c r="A1142" s="10"/>
      <c r="B1142" s="11"/>
      <c r="C1142" s="126"/>
      <c r="D1142" s="126"/>
      <c r="E1142" s="126"/>
      <c r="F1142" s="126"/>
      <c r="G1142" s="126"/>
      <c r="H1142" s="126"/>
      <c r="I1142" s="126"/>
      <c r="J1142" s="126"/>
      <c r="K1142" s="126"/>
      <c r="L1142" s="126"/>
      <c r="M1142" s="126"/>
      <c r="N1142" s="126"/>
      <c r="O1142" s="126"/>
      <c r="P1142" s="11"/>
      <c r="Q1142" s="29"/>
      <c r="R1142" s="30"/>
    </row>
    <row r="1143" spans="1:18" ht="12" customHeight="1">
      <c r="A1143" s="16"/>
      <c r="B1143" s="11"/>
      <c r="C1143" s="126"/>
      <c r="D1143" s="126"/>
      <c r="E1143" s="126"/>
      <c r="F1143" s="126"/>
      <c r="G1143" s="126"/>
      <c r="H1143" s="126"/>
      <c r="I1143" s="126"/>
      <c r="J1143" s="126"/>
      <c r="K1143" s="126"/>
      <c r="L1143" s="126"/>
      <c r="M1143" s="126"/>
      <c r="N1143" s="126"/>
      <c r="O1143" s="126"/>
      <c r="P1143" s="11"/>
      <c r="Q1143" s="29"/>
      <c r="R1143" s="30"/>
    </row>
    <row r="1144" spans="1:18" ht="12" customHeight="1">
      <c r="A1144" s="16"/>
      <c r="B1144" s="11"/>
      <c r="C1144" s="126"/>
      <c r="D1144" s="126"/>
      <c r="E1144" s="126"/>
      <c r="F1144" s="126"/>
      <c r="G1144" s="126"/>
      <c r="H1144" s="126"/>
      <c r="I1144" s="126"/>
      <c r="J1144" s="126"/>
      <c r="K1144" s="126"/>
      <c r="L1144" s="126"/>
      <c r="M1144" s="126"/>
      <c r="N1144" s="126"/>
      <c r="O1144" s="126"/>
      <c r="P1144" s="11"/>
      <c r="Q1144" s="29"/>
      <c r="R1144" s="30"/>
    </row>
    <row r="1145" spans="1:18" ht="12" customHeight="1">
      <c r="A1145" s="16"/>
      <c r="B1145" s="11"/>
      <c r="C1145" s="126"/>
      <c r="D1145" s="126"/>
      <c r="E1145" s="126"/>
      <c r="F1145" s="126"/>
      <c r="G1145" s="126"/>
      <c r="H1145" s="126"/>
      <c r="I1145" s="126"/>
      <c r="J1145" s="126"/>
      <c r="K1145" s="126"/>
      <c r="L1145" s="126"/>
      <c r="M1145" s="126"/>
      <c r="N1145" s="126"/>
      <c r="O1145" s="126"/>
      <c r="P1145" s="11"/>
      <c r="Q1145" s="29"/>
      <c r="R1145" s="30"/>
    </row>
    <row r="1146" spans="1:18" ht="12" customHeight="1">
      <c r="A1146" s="10"/>
      <c r="B1146" s="11"/>
      <c r="C1146" s="126"/>
      <c r="D1146" s="126"/>
      <c r="E1146" s="126"/>
      <c r="F1146" s="126"/>
      <c r="G1146" s="126"/>
      <c r="H1146" s="126"/>
      <c r="I1146" s="126"/>
      <c r="J1146" s="126"/>
      <c r="K1146" s="126"/>
      <c r="L1146" s="126"/>
      <c r="M1146" s="126"/>
      <c r="N1146" s="126"/>
      <c r="O1146" s="126"/>
      <c r="P1146" s="11"/>
      <c r="Q1146" s="29"/>
      <c r="R1146" s="30"/>
    </row>
    <row r="1147" spans="1:18" ht="12" customHeight="1">
      <c r="A1147" s="10"/>
      <c r="B1147" s="11"/>
      <c r="C1147" s="126"/>
      <c r="D1147" s="126"/>
      <c r="E1147" s="126"/>
      <c r="F1147" s="126"/>
      <c r="G1147" s="126"/>
      <c r="H1147" s="126"/>
      <c r="I1147" s="126"/>
      <c r="J1147" s="126"/>
      <c r="K1147" s="126"/>
      <c r="L1147" s="126"/>
      <c r="M1147" s="126"/>
      <c r="N1147" s="126"/>
      <c r="O1147" s="126"/>
      <c r="P1147" s="11"/>
      <c r="Q1147" s="29"/>
      <c r="R1147" s="30"/>
    </row>
    <row r="1148" spans="1:18" ht="12" customHeight="1">
      <c r="A1148" s="10"/>
      <c r="B1148" s="11"/>
      <c r="C1148" s="126"/>
      <c r="D1148" s="126"/>
      <c r="E1148" s="126"/>
      <c r="F1148" s="126"/>
      <c r="G1148" s="126"/>
      <c r="H1148" s="126"/>
      <c r="I1148" s="126"/>
      <c r="J1148" s="126"/>
      <c r="K1148" s="126"/>
      <c r="L1148" s="126"/>
      <c r="M1148" s="126"/>
      <c r="N1148" s="126"/>
      <c r="O1148" s="126"/>
      <c r="P1148" s="11"/>
      <c r="Q1148" s="29"/>
      <c r="R1148" s="30"/>
    </row>
    <row r="1149" spans="1:18" ht="12" customHeight="1">
      <c r="A1149" s="10"/>
      <c r="B1149" s="11"/>
      <c r="C1149" s="126"/>
      <c r="D1149" s="126"/>
      <c r="E1149" s="126"/>
      <c r="F1149" s="126"/>
      <c r="G1149" s="126"/>
      <c r="H1149" s="126"/>
      <c r="I1149" s="126"/>
      <c r="J1149" s="126"/>
      <c r="K1149" s="126"/>
      <c r="L1149" s="126"/>
      <c r="M1149" s="126"/>
      <c r="N1149" s="126"/>
      <c r="O1149" s="126"/>
      <c r="P1149" s="11"/>
      <c r="Q1149" s="29"/>
      <c r="R1149" s="30"/>
    </row>
    <row r="1150" spans="1:18" ht="12" customHeight="1">
      <c r="A1150" s="10"/>
      <c r="B1150" s="11"/>
      <c r="C1150" s="126"/>
      <c r="D1150" s="126"/>
      <c r="E1150" s="126"/>
      <c r="F1150" s="126"/>
      <c r="G1150" s="126"/>
      <c r="H1150" s="126"/>
      <c r="I1150" s="126"/>
      <c r="J1150" s="126"/>
      <c r="K1150" s="126"/>
      <c r="L1150" s="126"/>
      <c r="M1150" s="126"/>
      <c r="N1150" s="126"/>
      <c r="O1150" s="126"/>
      <c r="P1150" s="11"/>
      <c r="Q1150" s="29"/>
      <c r="R1150" s="30"/>
    </row>
    <row r="1151" spans="1:18" ht="12" customHeight="1">
      <c r="A1151" s="10"/>
      <c r="B1151" s="11"/>
      <c r="C1151" s="126"/>
      <c r="D1151" s="126"/>
      <c r="E1151" s="126"/>
      <c r="F1151" s="126"/>
      <c r="G1151" s="126"/>
      <c r="H1151" s="126"/>
      <c r="I1151" s="126"/>
      <c r="J1151" s="126"/>
      <c r="K1151" s="126"/>
      <c r="L1151" s="126"/>
      <c r="M1151" s="126"/>
      <c r="N1151" s="126"/>
      <c r="O1151" s="126"/>
      <c r="P1151" s="11"/>
      <c r="Q1151" s="29"/>
      <c r="R1151" s="30"/>
    </row>
    <row r="1152" spans="1:18" ht="12" customHeight="1">
      <c r="A1152" s="10"/>
      <c r="B1152" s="11"/>
      <c r="C1152" s="126"/>
      <c r="D1152" s="126"/>
      <c r="E1152" s="126"/>
      <c r="F1152" s="126"/>
      <c r="G1152" s="126"/>
      <c r="H1152" s="126"/>
      <c r="I1152" s="126"/>
      <c r="J1152" s="126"/>
      <c r="K1152" s="126"/>
      <c r="L1152" s="126"/>
      <c r="M1152" s="126"/>
      <c r="N1152" s="126"/>
      <c r="O1152" s="126"/>
      <c r="P1152" s="11"/>
      <c r="Q1152" s="29"/>
      <c r="R1152" s="30"/>
    </row>
    <row r="1153" spans="1:18" ht="12" customHeight="1">
      <c r="A1153" s="10"/>
      <c r="B1153" s="11"/>
      <c r="C1153" s="126"/>
      <c r="D1153" s="126"/>
      <c r="E1153" s="126"/>
      <c r="F1153" s="126"/>
      <c r="G1153" s="126"/>
      <c r="H1153" s="126"/>
      <c r="I1153" s="126"/>
      <c r="J1153" s="126"/>
      <c r="K1153" s="126"/>
      <c r="L1153" s="126"/>
      <c r="M1153" s="126"/>
      <c r="N1153" s="126"/>
      <c r="O1153" s="126"/>
      <c r="P1153" s="11"/>
      <c r="Q1153" s="29"/>
      <c r="R1153" s="30"/>
    </row>
    <row r="1154" spans="1:18" ht="12" customHeight="1">
      <c r="A1154" s="10"/>
      <c r="B1154" s="11"/>
      <c r="C1154" s="126"/>
      <c r="D1154" s="126"/>
      <c r="E1154" s="126"/>
      <c r="F1154" s="126"/>
      <c r="G1154" s="126"/>
      <c r="H1154" s="126"/>
      <c r="I1154" s="126"/>
      <c r="J1154" s="126"/>
      <c r="K1154" s="126"/>
      <c r="L1154" s="126"/>
      <c r="M1154" s="126"/>
      <c r="N1154" s="126"/>
      <c r="O1154" s="126"/>
      <c r="P1154" s="11"/>
      <c r="Q1154" s="29"/>
      <c r="R1154" s="30"/>
    </row>
    <row r="1155" spans="1:18" ht="12" customHeight="1">
      <c r="A1155" s="10"/>
      <c r="B1155" s="11"/>
      <c r="C1155" s="126"/>
      <c r="D1155" s="126"/>
      <c r="E1155" s="126"/>
      <c r="F1155" s="126"/>
      <c r="G1155" s="126"/>
      <c r="H1155" s="126"/>
      <c r="I1155" s="126"/>
      <c r="J1155" s="126"/>
      <c r="K1155" s="126"/>
      <c r="L1155" s="126"/>
      <c r="M1155" s="126"/>
      <c r="N1155" s="126"/>
      <c r="O1155" s="126"/>
      <c r="P1155" s="11"/>
      <c r="Q1155" s="29"/>
      <c r="R1155" s="30"/>
    </row>
    <row r="1156" spans="1:18" ht="12" customHeight="1">
      <c r="A1156" s="10"/>
      <c r="B1156" s="11"/>
      <c r="C1156" s="126"/>
      <c r="D1156" s="126"/>
      <c r="E1156" s="126"/>
      <c r="F1156" s="126"/>
      <c r="G1156" s="126"/>
      <c r="H1156" s="126"/>
      <c r="I1156" s="126"/>
      <c r="J1156" s="126"/>
      <c r="K1156" s="126"/>
      <c r="L1156" s="126"/>
      <c r="M1156" s="126"/>
      <c r="N1156" s="126"/>
      <c r="O1156" s="126"/>
      <c r="P1156" s="11"/>
      <c r="Q1156" s="29"/>
      <c r="R1156" s="30"/>
    </row>
    <row r="1157" spans="1:18" ht="12" customHeight="1">
      <c r="A1157" s="10"/>
      <c r="B1157" s="11"/>
      <c r="C1157" s="126"/>
      <c r="D1157" s="126"/>
      <c r="E1157" s="126"/>
      <c r="F1157" s="126"/>
      <c r="G1157" s="126"/>
      <c r="H1157" s="126"/>
      <c r="I1157" s="126"/>
      <c r="J1157" s="126"/>
      <c r="K1157" s="126"/>
      <c r="L1157" s="126"/>
      <c r="M1157" s="126"/>
      <c r="N1157" s="126"/>
      <c r="O1157" s="126"/>
      <c r="P1157" s="11"/>
      <c r="Q1157" s="29"/>
      <c r="R1157" s="30"/>
    </row>
    <row r="1158" spans="1:18" ht="12" customHeight="1">
      <c r="A1158" s="10"/>
      <c r="B1158" s="11"/>
      <c r="C1158" s="126"/>
      <c r="D1158" s="126"/>
      <c r="E1158" s="126"/>
      <c r="F1158" s="126"/>
      <c r="G1158" s="126"/>
      <c r="H1158" s="126"/>
      <c r="I1158" s="126"/>
      <c r="J1158" s="126"/>
      <c r="K1158" s="126"/>
      <c r="L1158" s="126"/>
      <c r="M1158" s="126"/>
      <c r="N1158" s="126"/>
      <c r="O1158" s="126"/>
      <c r="P1158" s="11"/>
      <c r="Q1158" s="29"/>
      <c r="R1158" s="30"/>
    </row>
    <row r="1159" spans="1:18" ht="12" customHeight="1">
      <c r="A1159" s="10"/>
      <c r="B1159" s="11"/>
      <c r="C1159" s="126"/>
      <c r="D1159" s="126"/>
      <c r="E1159" s="126"/>
      <c r="F1159" s="126"/>
      <c r="G1159" s="126"/>
      <c r="H1159" s="126"/>
      <c r="I1159" s="126"/>
      <c r="J1159" s="126"/>
      <c r="K1159" s="126"/>
      <c r="L1159" s="126"/>
      <c r="M1159" s="126"/>
      <c r="N1159" s="126"/>
      <c r="O1159" s="126"/>
      <c r="P1159" s="11"/>
      <c r="Q1159" s="29"/>
      <c r="R1159" s="30"/>
    </row>
    <row r="1160" spans="1:18" ht="12" customHeight="1">
      <c r="A1160" s="10"/>
      <c r="B1160" s="11"/>
      <c r="C1160" s="126"/>
      <c r="D1160" s="126"/>
      <c r="E1160" s="126"/>
      <c r="F1160" s="126"/>
      <c r="G1160" s="126"/>
      <c r="H1160" s="126"/>
      <c r="I1160" s="126"/>
      <c r="J1160" s="126"/>
      <c r="K1160" s="126"/>
      <c r="L1160" s="126"/>
      <c r="M1160" s="126"/>
      <c r="N1160" s="126"/>
      <c r="O1160" s="126"/>
      <c r="P1160" s="11"/>
      <c r="Q1160" s="29"/>
      <c r="R1160" s="30"/>
    </row>
    <row r="1161" spans="1:18" ht="12" customHeight="1">
      <c r="A1161" s="10"/>
      <c r="B1161" s="11"/>
      <c r="C1161" s="126"/>
      <c r="D1161" s="126"/>
      <c r="E1161" s="126"/>
      <c r="F1161" s="126"/>
      <c r="G1161" s="126"/>
      <c r="H1161" s="126"/>
      <c r="I1161" s="126"/>
      <c r="J1161" s="126"/>
      <c r="K1161" s="126"/>
      <c r="L1161" s="126"/>
      <c r="M1161" s="126"/>
      <c r="N1161" s="126"/>
      <c r="O1161" s="126"/>
      <c r="P1161" s="11"/>
      <c r="Q1161" s="29"/>
      <c r="R1161" s="30"/>
    </row>
    <row r="1162" spans="1:18" ht="12" customHeight="1">
      <c r="A1162" s="10"/>
      <c r="B1162" s="11"/>
      <c r="C1162" s="126"/>
      <c r="D1162" s="126"/>
      <c r="E1162" s="126"/>
      <c r="F1162" s="126"/>
      <c r="G1162" s="126"/>
      <c r="H1162" s="126"/>
      <c r="I1162" s="126"/>
      <c r="J1162" s="126"/>
      <c r="K1162" s="126"/>
      <c r="L1162" s="126"/>
      <c r="M1162" s="126"/>
      <c r="N1162" s="126"/>
      <c r="O1162" s="126"/>
      <c r="P1162" s="11"/>
      <c r="Q1162" s="29"/>
      <c r="R1162" s="30"/>
    </row>
    <row r="1163" spans="1:18" ht="12" customHeight="1">
      <c r="A1163" s="10"/>
      <c r="B1163" s="11"/>
      <c r="C1163" s="126"/>
      <c r="D1163" s="126"/>
      <c r="E1163" s="126"/>
      <c r="F1163" s="126"/>
      <c r="G1163" s="126"/>
      <c r="H1163" s="126"/>
      <c r="I1163" s="126"/>
      <c r="J1163" s="126"/>
      <c r="K1163" s="126"/>
      <c r="L1163" s="126"/>
      <c r="M1163" s="126"/>
      <c r="N1163" s="126"/>
      <c r="O1163" s="126"/>
      <c r="P1163" s="11"/>
      <c r="Q1163" s="29"/>
      <c r="R1163" s="30"/>
    </row>
    <row r="1164" spans="1:18" ht="12" customHeight="1">
      <c r="A1164" s="10"/>
      <c r="B1164" s="11"/>
      <c r="C1164" s="126"/>
      <c r="D1164" s="126"/>
      <c r="E1164" s="126"/>
      <c r="F1164" s="126"/>
      <c r="G1164" s="126"/>
      <c r="H1164" s="126"/>
      <c r="I1164" s="126"/>
      <c r="J1164" s="126"/>
      <c r="K1164" s="126"/>
      <c r="L1164" s="126"/>
      <c r="M1164" s="126"/>
      <c r="N1164" s="126"/>
      <c r="O1164" s="126"/>
      <c r="P1164" s="11"/>
      <c r="Q1164" s="29"/>
      <c r="R1164" s="30"/>
    </row>
    <row r="1165" spans="1:18" ht="12" customHeight="1">
      <c r="A1165" s="10"/>
      <c r="B1165" s="11"/>
      <c r="C1165" s="126"/>
      <c r="D1165" s="126"/>
      <c r="E1165" s="126"/>
      <c r="F1165" s="126"/>
      <c r="G1165" s="126"/>
      <c r="H1165" s="126"/>
      <c r="I1165" s="126"/>
      <c r="J1165" s="126"/>
      <c r="K1165" s="126"/>
      <c r="L1165" s="126"/>
      <c r="M1165" s="126"/>
      <c r="N1165" s="126"/>
      <c r="O1165" s="126"/>
      <c r="P1165" s="11"/>
      <c r="Q1165" s="29"/>
      <c r="R1165" s="30"/>
    </row>
    <row r="1166" spans="1:18" ht="12" customHeight="1">
      <c r="A1166" s="10"/>
      <c r="B1166" s="11"/>
      <c r="C1166" s="126"/>
      <c r="D1166" s="126"/>
      <c r="E1166" s="126"/>
      <c r="F1166" s="126"/>
      <c r="G1166" s="126"/>
      <c r="H1166" s="126"/>
      <c r="I1166" s="126"/>
      <c r="J1166" s="126"/>
      <c r="K1166" s="126"/>
      <c r="L1166" s="126"/>
      <c r="M1166" s="126"/>
      <c r="N1166" s="126"/>
      <c r="O1166" s="126"/>
      <c r="P1166" s="11"/>
      <c r="Q1166" s="29"/>
      <c r="R1166" s="30"/>
    </row>
    <row r="1167" spans="1:18" ht="12" customHeight="1">
      <c r="A1167" s="10"/>
      <c r="B1167" s="11"/>
      <c r="C1167" s="126"/>
      <c r="D1167" s="126"/>
      <c r="E1167" s="126"/>
      <c r="F1167" s="126"/>
      <c r="G1167" s="126"/>
      <c r="H1167" s="126"/>
      <c r="I1167" s="126"/>
      <c r="J1167" s="126"/>
      <c r="K1167" s="126"/>
      <c r="L1167" s="126"/>
      <c r="M1167" s="126"/>
      <c r="N1167" s="126"/>
      <c r="O1167" s="126"/>
      <c r="P1167" s="11"/>
      <c r="Q1167" s="29"/>
      <c r="R1167" s="30"/>
    </row>
    <row r="1168" spans="1:18" ht="12" customHeight="1">
      <c r="A1168" s="16"/>
      <c r="B1168" s="11"/>
      <c r="C1168" s="126"/>
      <c r="D1168" s="126"/>
      <c r="E1168" s="126"/>
      <c r="F1168" s="126"/>
      <c r="G1168" s="126"/>
      <c r="H1168" s="126"/>
      <c r="I1168" s="126"/>
      <c r="J1168" s="126"/>
      <c r="K1168" s="126"/>
      <c r="L1168" s="126"/>
      <c r="M1168" s="126"/>
      <c r="N1168" s="126"/>
      <c r="O1168" s="126"/>
      <c r="P1168" s="11"/>
      <c r="Q1168" s="29"/>
      <c r="R1168" s="30"/>
    </row>
    <row r="1169" spans="1:18" ht="12" customHeight="1">
      <c r="A1169" s="16"/>
      <c r="B1169" s="11"/>
      <c r="C1169" s="126"/>
      <c r="D1169" s="126"/>
      <c r="E1169" s="126"/>
      <c r="F1169" s="126"/>
      <c r="G1169" s="126"/>
      <c r="H1169" s="126"/>
      <c r="I1169" s="126"/>
      <c r="J1169" s="126"/>
      <c r="K1169" s="126"/>
      <c r="L1169" s="126"/>
      <c r="M1169" s="126"/>
      <c r="N1169" s="126"/>
      <c r="O1169" s="126"/>
      <c r="P1169" s="11"/>
      <c r="Q1169" s="29"/>
      <c r="R1169" s="30"/>
    </row>
    <row r="1170" spans="1:18" ht="12" customHeight="1">
      <c r="A1170" s="16"/>
      <c r="B1170" s="11"/>
      <c r="C1170" s="126"/>
      <c r="D1170" s="126"/>
      <c r="E1170" s="126"/>
      <c r="F1170" s="126"/>
      <c r="G1170" s="126"/>
      <c r="H1170" s="126"/>
      <c r="I1170" s="126"/>
      <c r="J1170" s="126"/>
      <c r="K1170" s="126"/>
      <c r="L1170" s="126"/>
      <c r="M1170" s="126"/>
      <c r="N1170" s="126"/>
      <c r="O1170" s="126"/>
      <c r="P1170" s="11"/>
      <c r="Q1170" s="29"/>
      <c r="R1170" s="30"/>
    </row>
    <row r="1171" spans="1:18" ht="12" customHeight="1">
      <c r="A1171" s="16"/>
      <c r="B1171" s="11"/>
      <c r="C1171" s="126"/>
      <c r="D1171" s="126"/>
      <c r="E1171" s="126"/>
      <c r="F1171" s="126"/>
      <c r="G1171" s="126"/>
      <c r="H1171" s="126"/>
      <c r="I1171" s="126"/>
      <c r="J1171" s="126"/>
      <c r="K1171" s="126"/>
      <c r="L1171" s="126"/>
      <c r="M1171" s="126"/>
      <c r="N1171" s="126"/>
      <c r="O1171" s="126"/>
      <c r="P1171" s="11"/>
      <c r="Q1171" s="29"/>
      <c r="R1171" s="30"/>
    </row>
    <row r="1172" spans="1:18" ht="12" customHeight="1">
      <c r="A1172" s="17"/>
      <c r="B1172" s="80"/>
      <c r="C1172" s="130"/>
      <c r="D1172" s="130"/>
      <c r="E1172" s="130"/>
      <c r="F1172" s="130"/>
      <c r="G1172" s="130"/>
      <c r="H1172" s="130"/>
      <c r="I1172" s="130"/>
      <c r="J1172" s="130"/>
      <c r="K1172" s="130"/>
      <c r="L1172" s="130"/>
      <c r="M1172" s="130"/>
      <c r="N1172" s="130"/>
      <c r="O1172" s="130"/>
      <c r="P1172" s="80"/>
      <c r="Q1172" s="29"/>
      <c r="R1172" s="30"/>
    </row>
    <row r="1173" spans="1:18" ht="12" customHeight="1">
      <c r="A1173" s="17"/>
      <c r="B1173" s="80"/>
      <c r="C1173" s="130"/>
      <c r="D1173" s="130"/>
      <c r="E1173" s="130"/>
      <c r="F1173" s="130"/>
      <c r="G1173" s="130"/>
      <c r="H1173" s="130"/>
      <c r="I1173" s="130"/>
      <c r="J1173" s="130"/>
      <c r="K1173" s="130"/>
      <c r="L1173" s="130"/>
      <c r="M1173" s="130"/>
      <c r="N1173" s="130"/>
      <c r="O1173" s="130"/>
      <c r="P1173" s="80"/>
      <c r="Q1173" s="29"/>
      <c r="R1173" s="30"/>
    </row>
    <row r="1174" spans="1:18" ht="12" customHeight="1">
      <c r="A1174" s="17"/>
      <c r="B1174" s="80"/>
      <c r="C1174" s="130"/>
      <c r="D1174" s="130"/>
      <c r="E1174" s="130"/>
      <c r="F1174" s="130"/>
      <c r="G1174" s="130"/>
      <c r="H1174" s="130"/>
      <c r="I1174" s="130"/>
      <c r="J1174" s="130"/>
      <c r="K1174" s="130"/>
      <c r="L1174" s="130"/>
      <c r="M1174" s="130"/>
      <c r="N1174" s="130"/>
      <c r="O1174" s="130"/>
      <c r="P1174" s="80"/>
      <c r="Q1174" s="29"/>
      <c r="R1174" s="30"/>
    </row>
    <row r="1175" spans="1:18" ht="12" customHeight="1">
      <c r="A1175" s="17"/>
      <c r="B1175" s="80"/>
      <c r="C1175" s="130"/>
      <c r="D1175" s="130"/>
      <c r="E1175" s="130"/>
      <c r="F1175" s="130"/>
      <c r="G1175" s="130"/>
      <c r="H1175" s="130"/>
      <c r="I1175" s="130"/>
      <c r="J1175" s="130"/>
      <c r="K1175" s="130"/>
      <c r="L1175" s="130"/>
      <c r="M1175" s="130"/>
      <c r="N1175" s="130"/>
      <c r="O1175" s="130"/>
      <c r="P1175" s="80"/>
      <c r="Q1175" s="29"/>
      <c r="R1175" s="30"/>
    </row>
    <row r="1176" spans="1:18" ht="12" customHeight="1">
      <c r="A1176" s="17"/>
      <c r="B1176" s="80"/>
      <c r="C1176" s="130"/>
      <c r="D1176" s="130"/>
      <c r="E1176" s="130"/>
      <c r="F1176" s="130"/>
      <c r="G1176" s="130"/>
      <c r="H1176" s="130"/>
      <c r="I1176" s="130"/>
      <c r="J1176" s="130"/>
      <c r="K1176" s="130"/>
      <c r="L1176" s="130"/>
      <c r="M1176" s="130"/>
      <c r="N1176" s="130"/>
      <c r="O1176" s="130"/>
      <c r="P1176" s="80"/>
      <c r="Q1176" s="29"/>
      <c r="R1176" s="30"/>
    </row>
    <row r="1177" spans="1:18" ht="12" customHeight="1">
      <c r="A1177" s="17"/>
      <c r="B1177" s="80"/>
      <c r="C1177" s="130"/>
      <c r="D1177" s="130"/>
      <c r="E1177" s="130"/>
      <c r="F1177" s="130"/>
      <c r="G1177" s="130"/>
      <c r="H1177" s="130"/>
      <c r="I1177" s="130"/>
      <c r="J1177" s="130"/>
      <c r="K1177" s="130"/>
      <c r="L1177" s="130"/>
      <c r="M1177" s="130"/>
      <c r="N1177" s="130"/>
      <c r="O1177" s="130"/>
      <c r="P1177" s="80"/>
      <c r="Q1177" s="29"/>
      <c r="R1177" s="30"/>
    </row>
    <row r="1178" spans="1:18" ht="12" customHeight="1">
      <c r="A1178" s="17"/>
      <c r="B1178" s="80"/>
      <c r="C1178" s="130"/>
      <c r="D1178" s="130"/>
      <c r="E1178" s="130"/>
      <c r="F1178" s="130"/>
      <c r="G1178" s="130"/>
      <c r="H1178" s="130"/>
      <c r="I1178" s="130"/>
      <c r="J1178" s="130"/>
      <c r="K1178" s="130"/>
      <c r="L1178" s="130"/>
      <c r="M1178" s="130"/>
      <c r="N1178" s="130"/>
      <c r="O1178" s="130"/>
      <c r="P1178" s="80"/>
      <c r="Q1178" s="29"/>
      <c r="R1178" s="30"/>
    </row>
    <row r="1179" spans="1:18" ht="12" customHeight="1">
      <c r="A1179" s="17"/>
      <c r="B1179" s="80"/>
      <c r="C1179" s="130"/>
      <c r="D1179" s="130"/>
      <c r="E1179" s="130"/>
      <c r="F1179" s="130"/>
      <c r="G1179" s="130"/>
      <c r="H1179" s="130"/>
      <c r="I1179" s="130"/>
      <c r="J1179" s="130"/>
      <c r="K1179" s="130"/>
      <c r="L1179" s="130"/>
      <c r="M1179" s="130"/>
      <c r="N1179" s="130"/>
      <c r="O1179" s="130"/>
      <c r="P1179" s="80"/>
      <c r="Q1179" s="29"/>
      <c r="R1179" s="30"/>
    </row>
    <row r="1180" spans="1:18" ht="12" customHeight="1">
      <c r="A1180" s="17"/>
      <c r="B1180" s="80"/>
      <c r="C1180" s="130"/>
      <c r="D1180" s="130"/>
      <c r="E1180" s="130"/>
      <c r="F1180" s="130"/>
      <c r="G1180" s="130"/>
      <c r="H1180" s="130"/>
      <c r="I1180" s="130"/>
      <c r="J1180" s="130"/>
      <c r="K1180" s="130"/>
      <c r="L1180" s="130"/>
      <c r="M1180" s="130"/>
      <c r="N1180" s="130"/>
      <c r="O1180" s="130"/>
      <c r="P1180" s="80"/>
      <c r="Q1180" s="29"/>
      <c r="R1180" s="30"/>
    </row>
    <row r="1181" spans="1:18">
      <c r="A1181" s="17"/>
      <c r="B1181" s="80"/>
      <c r="C1181" s="130"/>
      <c r="D1181" s="130"/>
      <c r="E1181" s="130"/>
      <c r="F1181" s="130"/>
      <c r="G1181" s="130"/>
      <c r="H1181" s="130"/>
      <c r="I1181" s="130"/>
      <c r="J1181" s="130"/>
      <c r="K1181" s="130"/>
      <c r="L1181" s="130"/>
      <c r="M1181" s="130"/>
      <c r="N1181" s="130"/>
      <c r="O1181" s="130"/>
      <c r="P1181" s="80"/>
      <c r="Q1181" s="29"/>
      <c r="R1181" s="30"/>
    </row>
    <row r="1182" spans="1:18">
      <c r="A1182" s="17"/>
      <c r="B1182" s="80"/>
      <c r="C1182" s="130"/>
      <c r="D1182" s="130"/>
      <c r="E1182" s="130"/>
      <c r="F1182" s="130"/>
      <c r="G1182" s="130"/>
      <c r="H1182" s="130"/>
      <c r="I1182" s="130"/>
      <c r="J1182" s="130"/>
      <c r="K1182" s="130"/>
      <c r="L1182" s="130"/>
      <c r="M1182" s="130"/>
      <c r="N1182" s="130"/>
      <c r="O1182" s="130"/>
      <c r="P1182" s="80"/>
      <c r="Q1182" s="29"/>
      <c r="R1182" s="30"/>
    </row>
    <row r="1183" spans="1:18">
      <c r="A1183" s="17"/>
      <c r="B1183" s="80"/>
      <c r="C1183" s="130"/>
      <c r="D1183" s="130"/>
      <c r="E1183" s="130"/>
      <c r="F1183" s="130"/>
      <c r="G1183" s="130"/>
      <c r="H1183" s="130"/>
      <c r="I1183" s="130"/>
      <c r="J1183" s="130"/>
      <c r="K1183" s="130"/>
      <c r="L1183" s="130"/>
      <c r="M1183" s="130"/>
      <c r="N1183" s="130"/>
      <c r="O1183" s="130"/>
      <c r="P1183" s="80"/>
      <c r="Q1183" s="29"/>
      <c r="R1183" s="30"/>
    </row>
    <row r="1184" spans="1:18">
      <c r="A1184" s="17"/>
      <c r="B1184" s="80"/>
      <c r="C1184" s="130"/>
      <c r="D1184" s="130"/>
      <c r="E1184" s="130"/>
      <c r="F1184" s="130"/>
      <c r="G1184" s="130"/>
      <c r="H1184" s="130"/>
      <c r="I1184" s="130"/>
      <c r="J1184" s="130"/>
      <c r="K1184" s="130"/>
      <c r="L1184" s="130"/>
      <c r="M1184" s="130"/>
      <c r="N1184" s="130"/>
      <c r="O1184" s="130"/>
      <c r="P1184" s="80"/>
      <c r="Q1184" s="29"/>
      <c r="R1184" s="30"/>
    </row>
    <row r="1185" spans="1:18">
      <c r="A1185" s="17"/>
      <c r="B1185" s="80"/>
      <c r="C1185" s="130"/>
      <c r="D1185" s="130"/>
      <c r="E1185" s="130"/>
      <c r="F1185" s="130"/>
      <c r="G1185" s="130"/>
      <c r="H1185" s="130"/>
      <c r="I1185" s="130"/>
      <c r="J1185" s="130"/>
      <c r="K1185" s="130"/>
      <c r="L1185" s="130"/>
      <c r="M1185" s="130"/>
      <c r="N1185" s="130"/>
      <c r="O1185" s="130"/>
      <c r="P1185" s="80"/>
      <c r="Q1185" s="29"/>
      <c r="R1185" s="30"/>
    </row>
    <row r="1186" spans="1:18">
      <c r="A1186" s="17"/>
      <c r="B1186" s="80"/>
      <c r="C1186" s="130"/>
      <c r="D1186" s="130"/>
      <c r="E1186" s="130"/>
      <c r="F1186" s="130"/>
      <c r="G1186" s="130"/>
      <c r="H1186" s="130"/>
      <c r="I1186" s="130"/>
      <c r="J1186" s="130"/>
      <c r="K1186" s="130"/>
      <c r="L1186" s="130"/>
      <c r="M1186" s="130"/>
      <c r="N1186" s="130"/>
      <c r="O1186" s="130"/>
      <c r="P1186" s="80"/>
      <c r="Q1186" s="29"/>
      <c r="R1186" s="30"/>
    </row>
    <row r="1187" spans="1:18">
      <c r="A1187" s="16"/>
      <c r="B1187" s="11"/>
      <c r="C1187" s="126"/>
      <c r="D1187" s="126"/>
      <c r="E1187" s="126"/>
      <c r="F1187" s="126"/>
      <c r="G1187" s="126"/>
      <c r="H1187" s="126"/>
      <c r="I1187" s="126"/>
      <c r="J1187" s="126"/>
      <c r="K1187" s="126"/>
      <c r="L1187" s="126"/>
      <c r="M1187" s="126"/>
      <c r="N1187" s="126"/>
      <c r="O1187" s="126"/>
      <c r="P1187" s="11"/>
      <c r="Q1187" s="29"/>
      <c r="R1187" s="30"/>
    </row>
    <row r="1188" spans="1:18">
      <c r="A1188" s="16"/>
      <c r="B1188" s="11"/>
      <c r="C1188" s="126"/>
      <c r="D1188" s="126"/>
      <c r="E1188" s="126"/>
      <c r="F1188" s="126"/>
      <c r="G1188" s="126"/>
      <c r="H1188" s="126"/>
      <c r="I1188" s="126"/>
      <c r="J1188" s="126"/>
      <c r="K1188" s="126"/>
      <c r="L1188" s="126"/>
      <c r="M1188" s="126"/>
      <c r="N1188" s="126"/>
      <c r="O1188" s="126"/>
      <c r="P1188" s="11"/>
      <c r="Q1188" s="29"/>
      <c r="R1188" s="30"/>
    </row>
    <row r="1189" spans="1:18">
      <c r="A1189" s="16"/>
      <c r="B1189" s="11"/>
      <c r="C1189" s="126"/>
      <c r="D1189" s="126"/>
      <c r="E1189" s="126"/>
      <c r="F1189" s="126"/>
      <c r="G1189" s="126"/>
      <c r="H1189" s="126"/>
      <c r="I1189" s="126"/>
      <c r="J1189" s="126"/>
      <c r="K1189" s="126"/>
      <c r="L1189" s="126"/>
      <c r="M1189" s="126"/>
      <c r="N1189" s="126"/>
      <c r="O1189" s="126"/>
      <c r="P1189" s="11"/>
      <c r="Q1189" s="29"/>
      <c r="R1189" s="30"/>
    </row>
    <row r="1190" spans="1:18">
      <c r="A1190" s="16"/>
      <c r="B1190" s="11"/>
      <c r="C1190" s="126"/>
      <c r="D1190" s="126"/>
      <c r="E1190" s="126"/>
      <c r="F1190" s="126"/>
      <c r="G1190" s="126"/>
      <c r="H1190" s="126"/>
      <c r="I1190" s="126"/>
      <c r="J1190" s="126"/>
      <c r="K1190" s="126"/>
      <c r="L1190" s="126"/>
      <c r="M1190" s="126"/>
      <c r="N1190" s="126"/>
      <c r="O1190" s="126"/>
      <c r="P1190" s="11"/>
      <c r="Q1190" s="29"/>
      <c r="R1190" s="30"/>
    </row>
    <row r="1191" spans="1:18">
      <c r="A1191" s="16"/>
      <c r="B1191" s="11"/>
      <c r="C1191" s="126"/>
      <c r="D1191" s="126"/>
      <c r="E1191" s="126"/>
      <c r="F1191" s="126"/>
      <c r="G1191" s="126"/>
      <c r="H1191" s="126"/>
      <c r="I1191" s="126"/>
      <c r="J1191" s="126"/>
      <c r="K1191" s="126"/>
      <c r="L1191" s="126"/>
      <c r="M1191" s="126"/>
      <c r="N1191" s="126"/>
      <c r="O1191" s="126"/>
      <c r="P1191" s="11"/>
      <c r="Q1191" s="29"/>
      <c r="R1191" s="30"/>
    </row>
    <row r="1192" spans="1:18">
      <c r="A1192" s="16"/>
      <c r="B1192" s="11"/>
      <c r="C1192" s="126"/>
      <c r="D1192" s="126"/>
      <c r="E1192" s="126"/>
      <c r="F1192" s="126"/>
      <c r="G1192" s="126"/>
      <c r="H1192" s="126"/>
      <c r="I1192" s="126"/>
      <c r="J1192" s="126"/>
      <c r="K1192" s="126"/>
      <c r="L1192" s="126"/>
      <c r="M1192" s="126"/>
      <c r="N1192" s="126"/>
      <c r="O1192" s="126"/>
      <c r="P1192" s="11"/>
      <c r="Q1192" s="29"/>
      <c r="R1192" s="30"/>
    </row>
    <row r="1193" spans="1:18">
      <c r="A1193" s="16"/>
      <c r="B1193" s="11"/>
      <c r="C1193" s="126"/>
      <c r="D1193" s="126"/>
      <c r="E1193" s="126"/>
      <c r="F1193" s="126"/>
      <c r="G1193" s="126"/>
      <c r="H1193" s="126"/>
      <c r="I1193" s="126"/>
      <c r="J1193" s="126"/>
      <c r="K1193" s="126"/>
      <c r="L1193" s="126"/>
      <c r="M1193" s="126"/>
      <c r="N1193" s="126"/>
      <c r="O1193" s="126"/>
      <c r="P1193" s="11"/>
      <c r="Q1193" s="29"/>
      <c r="R1193" s="30"/>
    </row>
    <row r="1194" spans="1:18">
      <c r="A1194" s="16"/>
      <c r="B1194" s="11"/>
      <c r="C1194" s="126"/>
      <c r="D1194" s="126"/>
      <c r="E1194" s="126"/>
      <c r="F1194" s="126"/>
      <c r="G1194" s="126"/>
      <c r="H1194" s="126"/>
      <c r="I1194" s="126"/>
      <c r="J1194" s="126"/>
      <c r="K1194" s="126"/>
      <c r="L1194" s="126"/>
      <c r="M1194" s="126"/>
      <c r="N1194" s="126"/>
      <c r="O1194" s="126"/>
      <c r="P1194" s="11"/>
      <c r="Q1194" s="29"/>
      <c r="R1194" s="30"/>
    </row>
    <row r="1195" spans="1:18">
      <c r="A1195" s="16"/>
      <c r="B1195" s="11"/>
      <c r="C1195" s="126"/>
      <c r="D1195" s="126"/>
      <c r="E1195" s="126"/>
      <c r="F1195" s="126"/>
      <c r="G1195" s="126"/>
      <c r="H1195" s="126"/>
      <c r="I1195" s="126"/>
      <c r="J1195" s="126"/>
      <c r="K1195" s="126"/>
      <c r="L1195" s="126"/>
      <c r="M1195" s="126"/>
      <c r="N1195" s="126"/>
      <c r="O1195" s="126"/>
      <c r="P1195" s="11"/>
      <c r="Q1195" s="29"/>
      <c r="R1195" s="30"/>
    </row>
    <row r="1196" spans="1:18">
      <c r="A1196" s="16"/>
      <c r="B1196" s="11"/>
      <c r="C1196" s="126"/>
      <c r="D1196" s="126"/>
      <c r="E1196" s="126"/>
      <c r="F1196" s="126"/>
      <c r="G1196" s="126"/>
      <c r="H1196" s="126"/>
      <c r="I1196" s="126"/>
      <c r="J1196" s="126"/>
      <c r="K1196" s="126"/>
      <c r="L1196" s="126"/>
      <c r="M1196" s="126"/>
      <c r="N1196" s="126"/>
      <c r="O1196" s="126"/>
      <c r="P1196" s="11"/>
      <c r="Q1196" s="29"/>
      <c r="R1196" s="30"/>
    </row>
    <row r="1197" spans="1:18">
      <c r="A1197" s="16"/>
      <c r="B1197" s="11"/>
      <c r="C1197" s="126"/>
      <c r="D1197" s="126"/>
      <c r="E1197" s="126"/>
      <c r="F1197" s="126"/>
      <c r="G1197" s="126"/>
      <c r="H1197" s="126"/>
      <c r="I1197" s="126"/>
      <c r="J1197" s="126"/>
      <c r="K1197" s="126"/>
      <c r="L1197" s="126"/>
      <c r="M1197" s="126"/>
      <c r="N1197" s="126"/>
      <c r="O1197" s="126"/>
      <c r="P1197" s="11"/>
      <c r="Q1197" s="29"/>
      <c r="R1197" s="30"/>
    </row>
    <row r="1198" spans="1:18">
      <c r="A1198" s="16"/>
      <c r="B1198" s="11"/>
      <c r="C1198" s="126"/>
      <c r="D1198" s="126"/>
      <c r="E1198" s="126"/>
      <c r="F1198" s="126"/>
      <c r="G1198" s="126"/>
      <c r="H1198" s="126"/>
      <c r="I1198" s="126"/>
      <c r="J1198" s="126"/>
      <c r="K1198" s="126"/>
      <c r="L1198" s="126"/>
      <c r="M1198" s="126"/>
      <c r="N1198" s="126"/>
      <c r="O1198" s="126"/>
      <c r="P1198" s="11"/>
      <c r="Q1198" s="29"/>
      <c r="R1198" s="30"/>
    </row>
    <row r="1199" spans="1:18">
      <c r="A1199" s="16"/>
      <c r="B1199" s="11"/>
      <c r="C1199" s="126"/>
      <c r="D1199" s="126"/>
      <c r="E1199" s="126"/>
      <c r="F1199" s="126"/>
      <c r="G1199" s="126"/>
      <c r="H1199" s="126"/>
      <c r="I1199" s="126"/>
      <c r="J1199" s="126"/>
      <c r="K1199" s="126"/>
      <c r="L1199" s="126"/>
      <c r="M1199" s="126"/>
      <c r="N1199" s="126"/>
      <c r="O1199" s="126"/>
      <c r="P1199" s="11"/>
      <c r="Q1199" s="29"/>
      <c r="R1199" s="30"/>
    </row>
    <row r="1200" spans="1:18">
      <c r="A1200" s="16"/>
      <c r="B1200" s="11"/>
      <c r="C1200" s="126"/>
      <c r="D1200" s="126"/>
      <c r="E1200" s="126"/>
      <c r="F1200" s="126"/>
      <c r="G1200" s="126"/>
      <c r="H1200" s="126"/>
      <c r="I1200" s="126"/>
      <c r="J1200" s="126"/>
      <c r="K1200" s="126"/>
      <c r="L1200" s="126"/>
      <c r="M1200" s="126"/>
      <c r="N1200" s="126"/>
      <c r="O1200" s="126"/>
      <c r="P1200" s="11"/>
      <c r="Q1200" s="29"/>
      <c r="R1200" s="30"/>
    </row>
    <row r="1201" spans="1:18">
      <c r="A1201" s="16"/>
      <c r="B1201" s="11"/>
      <c r="C1201" s="126"/>
      <c r="D1201" s="126"/>
      <c r="E1201" s="126"/>
      <c r="F1201" s="126"/>
      <c r="G1201" s="126"/>
      <c r="H1201" s="126"/>
      <c r="I1201" s="126"/>
      <c r="J1201" s="126"/>
      <c r="K1201" s="126"/>
      <c r="L1201" s="126"/>
      <c r="M1201" s="126"/>
      <c r="N1201" s="126"/>
      <c r="O1201" s="126"/>
      <c r="P1201" s="11"/>
      <c r="Q1201" s="29"/>
      <c r="R1201" s="30"/>
    </row>
    <row r="1202" spans="1:18">
      <c r="A1202" s="16"/>
      <c r="B1202" s="11"/>
      <c r="C1202" s="126"/>
      <c r="D1202" s="126"/>
      <c r="E1202" s="126"/>
      <c r="F1202" s="126"/>
      <c r="G1202" s="126"/>
      <c r="H1202" s="126"/>
      <c r="I1202" s="126"/>
      <c r="J1202" s="126"/>
      <c r="K1202" s="126"/>
      <c r="L1202" s="126"/>
      <c r="M1202" s="126"/>
      <c r="N1202" s="126"/>
      <c r="O1202" s="126"/>
      <c r="P1202" s="11"/>
      <c r="Q1202" s="29"/>
      <c r="R1202" s="30"/>
    </row>
    <row r="1203" spans="1:18">
      <c r="A1203" s="16"/>
      <c r="B1203" s="11"/>
      <c r="C1203" s="126"/>
      <c r="D1203" s="126"/>
      <c r="E1203" s="126"/>
      <c r="F1203" s="126"/>
      <c r="G1203" s="126"/>
      <c r="H1203" s="126"/>
      <c r="I1203" s="126"/>
      <c r="J1203" s="126"/>
      <c r="K1203" s="126"/>
      <c r="L1203" s="126"/>
      <c r="M1203" s="126"/>
      <c r="N1203" s="126"/>
      <c r="O1203" s="126"/>
      <c r="P1203" s="11"/>
      <c r="Q1203" s="29"/>
      <c r="R1203" s="30"/>
    </row>
    <row r="1204" spans="1:18">
      <c r="A1204" s="16"/>
      <c r="B1204" s="11"/>
      <c r="C1204" s="126"/>
      <c r="D1204" s="126"/>
      <c r="E1204" s="126"/>
      <c r="F1204" s="126"/>
      <c r="G1204" s="126"/>
      <c r="H1204" s="126"/>
      <c r="I1204" s="126"/>
      <c r="J1204" s="126"/>
      <c r="K1204" s="126"/>
      <c r="L1204" s="126"/>
      <c r="M1204" s="126"/>
      <c r="N1204" s="126"/>
      <c r="O1204" s="126"/>
      <c r="P1204" s="11"/>
      <c r="Q1204" s="29"/>
      <c r="R1204" s="30"/>
    </row>
    <row r="1205" spans="1:18">
      <c r="A1205" s="16"/>
      <c r="B1205" s="11"/>
      <c r="C1205" s="126"/>
      <c r="D1205" s="126"/>
      <c r="E1205" s="126"/>
      <c r="F1205" s="126"/>
      <c r="G1205" s="126"/>
      <c r="H1205" s="126"/>
      <c r="I1205" s="126"/>
      <c r="J1205" s="126"/>
      <c r="K1205" s="126"/>
      <c r="L1205" s="126"/>
      <c r="M1205" s="126"/>
      <c r="N1205" s="126"/>
      <c r="O1205" s="126"/>
      <c r="P1205" s="11"/>
      <c r="Q1205" s="29"/>
      <c r="R1205" s="30"/>
    </row>
    <row r="1206" spans="1:18">
      <c r="A1206" s="16"/>
      <c r="B1206" s="11"/>
      <c r="C1206" s="126"/>
      <c r="D1206" s="126"/>
      <c r="E1206" s="126"/>
      <c r="F1206" s="126"/>
      <c r="G1206" s="126"/>
      <c r="H1206" s="126"/>
      <c r="I1206" s="126"/>
      <c r="J1206" s="126"/>
      <c r="K1206" s="126"/>
      <c r="L1206" s="126"/>
      <c r="M1206" s="126"/>
      <c r="N1206" s="126"/>
      <c r="O1206" s="126"/>
      <c r="P1206" s="11"/>
      <c r="Q1206" s="29"/>
      <c r="R1206" s="30"/>
    </row>
    <row r="1207" spans="1:18">
      <c r="A1207" s="16"/>
      <c r="B1207" s="11"/>
      <c r="C1207" s="126"/>
      <c r="D1207" s="126"/>
      <c r="E1207" s="126"/>
      <c r="F1207" s="126"/>
      <c r="G1207" s="126"/>
      <c r="H1207" s="126"/>
      <c r="I1207" s="126"/>
      <c r="J1207" s="126"/>
      <c r="K1207" s="126"/>
      <c r="L1207" s="126"/>
      <c r="M1207" s="126"/>
      <c r="N1207" s="126"/>
      <c r="O1207" s="126"/>
      <c r="P1207" s="11"/>
      <c r="Q1207" s="29"/>
      <c r="R1207" s="30"/>
    </row>
    <row r="1208" spans="1:18">
      <c r="A1208" s="16"/>
      <c r="B1208" s="11"/>
      <c r="C1208" s="126"/>
      <c r="D1208" s="126"/>
      <c r="E1208" s="126"/>
      <c r="F1208" s="126"/>
      <c r="G1208" s="126"/>
      <c r="H1208" s="126"/>
      <c r="I1208" s="126"/>
      <c r="J1208" s="126"/>
      <c r="K1208" s="126"/>
      <c r="L1208" s="126"/>
      <c r="M1208" s="126"/>
      <c r="N1208" s="126"/>
      <c r="O1208" s="126"/>
      <c r="P1208" s="11"/>
      <c r="Q1208" s="29"/>
      <c r="R1208" s="30"/>
    </row>
    <row r="1209" spans="1:18">
      <c r="A1209" s="16"/>
      <c r="B1209" s="11"/>
      <c r="C1209" s="126"/>
      <c r="D1209" s="126"/>
      <c r="E1209" s="126"/>
      <c r="F1209" s="126"/>
      <c r="G1209" s="126"/>
      <c r="H1209" s="126"/>
      <c r="I1209" s="126"/>
      <c r="J1209" s="126"/>
      <c r="K1209" s="126"/>
      <c r="L1209" s="126"/>
      <c r="M1209" s="126"/>
      <c r="N1209" s="126"/>
      <c r="O1209" s="126"/>
      <c r="P1209" s="11"/>
      <c r="Q1209" s="29"/>
      <c r="R1209" s="30"/>
    </row>
    <row r="1210" spans="1:18">
      <c r="A1210" s="16"/>
      <c r="B1210" s="11"/>
      <c r="C1210" s="126"/>
      <c r="D1210" s="126"/>
      <c r="E1210" s="126"/>
      <c r="F1210" s="126"/>
      <c r="G1210" s="126"/>
      <c r="H1210" s="126"/>
      <c r="I1210" s="126"/>
      <c r="J1210" s="126"/>
      <c r="K1210" s="126"/>
      <c r="L1210" s="126"/>
      <c r="M1210" s="126"/>
      <c r="N1210" s="126"/>
      <c r="O1210" s="126"/>
      <c r="P1210" s="11"/>
      <c r="Q1210" s="29"/>
      <c r="R1210" s="30"/>
    </row>
    <row r="1211" spans="1:18">
      <c r="A1211" s="16"/>
      <c r="B1211" s="11"/>
      <c r="C1211" s="126"/>
      <c r="D1211" s="126"/>
      <c r="E1211" s="126"/>
      <c r="F1211" s="126"/>
      <c r="G1211" s="126"/>
      <c r="H1211" s="126"/>
      <c r="I1211" s="126"/>
      <c r="J1211" s="126"/>
      <c r="K1211" s="126"/>
      <c r="L1211" s="126"/>
      <c r="M1211" s="126"/>
      <c r="N1211" s="126"/>
      <c r="O1211" s="126"/>
      <c r="P1211" s="11"/>
      <c r="Q1211" s="29"/>
      <c r="R1211" s="30"/>
    </row>
    <row r="1212" spans="1:18">
      <c r="A1212" s="16"/>
      <c r="B1212" s="11"/>
      <c r="C1212" s="126"/>
      <c r="D1212" s="126"/>
      <c r="E1212" s="126"/>
      <c r="F1212" s="126"/>
      <c r="G1212" s="126"/>
      <c r="H1212" s="126"/>
      <c r="I1212" s="126"/>
      <c r="J1212" s="126"/>
      <c r="K1212" s="126"/>
      <c r="L1212" s="126"/>
      <c r="M1212" s="126"/>
      <c r="N1212" s="126"/>
      <c r="O1212" s="126"/>
      <c r="P1212" s="11"/>
      <c r="Q1212" s="29"/>
      <c r="R1212" s="30"/>
    </row>
    <row r="1213" spans="1:18">
      <c r="A1213" s="16"/>
      <c r="B1213" s="11"/>
      <c r="C1213" s="126"/>
      <c r="D1213" s="126"/>
      <c r="E1213" s="126"/>
      <c r="F1213" s="126"/>
      <c r="G1213" s="126"/>
      <c r="H1213" s="126"/>
      <c r="I1213" s="126"/>
      <c r="J1213" s="126"/>
      <c r="K1213" s="126"/>
      <c r="L1213" s="126"/>
      <c r="M1213" s="126"/>
      <c r="N1213" s="126"/>
      <c r="O1213" s="126"/>
      <c r="P1213" s="11"/>
      <c r="Q1213" s="29"/>
      <c r="R1213" s="30"/>
    </row>
    <row r="1214" spans="1:18">
      <c r="A1214" s="10"/>
      <c r="B1214" s="11"/>
      <c r="C1214" s="126"/>
      <c r="D1214" s="126"/>
      <c r="E1214" s="126"/>
      <c r="F1214" s="126"/>
      <c r="G1214" s="126"/>
      <c r="H1214" s="126"/>
      <c r="I1214" s="126"/>
      <c r="J1214" s="126"/>
      <c r="K1214" s="126"/>
      <c r="L1214" s="126"/>
      <c r="M1214" s="126"/>
      <c r="N1214" s="126"/>
      <c r="O1214" s="126"/>
      <c r="P1214" s="11"/>
      <c r="Q1214" s="29"/>
    </row>
    <row r="1215" spans="1:18">
      <c r="A1215" s="16"/>
      <c r="B1215" s="11"/>
      <c r="C1215" s="126"/>
      <c r="D1215" s="126"/>
      <c r="E1215" s="126"/>
      <c r="F1215" s="126"/>
      <c r="G1215" s="126"/>
      <c r="H1215" s="126"/>
      <c r="I1215" s="126"/>
      <c r="J1215" s="126"/>
      <c r="K1215" s="126"/>
      <c r="L1215" s="126"/>
      <c r="M1215" s="126"/>
      <c r="N1215" s="126"/>
      <c r="O1215" s="126"/>
      <c r="P1215" s="11"/>
      <c r="Q1215" s="29"/>
    </row>
    <row r="1216" spans="1:18">
      <c r="A1216" s="10"/>
      <c r="B1216" s="11"/>
      <c r="C1216" s="126"/>
      <c r="D1216" s="126"/>
      <c r="E1216" s="126"/>
      <c r="F1216" s="126"/>
      <c r="G1216" s="126"/>
      <c r="H1216" s="126"/>
      <c r="I1216" s="126"/>
      <c r="J1216" s="126"/>
      <c r="K1216" s="126"/>
      <c r="L1216" s="126"/>
      <c r="M1216" s="126"/>
      <c r="N1216" s="126"/>
      <c r="O1216" s="126"/>
      <c r="P1216" s="11"/>
      <c r="Q1216" s="29"/>
    </row>
    <row r="1217" spans="1:17">
      <c r="A1217" s="10"/>
      <c r="B1217" s="11"/>
      <c r="C1217" s="126"/>
      <c r="D1217" s="126"/>
      <c r="E1217" s="126"/>
      <c r="F1217" s="126"/>
      <c r="G1217" s="126"/>
      <c r="H1217" s="126"/>
      <c r="I1217" s="126"/>
      <c r="J1217" s="126"/>
      <c r="K1217" s="126"/>
      <c r="L1217" s="126"/>
      <c r="M1217" s="126"/>
      <c r="N1217" s="126"/>
      <c r="O1217" s="126"/>
      <c r="P1217" s="11"/>
      <c r="Q1217" s="29"/>
    </row>
    <row r="1218" spans="1:17">
      <c r="A1218" s="16"/>
      <c r="B1218" s="11"/>
      <c r="C1218" s="126"/>
      <c r="D1218" s="126"/>
      <c r="E1218" s="126"/>
      <c r="F1218" s="126"/>
      <c r="G1218" s="126"/>
      <c r="H1218" s="126"/>
      <c r="I1218" s="126"/>
      <c r="J1218" s="126"/>
      <c r="K1218" s="126"/>
      <c r="L1218" s="126"/>
      <c r="M1218" s="126"/>
      <c r="N1218" s="126"/>
      <c r="O1218" s="126"/>
      <c r="P1218" s="11"/>
      <c r="Q1218" s="29"/>
    </row>
    <row r="1219" spans="1:17">
      <c r="A1219" s="16"/>
      <c r="B1219" s="11"/>
      <c r="C1219" s="126"/>
      <c r="D1219" s="126"/>
      <c r="E1219" s="126"/>
      <c r="F1219" s="126"/>
      <c r="G1219" s="126"/>
      <c r="H1219" s="126"/>
      <c r="I1219" s="126"/>
      <c r="J1219" s="126"/>
      <c r="K1219" s="126"/>
      <c r="L1219" s="126"/>
      <c r="M1219" s="126"/>
      <c r="N1219" s="126"/>
      <c r="O1219" s="126"/>
      <c r="P1219" s="11"/>
      <c r="Q1219" s="29"/>
    </row>
    <row r="1220" spans="1:17">
      <c r="A1220" s="16"/>
      <c r="B1220" s="11"/>
      <c r="C1220" s="126"/>
      <c r="D1220" s="126"/>
      <c r="E1220" s="126"/>
      <c r="F1220" s="126"/>
      <c r="G1220" s="126"/>
      <c r="H1220" s="126"/>
      <c r="I1220" s="126"/>
      <c r="J1220" s="126"/>
      <c r="K1220" s="126"/>
      <c r="L1220" s="126"/>
      <c r="M1220" s="126"/>
      <c r="N1220" s="126"/>
      <c r="O1220" s="126"/>
      <c r="P1220" s="11"/>
      <c r="Q1220" s="29"/>
    </row>
    <row r="1221" spans="1:17">
      <c r="A1221" s="16"/>
      <c r="B1221" s="11"/>
      <c r="C1221" s="126"/>
      <c r="D1221" s="126"/>
      <c r="E1221" s="126"/>
      <c r="F1221" s="126"/>
      <c r="G1221" s="126"/>
      <c r="H1221" s="126"/>
      <c r="I1221" s="126"/>
      <c r="J1221" s="126"/>
      <c r="K1221" s="126"/>
      <c r="L1221" s="126"/>
      <c r="M1221" s="126"/>
      <c r="N1221" s="126"/>
      <c r="O1221" s="126"/>
      <c r="P1221" s="11"/>
      <c r="Q1221" s="29"/>
    </row>
    <row r="1222" spans="1:17">
      <c r="A1222" s="16"/>
      <c r="B1222" s="11"/>
      <c r="C1222" s="126"/>
      <c r="D1222" s="126"/>
      <c r="E1222" s="126"/>
      <c r="F1222" s="126"/>
      <c r="G1222" s="126"/>
      <c r="H1222" s="126"/>
      <c r="I1222" s="126"/>
      <c r="J1222" s="126"/>
      <c r="K1222" s="126"/>
      <c r="L1222" s="126"/>
      <c r="M1222" s="126"/>
      <c r="N1222" s="126"/>
      <c r="O1222" s="126"/>
      <c r="P1222" s="11"/>
      <c r="Q1222" s="29"/>
    </row>
    <row r="1223" spans="1:17">
      <c r="A1223" s="16"/>
      <c r="B1223" s="11"/>
      <c r="C1223" s="126"/>
      <c r="D1223" s="126"/>
      <c r="E1223" s="126"/>
      <c r="F1223" s="126"/>
      <c r="G1223" s="126"/>
      <c r="H1223" s="126"/>
      <c r="I1223" s="126"/>
      <c r="J1223" s="126"/>
      <c r="K1223" s="126"/>
      <c r="L1223" s="126"/>
      <c r="M1223" s="126"/>
      <c r="N1223" s="126"/>
      <c r="O1223" s="126"/>
      <c r="P1223" s="11"/>
      <c r="Q1223" s="29"/>
    </row>
    <row r="1224" spans="1:17">
      <c r="A1224" s="16"/>
      <c r="B1224" s="11"/>
      <c r="C1224" s="126"/>
      <c r="D1224" s="126"/>
      <c r="E1224" s="126"/>
      <c r="F1224" s="126"/>
      <c r="G1224" s="126"/>
      <c r="H1224" s="126"/>
      <c r="I1224" s="126"/>
      <c r="J1224" s="126"/>
      <c r="K1224" s="126"/>
      <c r="L1224" s="126"/>
      <c r="M1224" s="126"/>
      <c r="N1224" s="126"/>
      <c r="O1224" s="126"/>
      <c r="P1224" s="11"/>
      <c r="Q1224" s="29"/>
    </row>
    <row r="1225" spans="1:17">
      <c r="A1225" s="16"/>
      <c r="B1225" s="11"/>
      <c r="C1225" s="126"/>
      <c r="D1225" s="126"/>
      <c r="E1225" s="126"/>
      <c r="F1225" s="126"/>
      <c r="G1225" s="126"/>
      <c r="H1225" s="126"/>
      <c r="I1225" s="126"/>
      <c r="J1225" s="126"/>
      <c r="K1225" s="126"/>
      <c r="L1225" s="126"/>
      <c r="M1225" s="126"/>
      <c r="N1225" s="126"/>
      <c r="O1225" s="126"/>
      <c r="P1225" s="11"/>
      <c r="Q1225" s="29"/>
    </row>
    <row r="1226" spans="1:17">
      <c r="A1226" s="16"/>
      <c r="B1226" s="11"/>
      <c r="C1226" s="126"/>
      <c r="D1226" s="126"/>
      <c r="E1226" s="126"/>
      <c r="F1226" s="126"/>
      <c r="G1226" s="126"/>
      <c r="H1226" s="126"/>
      <c r="I1226" s="126"/>
      <c r="J1226" s="126"/>
      <c r="K1226" s="126"/>
      <c r="L1226" s="126"/>
      <c r="M1226" s="126"/>
      <c r="N1226" s="126"/>
      <c r="O1226" s="126"/>
      <c r="P1226" s="11"/>
      <c r="Q1226" s="29"/>
    </row>
    <row r="1227" spans="1:17">
      <c r="A1227" s="16"/>
      <c r="B1227" s="11"/>
      <c r="C1227" s="126"/>
      <c r="D1227" s="126"/>
      <c r="E1227" s="126"/>
      <c r="F1227" s="126"/>
      <c r="G1227" s="126"/>
      <c r="H1227" s="126"/>
      <c r="I1227" s="126"/>
      <c r="J1227" s="126"/>
      <c r="K1227" s="126"/>
      <c r="L1227" s="126"/>
      <c r="M1227" s="126"/>
      <c r="N1227" s="126"/>
      <c r="O1227" s="126"/>
      <c r="P1227" s="11"/>
      <c r="Q1227" s="29"/>
    </row>
    <row r="1228" spans="1:17">
      <c r="A1228" s="16"/>
      <c r="B1228" s="11"/>
      <c r="C1228" s="126"/>
      <c r="D1228" s="126"/>
      <c r="E1228" s="126"/>
      <c r="F1228" s="126"/>
      <c r="G1228" s="126"/>
      <c r="H1228" s="126"/>
      <c r="I1228" s="126"/>
      <c r="J1228" s="126"/>
      <c r="K1228" s="126"/>
      <c r="L1228" s="126"/>
      <c r="M1228" s="126"/>
      <c r="N1228" s="126"/>
      <c r="O1228" s="126"/>
      <c r="P1228" s="11"/>
      <c r="Q1228" s="29"/>
    </row>
    <row r="1229" spans="1:17">
      <c r="A1229" s="16"/>
      <c r="B1229" s="11"/>
      <c r="C1229" s="126"/>
      <c r="D1229" s="126"/>
      <c r="E1229" s="126"/>
      <c r="F1229" s="126"/>
      <c r="G1229" s="126"/>
      <c r="H1229" s="126"/>
      <c r="I1229" s="126"/>
      <c r="J1229" s="126"/>
      <c r="K1229" s="126"/>
      <c r="L1229" s="126"/>
      <c r="M1229" s="126"/>
      <c r="N1229" s="126"/>
      <c r="O1229" s="126"/>
      <c r="P1229" s="11"/>
      <c r="Q1229" s="29"/>
    </row>
    <row r="1230" spans="1:17">
      <c r="A1230" s="16"/>
      <c r="B1230" s="11"/>
      <c r="C1230" s="126"/>
      <c r="D1230" s="126"/>
      <c r="E1230" s="126"/>
      <c r="F1230" s="126"/>
      <c r="G1230" s="126"/>
      <c r="H1230" s="126"/>
      <c r="I1230" s="126"/>
      <c r="J1230" s="126"/>
      <c r="K1230" s="126"/>
      <c r="L1230" s="126"/>
      <c r="M1230" s="126"/>
      <c r="N1230" s="126"/>
      <c r="O1230" s="126"/>
      <c r="P1230" s="11"/>
      <c r="Q1230" s="29"/>
    </row>
    <row r="1231" spans="1:17">
      <c r="A1231" s="16"/>
      <c r="B1231" s="11"/>
      <c r="C1231" s="126"/>
      <c r="D1231" s="126"/>
      <c r="E1231" s="126"/>
      <c r="F1231" s="126"/>
      <c r="G1231" s="126"/>
      <c r="H1231" s="126"/>
      <c r="I1231" s="126"/>
      <c r="J1231" s="126"/>
      <c r="K1231" s="126"/>
      <c r="L1231" s="126"/>
      <c r="M1231" s="126"/>
      <c r="N1231" s="126"/>
      <c r="O1231" s="126"/>
      <c r="P1231" s="11"/>
      <c r="Q1231" s="29"/>
    </row>
    <row r="1232" spans="1:17">
      <c r="A1232" s="16"/>
      <c r="B1232" s="11"/>
      <c r="C1232" s="126"/>
      <c r="D1232" s="126"/>
      <c r="E1232" s="126"/>
      <c r="F1232" s="126"/>
      <c r="G1232" s="126"/>
      <c r="H1232" s="126"/>
      <c r="I1232" s="126"/>
      <c r="J1232" s="126"/>
      <c r="K1232" s="126"/>
      <c r="L1232" s="126"/>
      <c r="M1232" s="126"/>
      <c r="N1232" s="126"/>
      <c r="O1232" s="126"/>
      <c r="P1232" s="11"/>
      <c r="Q1232" s="29"/>
    </row>
    <row r="1233" spans="1:17">
      <c r="A1233" s="16"/>
      <c r="B1233" s="11"/>
      <c r="C1233" s="126"/>
      <c r="D1233" s="126"/>
      <c r="E1233" s="126"/>
      <c r="F1233" s="126"/>
      <c r="G1233" s="126"/>
      <c r="H1233" s="126"/>
      <c r="I1233" s="126"/>
      <c r="J1233" s="126"/>
      <c r="K1233" s="126"/>
      <c r="L1233" s="126"/>
      <c r="M1233" s="126"/>
      <c r="N1233" s="126"/>
      <c r="O1233" s="126"/>
      <c r="P1233" s="11"/>
      <c r="Q1233" s="29"/>
    </row>
    <row r="1234" spans="1:17">
      <c r="A1234" s="16"/>
      <c r="B1234" s="11"/>
      <c r="C1234" s="126"/>
      <c r="D1234" s="126"/>
      <c r="E1234" s="126"/>
      <c r="F1234" s="126"/>
      <c r="G1234" s="126"/>
      <c r="H1234" s="126"/>
      <c r="I1234" s="126"/>
      <c r="J1234" s="126"/>
      <c r="K1234" s="126"/>
      <c r="L1234" s="126"/>
      <c r="M1234" s="126"/>
      <c r="N1234" s="126"/>
      <c r="O1234" s="126"/>
      <c r="P1234" s="11"/>
      <c r="Q1234" s="29"/>
    </row>
    <row r="1235" spans="1:17">
      <c r="A1235" s="16"/>
      <c r="B1235" s="11"/>
      <c r="C1235" s="126"/>
      <c r="D1235" s="126"/>
      <c r="E1235" s="126"/>
      <c r="F1235" s="126"/>
      <c r="G1235" s="126"/>
      <c r="H1235" s="126"/>
      <c r="I1235" s="126"/>
      <c r="J1235" s="126"/>
      <c r="K1235" s="126"/>
      <c r="L1235" s="126"/>
      <c r="M1235" s="126"/>
      <c r="N1235" s="126"/>
      <c r="O1235" s="126"/>
      <c r="P1235" s="11"/>
      <c r="Q1235" s="29"/>
    </row>
    <row r="1236" spans="1:17">
      <c r="A1236" s="16"/>
      <c r="B1236" s="11"/>
      <c r="C1236" s="126"/>
      <c r="D1236" s="126"/>
      <c r="E1236" s="126"/>
      <c r="F1236" s="126"/>
      <c r="G1236" s="126"/>
      <c r="H1236" s="126"/>
      <c r="I1236" s="126"/>
      <c r="J1236" s="126"/>
      <c r="K1236" s="126"/>
      <c r="L1236" s="126"/>
      <c r="M1236" s="126"/>
      <c r="N1236" s="126"/>
      <c r="O1236" s="126"/>
      <c r="P1236" s="11"/>
      <c r="Q1236" s="29"/>
    </row>
    <row r="1237" spans="1:17">
      <c r="A1237" s="16"/>
      <c r="B1237" s="11"/>
      <c r="C1237" s="126"/>
      <c r="D1237" s="126"/>
      <c r="E1237" s="126"/>
      <c r="F1237" s="126"/>
      <c r="G1237" s="126"/>
      <c r="H1237" s="126"/>
      <c r="I1237" s="126"/>
      <c r="J1237" s="126"/>
      <c r="K1237" s="126"/>
      <c r="L1237" s="126"/>
      <c r="M1237" s="126"/>
      <c r="N1237" s="126"/>
      <c r="O1237" s="126"/>
      <c r="P1237" s="11"/>
      <c r="Q1237" s="29"/>
    </row>
    <row r="1238" spans="1:17">
      <c r="A1238" s="16"/>
      <c r="B1238" s="11"/>
      <c r="C1238" s="126"/>
      <c r="D1238" s="126"/>
      <c r="E1238" s="126"/>
      <c r="F1238" s="126"/>
      <c r="G1238" s="126"/>
      <c r="H1238" s="126"/>
      <c r="I1238" s="126"/>
      <c r="J1238" s="126"/>
      <c r="K1238" s="126"/>
      <c r="L1238" s="126"/>
      <c r="M1238" s="126"/>
      <c r="N1238" s="126"/>
      <c r="O1238" s="126"/>
      <c r="P1238" s="11"/>
      <c r="Q1238" s="29"/>
    </row>
    <row r="1239" spans="1:17">
      <c r="A1239" s="16"/>
      <c r="B1239" s="11"/>
      <c r="C1239" s="126"/>
      <c r="D1239" s="126"/>
      <c r="E1239" s="126"/>
      <c r="F1239" s="126"/>
      <c r="G1239" s="126"/>
      <c r="H1239" s="126"/>
      <c r="I1239" s="126"/>
      <c r="J1239" s="126"/>
      <c r="K1239" s="126"/>
      <c r="L1239" s="126"/>
      <c r="M1239" s="126"/>
      <c r="N1239" s="126"/>
      <c r="O1239" s="126"/>
      <c r="P1239" s="11"/>
      <c r="Q1239" s="29"/>
    </row>
    <row r="1240" spans="1:17">
      <c r="A1240" s="16"/>
      <c r="B1240" s="11"/>
      <c r="C1240" s="126"/>
      <c r="D1240" s="126"/>
      <c r="E1240" s="126"/>
      <c r="F1240" s="126"/>
      <c r="G1240" s="126"/>
      <c r="H1240" s="126"/>
      <c r="I1240" s="126"/>
      <c r="J1240" s="126"/>
      <c r="K1240" s="126"/>
      <c r="L1240" s="126"/>
      <c r="M1240" s="126"/>
      <c r="N1240" s="126"/>
      <c r="O1240" s="126"/>
      <c r="P1240" s="11"/>
      <c r="Q1240" s="29"/>
    </row>
    <row r="1241" spans="1:17">
      <c r="A1241" s="16"/>
      <c r="B1241" s="11"/>
      <c r="C1241" s="126"/>
      <c r="D1241" s="126"/>
      <c r="E1241" s="126"/>
      <c r="F1241" s="126"/>
      <c r="G1241" s="126"/>
      <c r="H1241" s="126"/>
      <c r="I1241" s="126"/>
      <c r="J1241" s="126"/>
      <c r="K1241" s="126"/>
      <c r="L1241" s="126"/>
      <c r="M1241" s="126"/>
      <c r="N1241" s="126"/>
      <c r="O1241" s="126"/>
      <c r="P1241" s="11"/>
      <c r="Q1241" s="29"/>
    </row>
    <row r="1242" spans="1:17">
      <c r="A1242" s="16"/>
      <c r="B1242" s="11"/>
      <c r="C1242" s="126"/>
      <c r="D1242" s="126"/>
      <c r="E1242" s="126"/>
      <c r="F1242" s="126"/>
      <c r="G1242" s="126"/>
      <c r="H1242" s="126"/>
      <c r="I1242" s="126"/>
      <c r="J1242" s="126"/>
      <c r="K1242" s="126"/>
      <c r="L1242" s="126"/>
      <c r="M1242" s="126"/>
      <c r="N1242" s="126"/>
      <c r="O1242" s="126"/>
      <c r="P1242" s="11"/>
      <c r="Q1242" s="29"/>
    </row>
    <row r="1243" spans="1:17">
      <c r="A1243" s="16"/>
      <c r="B1243" s="11"/>
      <c r="C1243" s="126"/>
      <c r="D1243" s="126"/>
      <c r="E1243" s="126"/>
      <c r="F1243" s="126"/>
      <c r="G1243" s="126"/>
      <c r="H1243" s="126"/>
      <c r="I1243" s="126"/>
      <c r="J1243" s="126"/>
      <c r="K1243" s="126"/>
      <c r="L1243" s="126"/>
      <c r="M1243" s="126"/>
      <c r="N1243" s="126"/>
      <c r="O1243" s="126"/>
      <c r="P1243" s="11"/>
      <c r="Q1243" s="29"/>
    </row>
    <row r="1244" spans="1:17">
      <c r="A1244" s="16"/>
      <c r="B1244" s="11"/>
      <c r="C1244" s="126"/>
      <c r="D1244" s="126"/>
      <c r="E1244" s="126"/>
      <c r="F1244" s="126"/>
      <c r="G1244" s="126"/>
      <c r="H1244" s="126"/>
      <c r="I1244" s="126"/>
      <c r="J1244" s="126"/>
      <c r="K1244" s="126"/>
      <c r="L1244" s="126"/>
      <c r="M1244" s="126"/>
      <c r="N1244" s="126"/>
      <c r="O1244" s="126"/>
      <c r="P1244" s="11"/>
      <c r="Q1244" s="29"/>
    </row>
    <row r="1245" spans="1:17">
      <c r="A1245" s="16"/>
      <c r="B1245" s="11"/>
      <c r="C1245" s="126"/>
      <c r="D1245" s="126"/>
      <c r="E1245" s="126"/>
      <c r="F1245" s="126"/>
      <c r="G1245" s="126"/>
      <c r="H1245" s="126"/>
      <c r="I1245" s="126"/>
      <c r="J1245" s="126"/>
      <c r="K1245" s="126"/>
      <c r="L1245" s="126"/>
      <c r="M1245" s="126"/>
      <c r="N1245" s="126"/>
      <c r="O1245" s="126"/>
      <c r="P1245" s="11"/>
      <c r="Q1245" s="29"/>
    </row>
    <row r="1246" spans="1:17">
      <c r="A1246" s="16"/>
      <c r="B1246" s="11"/>
      <c r="C1246" s="126"/>
      <c r="D1246" s="126"/>
      <c r="E1246" s="126"/>
      <c r="F1246" s="126"/>
      <c r="G1246" s="126"/>
      <c r="H1246" s="126"/>
      <c r="I1246" s="126"/>
      <c r="J1246" s="126"/>
      <c r="K1246" s="126"/>
      <c r="L1246" s="126"/>
      <c r="M1246" s="126"/>
      <c r="N1246" s="126"/>
      <c r="O1246" s="126"/>
      <c r="P1246" s="11"/>
      <c r="Q1246" s="29"/>
    </row>
    <row r="1247" spans="1:17">
      <c r="A1247" s="16"/>
      <c r="B1247" s="11"/>
      <c r="C1247" s="126"/>
      <c r="D1247" s="126"/>
      <c r="E1247" s="126"/>
      <c r="F1247" s="126"/>
      <c r="G1247" s="126"/>
      <c r="H1247" s="126"/>
      <c r="I1247" s="126"/>
      <c r="J1247" s="126"/>
      <c r="K1247" s="126"/>
      <c r="L1247" s="126"/>
      <c r="M1247" s="126"/>
      <c r="N1247" s="126"/>
      <c r="O1247" s="126"/>
      <c r="P1247" s="11"/>
      <c r="Q1247" s="29"/>
    </row>
    <row r="1248" spans="1:17">
      <c r="A1248" s="16"/>
      <c r="B1248" s="11"/>
      <c r="C1248" s="126"/>
      <c r="D1248" s="126"/>
      <c r="E1248" s="126"/>
      <c r="F1248" s="126"/>
      <c r="G1248" s="126"/>
      <c r="H1248" s="126"/>
      <c r="I1248" s="126"/>
      <c r="J1248" s="126"/>
      <c r="K1248" s="126"/>
      <c r="L1248" s="126"/>
      <c r="M1248" s="126"/>
      <c r="N1248" s="126"/>
      <c r="O1248" s="126"/>
      <c r="P1248" s="11"/>
      <c r="Q1248" s="29"/>
    </row>
    <row r="1249" spans="1:17">
      <c r="A1249" s="16"/>
      <c r="B1249" s="11"/>
      <c r="C1249" s="126"/>
      <c r="D1249" s="126"/>
      <c r="E1249" s="126"/>
      <c r="F1249" s="126"/>
      <c r="G1249" s="126"/>
      <c r="H1249" s="126"/>
      <c r="I1249" s="126"/>
      <c r="J1249" s="126"/>
      <c r="K1249" s="126"/>
      <c r="L1249" s="126"/>
      <c r="M1249" s="126"/>
      <c r="N1249" s="126"/>
      <c r="O1249" s="126"/>
      <c r="P1249" s="11"/>
      <c r="Q1249" s="29"/>
    </row>
    <row r="1250" spans="1:17">
      <c r="A1250" s="16"/>
      <c r="B1250" s="11"/>
      <c r="C1250" s="126"/>
      <c r="D1250" s="126"/>
      <c r="E1250" s="126"/>
      <c r="F1250" s="126"/>
      <c r="G1250" s="126"/>
      <c r="H1250" s="126"/>
      <c r="I1250" s="126"/>
      <c r="J1250" s="126"/>
      <c r="K1250" s="126"/>
      <c r="L1250" s="126"/>
      <c r="M1250" s="126"/>
      <c r="N1250" s="126"/>
      <c r="O1250" s="126"/>
      <c r="P1250" s="11"/>
      <c r="Q1250" s="29"/>
    </row>
    <row r="1251" spans="1:17">
      <c r="A1251" s="16"/>
      <c r="B1251" s="11"/>
      <c r="C1251" s="126"/>
      <c r="D1251" s="126"/>
      <c r="E1251" s="126"/>
      <c r="F1251" s="126"/>
      <c r="G1251" s="126"/>
      <c r="H1251" s="126"/>
      <c r="I1251" s="126"/>
      <c r="J1251" s="126"/>
      <c r="K1251" s="126"/>
      <c r="L1251" s="126"/>
      <c r="M1251" s="126"/>
      <c r="N1251" s="126"/>
      <c r="O1251" s="126"/>
      <c r="P1251" s="11"/>
      <c r="Q1251" s="29"/>
    </row>
    <row r="1252" spans="1:17">
      <c r="A1252" s="16"/>
      <c r="B1252" s="11"/>
      <c r="C1252" s="126"/>
      <c r="D1252" s="126"/>
      <c r="E1252" s="126"/>
      <c r="F1252" s="126"/>
      <c r="G1252" s="126"/>
      <c r="H1252" s="126"/>
      <c r="I1252" s="126"/>
      <c r="J1252" s="126"/>
      <c r="K1252" s="126"/>
      <c r="L1252" s="126"/>
      <c r="M1252" s="126"/>
      <c r="N1252" s="126"/>
      <c r="O1252" s="126"/>
      <c r="P1252" s="11"/>
      <c r="Q1252" s="29"/>
    </row>
    <row r="1253" spans="1:17">
      <c r="A1253" s="16"/>
      <c r="B1253" s="11"/>
      <c r="C1253" s="126"/>
      <c r="D1253" s="126"/>
      <c r="E1253" s="126"/>
      <c r="F1253" s="126"/>
      <c r="G1253" s="126"/>
      <c r="H1253" s="126"/>
      <c r="I1253" s="126"/>
      <c r="J1253" s="126"/>
      <c r="K1253" s="126"/>
      <c r="L1253" s="126"/>
      <c r="M1253" s="126"/>
      <c r="N1253" s="126"/>
      <c r="O1253" s="126"/>
      <c r="P1253" s="11"/>
    </row>
  </sheetData>
  <phoneticPr fontId="4" type="noConversion"/>
  <hyperlinks>
    <hyperlink ref="T43" r:id="rId1" xr:uid="{816BF6DC-9CBC-418C-9DB9-5B2A44FF5A5A}"/>
  </hyperlinks>
  <pageMargins left="0.7" right="0.7" top="0.75" bottom="0.75" header="0.3" footer="0.3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1C9A1-B840-40A4-9C0B-E97761B6F390}">
  <sheetPr>
    <tabColor rgb="FF92D050"/>
  </sheetPr>
  <dimension ref="A1:T1422"/>
  <sheetViews>
    <sheetView showGridLines="0" zoomScaleNormal="100" workbookViewId="0">
      <selection activeCell="I39" sqref="I39"/>
    </sheetView>
  </sheetViews>
  <sheetFormatPr defaultColWidth="9.140625" defaultRowHeight="12.75"/>
  <cols>
    <col min="1" max="1" width="8.7109375" style="43" customWidth="1"/>
    <col min="2" max="2" width="60.7109375" style="5" customWidth="1"/>
    <col min="3" max="4" width="15.42578125" style="59" customWidth="1"/>
    <col min="5" max="5" width="5" style="29" bestFit="1" customWidth="1"/>
    <col min="6" max="6" width="14.140625" style="62" customWidth="1"/>
    <col min="7" max="7" width="14.28515625" style="44" customWidth="1"/>
    <col min="8" max="8" width="9.85546875" style="44" customWidth="1"/>
    <col min="9" max="9" width="36.7109375" style="44" customWidth="1"/>
    <col min="10" max="11" width="20.7109375" style="5" customWidth="1"/>
    <col min="12" max="12" width="16" style="5" customWidth="1"/>
    <col min="13" max="13" width="11.42578125" style="5" customWidth="1"/>
    <col min="14" max="14" width="9.140625" style="5"/>
    <col min="15" max="15" width="9.28515625" style="5" bestFit="1" customWidth="1"/>
    <col min="16" max="18" width="8.5703125" style="5" customWidth="1"/>
    <col min="19" max="26" width="2.7109375" style="5" customWidth="1"/>
    <col min="27" max="16384" width="9.140625" style="5"/>
  </cols>
  <sheetData>
    <row r="1" spans="1:16">
      <c r="A1" s="19" t="s">
        <v>539</v>
      </c>
      <c r="B1" s="19" t="s">
        <v>540</v>
      </c>
      <c r="C1" s="142" t="s">
        <v>3208</v>
      </c>
      <c r="D1" s="142" t="s">
        <v>3208</v>
      </c>
      <c r="E1" s="21" t="s">
        <v>541</v>
      </c>
      <c r="F1" s="21" t="s">
        <v>543</v>
      </c>
      <c r="G1" s="94"/>
      <c r="H1" s="94"/>
      <c r="I1" s="4"/>
      <c r="J1" s="5" t="s">
        <v>3028</v>
      </c>
    </row>
    <row r="2" spans="1:16">
      <c r="A2" s="96" t="s">
        <v>29</v>
      </c>
      <c r="B2" s="97" t="s">
        <v>3139</v>
      </c>
      <c r="C2" s="143" t="s">
        <v>3206</v>
      </c>
      <c r="D2" s="144">
        <f>MATCH(C2,{"Jan","Feb","Mar","Apr","May","Jun","Jul","Aug","Sep","Oct","Nov","Dec"},0)</f>
        <v>7</v>
      </c>
      <c r="E2" s="12"/>
      <c r="F2" s="29"/>
      <c r="G2" s="5"/>
      <c r="H2" s="5"/>
      <c r="I2" s="26"/>
      <c r="J2" s="5" t="s">
        <v>3029</v>
      </c>
    </row>
    <row r="3" spans="1:16" ht="12" customHeight="1">
      <c r="A3" s="96" t="s">
        <v>30</v>
      </c>
      <c r="B3" s="97" t="s">
        <v>31</v>
      </c>
      <c r="C3" s="143" t="s">
        <v>3206</v>
      </c>
      <c r="D3" s="144">
        <f>MATCH(C3,{"Jan","Feb","Mar","Apr","May","Jun","Jul","Aug","Sep","Oct","Nov","Dec"},0)</f>
        <v>7</v>
      </c>
      <c r="E3" s="12"/>
      <c r="F3" s="29"/>
      <c r="G3" s="5"/>
      <c r="H3" s="5"/>
      <c r="I3" s="6" t="s">
        <v>3135</v>
      </c>
    </row>
    <row r="4" spans="1:16" ht="12" customHeight="1">
      <c r="A4" s="96" t="s">
        <v>32</v>
      </c>
      <c r="B4" s="97" t="s">
        <v>33</v>
      </c>
      <c r="C4" s="143" t="s">
        <v>3206</v>
      </c>
      <c r="D4" s="144">
        <f>MATCH(C4,{"Jan","Feb","Mar","Apr","May","Jun","Jul","Aug","Sep","Oct","Nov","Dec"},0)</f>
        <v>7</v>
      </c>
      <c r="E4" s="12"/>
      <c r="F4" s="29"/>
      <c r="G4" s="5"/>
      <c r="H4" s="5"/>
      <c r="I4" s="6" t="s">
        <v>28</v>
      </c>
    </row>
    <row r="5" spans="1:16" s="31" customFormat="1" ht="12" customHeight="1">
      <c r="A5" s="96" t="s">
        <v>34</v>
      </c>
      <c r="B5" s="106" t="s">
        <v>35</v>
      </c>
      <c r="C5" s="143" t="s">
        <v>3206</v>
      </c>
      <c r="D5" s="144">
        <f>MATCH(C5,{"Jan","Feb","Mar","Apr","May","Jun","Jul","Aug","Sep","Oct","Nov","Dec"},0)</f>
        <v>7</v>
      </c>
      <c r="E5" s="12"/>
      <c r="F5" s="29"/>
      <c r="G5" s="5"/>
      <c r="H5" s="5"/>
      <c r="I5" s="32"/>
      <c r="K5" s="5"/>
      <c r="L5" s="5"/>
    </row>
    <row r="6" spans="1:16" ht="15.75">
      <c r="A6" s="96" t="s">
        <v>36</v>
      </c>
      <c r="B6" s="106" t="s">
        <v>37</v>
      </c>
      <c r="C6" s="143" t="s">
        <v>3206</v>
      </c>
      <c r="D6" s="144">
        <f>MATCH(C6,{"Jan","Feb","Mar","Apr","May","Jun","Jul","Aug","Sep","Oct","Nov","Dec"},0)</f>
        <v>7</v>
      </c>
      <c r="E6" s="12"/>
      <c r="F6" s="29"/>
      <c r="G6" s="5"/>
      <c r="H6" s="5"/>
      <c r="I6" s="3" t="s">
        <v>3234</v>
      </c>
    </row>
    <row r="7" spans="1:16" ht="14.25">
      <c r="A7" s="96" t="s">
        <v>38</v>
      </c>
      <c r="B7" s="97" t="s">
        <v>39</v>
      </c>
      <c r="C7" s="143" t="s">
        <v>3207</v>
      </c>
      <c r="D7" s="144">
        <f>MATCH(C7,{"Jan","Feb","Mar","Apr","May","Jun","Jul","Aug","Sep","Oct","Nov","Dec"},0)</f>
        <v>8</v>
      </c>
      <c r="E7" s="12"/>
      <c r="F7" s="29"/>
      <c r="G7" s="5"/>
      <c r="H7" s="5"/>
      <c r="I7" s="84" t="s">
        <v>3148</v>
      </c>
    </row>
    <row r="8" spans="1:16" ht="12" customHeight="1">
      <c r="A8" s="96" t="s">
        <v>40</v>
      </c>
      <c r="B8" s="97" t="s">
        <v>41</v>
      </c>
      <c r="C8" s="143" t="s">
        <v>3207</v>
      </c>
      <c r="D8" s="144">
        <f>MATCH(C8,{"Jan","Feb","Mar","Apr","May","Jun","Jul","Aug","Sep","Oct","Nov","Dec"},0)</f>
        <v>8</v>
      </c>
      <c r="E8" s="12"/>
      <c r="F8" s="29"/>
      <c r="G8" s="5"/>
      <c r="H8" s="5"/>
      <c r="I8" s="26"/>
      <c r="J8" s="32"/>
    </row>
    <row r="9" spans="1:16" ht="12" customHeight="1">
      <c r="A9" s="96" t="s">
        <v>42</v>
      </c>
      <c r="B9" s="97" t="s">
        <v>43</v>
      </c>
      <c r="C9" s="143" t="s">
        <v>3206</v>
      </c>
      <c r="D9" s="144">
        <f>MATCH(C9,{"Jan","Feb","Mar","Apr","May","Jun","Jul","Aug","Sep","Oct","Nov","Dec"},0)</f>
        <v>7</v>
      </c>
      <c r="E9" s="12"/>
      <c r="F9" s="29"/>
      <c r="G9" s="5"/>
      <c r="H9" s="5"/>
      <c r="I9" s="26"/>
      <c r="J9" s="33"/>
    </row>
    <row r="10" spans="1:16" ht="12" customHeight="1">
      <c r="A10" s="96" t="s">
        <v>44</v>
      </c>
      <c r="B10" s="97" t="s">
        <v>45</v>
      </c>
      <c r="C10" s="143" t="s">
        <v>3207</v>
      </c>
      <c r="D10" s="144">
        <f>MATCH(C10,{"Jan","Feb","Mar","Apr","May","Jun","Jul","Aug","Sep","Oct","Nov","Dec"},0)</f>
        <v>8</v>
      </c>
      <c r="E10" s="12"/>
      <c r="F10" s="29"/>
      <c r="G10" s="5"/>
      <c r="H10" s="5"/>
      <c r="I10" s="26"/>
      <c r="J10" s="52"/>
    </row>
    <row r="11" spans="1:16" ht="12" customHeight="1">
      <c r="A11" s="96" t="s">
        <v>46</v>
      </c>
      <c r="B11" s="97" t="s">
        <v>47</v>
      </c>
      <c r="C11" s="143" t="s">
        <v>3207</v>
      </c>
      <c r="D11" s="144">
        <f>MATCH(C11,{"Jan","Feb","Mar","Apr","May","Jun","Jul","Aug","Sep","Oct","Nov","Dec"},0)</f>
        <v>8</v>
      </c>
      <c r="E11" s="12"/>
      <c r="F11" s="29"/>
      <c r="G11" s="5"/>
      <c r="H11" s="5"/>
      <c r="I11" s="26"/>
    </row>
    <row r="12" spans="1:16" ht="12" customHeight="1">
      <c r="A12" s="96" t="s">
        <v>48</v>
      </c>
      <c r="B12" s="97" t="s">
        <v>49</v>
      </c>
      <c r="C12" s="143" t="s">
        <v>3206</v>
      </c>
      <c r="D12" s="144">
        <f>MATCH(C12,{"Jan","Feb","Mar","Apr","May","Jun","Jul","Aug","Sep","Oct","Nov","Dec"},0)</f>
        <v>7</v>
      </c>
      <c r="E12" s="12"/>
      <c r="F12" s="29"/>
      <c r="G12" s="5"/>
      <c r="H12" s="5"/>
      <c r="I12" s="26"/>
    </row>
    <row r="13" spans="1:16" ht="12" customHeight="1">
      <c r="A13" s="96" t="s">
        <v>50</v>
      </c>
      <c r="B13" s="97" t="s">
        <v>27</v>
      </c>
      <c r="C13" s="143" t="s">
        <v>3207</v>
      </c>
      <c r="D13" s="144">
        <f>MATCH(C13,{"Jan","Feb","Mar","Apr","May","Jun","Jul","Aug","Sep","Oct","Nov","Dec"},0)</f>
        <v>8</v>
      </c>
      <c r="E13" s="12"/>
      <c r="F13" s="29"/>
      <c r="G13" s="5"/>
      <c r="H13" s="5"/>
      <c r="I13" s="26"/>
    </row>
    <row r="14" spans="1:16" ht="12" customHeight="1">
      <c r="A14" s="96" t="s">
        <v>51</v>
      </c>
      <c r="B14" s="97" t="s">
        <v>52</v>
      </c>
      <c r="C14" s="143" t="s">
        <v>3207</v>
      </c>
      <c r="D14" s="144">
        <f>MATCH(C14,{"Jan","Feb","Mar","Apr","May","Jun","Jul","Aug","Sep","Oct","Nov","Dec"},0)</f>
        <v>8</v>
      </c>
      <c r="E14" s="12"/>
      <c r="F14" s="29"/>
      <c r="G14" s="5"/>
      <c r="H14" s="5"/>
      <c r="I14" s="26"/>
      <c r="K14" s="38"/>
      <c r="N14" s="30"/>
      <c r="O14" s="93"/>
    </row>
    <row r="15" spans="1:16" ht="12" customHeight="1">
      <c r="A15" s="96" t="s">
        <v>53</v>
      </c>
      <c r="B15" s="97" t="s">
        <v>54</v>
      </c>
      <c r="C15" s="143" t="s">
        <v>3207</v>
      </c>
      <c r="D15" s="144">
        <f>MATCH(C15,{"Jan","Feb","Mar","Apr","May","Jun","Jul","Aug","Sep","Oct","Nov","Dec"},0)</f>
        <v>8</v>
      </c>
      <c r="E15" s="12"/>
      <c r="F15" s="29"/>
      <c r="G15" s="5"/>
      <c r="H15" s="26"/>
      <c r="I15" s="5"/>
      <c r="J15" s="30"/>
      <c r="K15" s="49"/>
      <c r="M15" s="120"/>
      <c r="N15" s="35"/>
      <c r="O15" s="120"/>
      <c r="P15" s="35"/>
    </row>
    <row r="16" spans="1:16" ht="12" customHeight="1">
      <c r="A16" s="96" t="s">
        <v>55</v>
      </c>
      <c r="B16" s="97" t="s">
        <v>24</v>
      </c>
      <c r="C16" s="143" t="s">
        <v>3207</v>
      </c>
      <c r="D16" s="144">
        <f>MATCH(C16,{"Jan","Feb","Mar","Apr","May","Jun","Jul","Aug","Sep","Oct","Nov","Dec"},0)</f>
        <v>8</v>
      </c>
      <c r="E16" s="12"/>
      <c r="F16" s="29"/>
      <c r="G16" s="5"/>
      <c r="H16" s="26"/>
      <c r="I16" s="5"/>
      <c r="J16" s="37"/>
      <c r="K16" s="49"/>
      <c r="M16" s="120"/>
      <c r="N16" s="35"/>
      <c r="O16" s="35"/>
      <c r="P16" s="35"/>
    </row>
    <row r="17" spans="1:20" ht="12" customHeight="1">
      <c r="A17" s="96" t="s">
        <v>56</v>
      </c>
      <c r="B17" s="97" t="s">
        <v>57</v>
      </c>
      <c r="C17" s="143" t="s">
        <v>3203</v>
      </c>
      <c r="D17" s="144">
        <f>MATCH(C17,{"Jan","Feb","Mar","Apr","May","Jun","Jul","Aug","Sep","Oct","Nov","Dec"},0)</f>
        <v>2</v>
      </c>
      <c r="E17" s="12"/>
      <c r="F17" s="29"/>
      <c r="G17" s="5"/>
      <c r="H17" s="26"/>
      <c r="I17" s="31" t="s">
        <v>3156</v>
      </c>
      <c r="J17" s="39"/>
      <c r="K17" s="49"/>
      <c r="M17" s="35"/>
      <c r="N17" s="35"/>
      <c r="O17" s="35"/>
      <c r="P17" s="35"/>
    </row>
    <row r="18" spans="1:20" ht="12" customHeight="1">
      <c r="A18" s="96" t="s">
        <v>58</v>
      </c>
      <c r="B18" s="97" t="s">
        <v>59</v>
      </c>
      <c r="C18" s="143" t="s">
        <v>3207</v>
      </c>
      <c r="D18" s="144">
        <f>MATCH(C18,{"Jan","Feb","Mar","Apr","May","Jun","Jul","Aug","Sep","Oct","Nov","Dec"},0)</f>
        <v>8</v>
      </c>
      <c r="E18" s="12"/>
      <c r="F18" s="29"/>
      <c r="G18" s="5"/>
      <c r="H18" s="41" t="s">
        <v>544</v>
      </c>
      <c r="I18" s="5" t="s">
        <v>2835</v>
      </c>
      <c r="J18" s="132" t="s">
        <v>3200</v>
      </c>
      <c r="K18" s="5" t="s">
        <v>3005</v>
      </c>
      <c r="M18" s="25"/>
      <c r="N18" s="35"/>
      <c r="O18" s="35"/>
      <c r="P18" s="35"/>
      <c r="R18" s="30"/>
      <c r="S18" s="87"/>
    </row>
    <row r="19" spans="1:20" ht="12" customHeight="1">
      <c r="A19" s="96" t="s">
        <v>60</v>
      </c>
      <c r="B19" s="97" t="s">
        <v>61</v>
      </c>
      <c r="C19" s="143" t="s">
        <v>3207</v>
      </c>
      <c r="D19" s="144">
        <f>MATCH(C19,{"Jan","Feb","Mar","Apr","May","Jun","Jul","Aug","Sep","Oct","Nov","Dec"},0)</f>
        <v>8</v>
      </c>
      <c r="E19" s="12"/>
      <c r="F19" s="29"/>
      <c r="G19" s="5"/>
      <c r="H19" s="26"/>
      <c r="I19" s="5" t="s">
        <v>2836</v>
      </c>
      <c r="J19" s="138" t="s">
        <v>3203</v>
      </c>
      <c r="K19" s="5" t="s">
        <v>3209</v>
      </c>
      <c r="M19" s="121"/>
      <c r="N19" s="48"/>
      <c r="O19" s="35"/>
      <c r="P19" s="48"/>
      <c r="Q19" s="75"/>
      <c r="R19" s="111"/>
      <c r="S19" s="87"/>
      <c r="T19" s="43"/>
    </row>
    <row r="20" spans="1:20" ht="12" customHeight="1">
      <c r="A20" s="96" t="s">
        <v>62</v>
      </c>
      <c r="B20" s="97" t="s">
        <v>513</v>
      </c>
      <c r="C20" s="143" t="s">
        <v>3206</v>
      </c>
      <c r="D20" s="144">
        <f>MATCH(C20,{"Jan","Feb","Mar","Apr","May","Jun","Jul","Aug","Sep","Oct","Nov","Dec"},0)</f>
        <v>7</v>
      </c>
      <c r="E20" s="12"/>
      <c r="F20" s="29"/>
      <c r="G20" s="5"/>
      <c r="H20" s="26"/>
      <c r="I20" s="5" t="s">
        <v>2839</v>
      </c>
      <c r="J20" s="133" t="s">
        <v>2839</v>
      </c>
      <c r="K20" s="5" t="s">
        <v>3210</v>
      </c>
      <c r="M20" s="121"/>
      <c r="N20" s="48"/>
      <c r="O20" s="35"/>
      <c r="P20" s="48"/>
      <c r="Q20" s="75"/>
      <c r="R20" s="111"/>
      <c r="S20" s="87"/>
      <c r="T20" s="92"/>
    </row>
    <row r="21" spans="1:20" ht="12" customHeight="1">
      <c r="A21" s="96" t="s">
        <v>63</v>
      </c>
      <c r="B21" s="97" t="s">
        <v>64</v>
      </c>
      <c r="C21" s="143" t="s">
        <v>3206</v>
      </c>
      <c r="D21" s="144">
        <f>MATCH(C21,{"Jan","Feb","Mar","Apr","May","Jun","Jul","Aug","Sep","Oct","Nov","Dec"},0)</f>
        <v>7</v>
      </c>
      <c r="E21" s="12"/>
      <c r="F21" s="29"/>
      <c r="G21" s="5"/>
      <c r="H21" s="26"/>
      <c r="I21" s="5" t="s">
        <v>2840</v>
      </c>
      <c r="J21" s="137" t="s">
        <v>3204</v>
      </c>
      <c r="K21" s="5" t="s">
        <v>3004</v>
      </c>
      <c r="M21" s="121"/>
      <c r="N21" s="48"/>
      <c r="O21" s="35"/>
      <c r="P21" s="48"/>
      <c r="Q21" s="75"/>
      <c r="R21" s="111"/>
      <c r="S21" s="87"/>
      <c r="T21" s="92"/>
    </row>
    <row r="22" spans="1:20" ht="12" customHeight="1">
      <c r="A22" s="96" t="s">
        <v>65</v>
      </c>
      <c r="B22" s="97" t="s">
        <v>66</v>
      </c>
      <c r="C22" s="143" t="s">
        <v>3207</v>
      </c>
      <c r="D22" s="144">
        <f>MATCH(C22,{"Jan","Feb","Mar","Apr","May","Jun","Jul","Aug","Sep","Oct","Nov","Dec"},0)</f>
        <v>8</v>
      </c>
      <c r="E22" s="12"/>
      <c r="F22" s="29"/>
      <c r="G22" s="5"/>
      <c r="H22" s="26"/>
      <c r="I22" s="5" t="s">
        <v>2832</v>
      </c>
      <c r="J22" s="136" t="s">
        <v>3206</v>
      </c>
      <c r="K22" s="5" t="s">
        <v>3211</v>
      </c>
      <c r="M22" s="121"/>
      <c r="N22" s="48"/>
      <c r="O22" s="35"/>
      <c r="P22" s="48"/>
      <c r="Q22" s="86"/>
      <c r="S22" s="87"/>
      <c r="T22" s="43"/>
    </row>
    <row r="23" spans="1:20" ht="12" customHeight="1">
      <c r="A23" s="96" t="s">
        <v>67</v>
      </c>
      <c r="B23" s="97" t="s">
        <v>68</v>
      </c>
      <c r="C23" s="143" t="s">
        <v>3206</v>
      </c>
      <c r="D23" s="144">
        <f>MATCH(C23,{"Jan","Feb","Mar","Apr","May","Jun","Jul","Aug","Sep","Oct","Nov","Dec"},0)</f>
        <v>7</v>
      </c>
      <c r="E23" s="12"/>
      <c r="F23" s="29"/>
      <c r="G23" s="5"/>
      <c r="H23" s="5"/>
      <c r="I23" s="5" t="s">
        <v>2833</v>
      </c>
      <c r="J23" s="135" t="s">
        <v>3207</v>
      </c>
      <c r="K23" s="5" t="s">
        <v>3212</v>
      </c>
      <c r="M23" s="121"/>
      <c r="N23" s="48"/>
      <c r="O23" s="35"/>
      <c r="P23" s="48"/>
      <c r="S23" s="87"/>
      <c r="T23" s="43"/>
    </row>
    <row r="24" spans="1:20" ht="12" customHeight="1">
      <c r="A24" s="96" t="s">
        <v>69</v>
      </c>
      <c r="B24" s="97" t="s">
        <v>70</v>
      </c>
      <c r="C24" s="143" t="s">
        <v>3206</v>
      </c>
      <c r="D24" s="144">
        <f>MATCH(C24,{"Jan","Feb","Mar","Apr","May","Jun","Jul","Aug","Sep","Oct","Nov","Dec"},0)</f>
        <v>7</v>
      </c>
      <c r="E24" s="12"/>
      <c r="F24" s="29"/>
      <c r="G24" s="5"/>
      <c r="H24" s="5"/>
      <c r="I24" s="5" t="s">
        <v>2834</v>
      </c>
      <c r="J24" s="134" t="s">
        <v>3205</v>
      </c>
      <c r="K24" s="5" t="s">
        <v>3213</v>
      </c>
      <c r="M24" s="25"/>
      <c r="N24" s="48"/>
      <c r="O24" s="35"/>
      <c r="P24" s="35"/>
    </row>
    <row r="25" spans="1:20" ht="12" customHeight="1">
      <c r="A25" s="96" t="s">
        <v>71</v>
      </c>
      <c r="B25" s="97" t="s">
        <v>514</v>
      </c>
      <c r="C25" s="143" t="s">
        <v>3207</v>
      </c>
      <c r="D25" s="144">
        <f>MATCH(C25,{"Jan","Feb","Mar","Apr","May","Jun","Jul","Aug","Sep","Oct","Nov","Dec"},0)</f>
        <v>8</v>
      </c>
      <c r="E25" s="12"/>
      <c r="F25" s="29"/>
      <c r="G25" s="5"/>
      <c r="H25" s="5"/>
      <c r="I25" s="5" t="s">
        <v>2841</v>
      </c>
      <c r="J25" s="139" t="s">
        <v>3201</v>
      </c>
      <c r="K25" s="5" t="s">
        <v>3214</v>
      </c>
      <c r="M25" s="122"/>
      <c r="N25" s="35"/>
      <c r="O25" s="35"/>
      <c r="P25" s="35"/>
    </row>
    <row r="26" spans="1:20" ht="12" customHeight="1">
      <c r="A26" s="96" t="s">
        <v>72</v>
      </c>
      <c r="B26" s="97" t="s">
        <v>73</v>
      </c>
      <c r="C26" s="143" t="s">
        <v>3206</v>
      </c>
      <c r="D26" s="144">
        <f>MATCH(C26,{"Jan","Feb","Mar","Apr","May","Jun","Jul","Aug","Sep","Oct","Nov","Dec"},0)</f>
        <v>7</v>
      </c>
      <c r="E26" s="12"/>
      <c r="F26" s="29"/>
      <c r="G26" s="5"/>
      <c r="H26" s="5"/>
      <c r="I26" s="5" t="s">
        <v>2843</v>
      </c>
      <c r="J26" s="140" t="s">
        <v>3202</v>
      </c>
      <c r="K26" s="5" t="s">
        <v>3010</v>
      </c>
      <c r="M26" s="49"/>
      <c r="N26" s="35"/>
      <c r="O26" s="35"/>
      <c r="P26" s="35"/>
    </row>
    <row r="27" spans="1:20" ht="12" customHeight="1">
      <c r="A27" s="96" t="s">
        <v>74</v>
      </c>
      <c r="B27" s="107" t="s">
        <v>75</v>
      </c>
      <c r="C27" s="143" t="s">
        <v>3206</v>
      </c>
      <c r="D27" s="144">
        <f>MATCH(C27,{"Jan","Feb","Mar","Apr","May","Jun","Jul","Aug","Sep","Oct","Nov","Dec"},0)</f>
        <v>7</v>
      </c>
      <c r="E27" s="12"/>
      <c r="F27" s="29"/>
      <c r="G27" s="5"/>
      <c r="H27" s="5"/>
      <c r="I27" s="5" t="s">
        <v>545</v>
      </c>
      <c r="J27" s="152" t="s">
        <v>546</v>
      </c>
      <c r="K27" s="5" t="s">
        <v>3224</v>
      </c>
      <c r="M27" s="49"/>
      <c r="N27" s="35"/>
      <c r="O27" s="35"/>
      <c r="P27" s="35"/>
    </row>
    <row r="28" spans="1:20" ht="12" customHeight="1">
      <c r="A28" s="96" t="s">
        <v>76</v>
      </c>
      <c r="B28" s="108" t="s">
        <v>77</v>
      </c>
      <c r="C28" s="143" t="s">
        <v>3206</v>
      </c>
      <c r="D28" s="144">
        <f>MATCH(C28,{"Jan","Feb","Mar","Apr","May","Jun","Jul","Aug","Sep","Oct","Nov","Dec"},0)</f>
        <v>7</v>
      </c>
      <c r="E28" s="12"/>
      <c r="F28" s="29"/>
      <c r="G28" s="5"/>
      <c r="H28" s="5"/>
      <c r="J28" s="44"/>
      <c r="K28" s="44"/>
      <c r="M28" s="44"/>
    </row>
    <row r="29" spans="1:20" ht="12" customHeight="1">
      <c r="A29" s="96" t="s">
        <v>78</v>
      </c>
      <c r="B29" s="108" t="s">
        <v>79</v>
      </c>
      <c r="C29" s="143" t="s">
        <v>3206</v>
      </c>
      <c r="D29" s="144">
        <f>MATCH(C29,{"Jan","Feb","Mar","Apr","May","Jun","Jul","Aug","Sep","Oct","Nov","Dec"},0)</f>
        <v>7</v>
      </c>
      <c r="E29" s="12"/>
      <c r="F29" s="29"/>
      <c r="G29" s="5"/>
      <c r="H29" s="5"/>
      <c r="J29" s="44"/>
      <c r="K29" s="44"/>
      <c r="M29" s="44"/>
    </row>
    <row r="30" spans="1:20" ht="12" customHeight="1">
      <c r="A30" s="96" t="s">
        <v>80</v>
      </c>
      <c r="B30" s="108" t="s">
        <v>81</v>
      </c>
      <c r="C30" s="143" t="s">
        <v>3206</v>
      </c>
      <c r="D30" s="144">
        <f>MATCH(C30,{"Jan","Feb","Mar","Apr","May","Jun","Jul","Aug","Sep","Oct","Nov","Dec"},0)</f>
        <v>7</v>
      </c>
      <c r="E30" s="12"/>
      <c r="F30" s="29"/>
      <c r="G30" s="5"/>
      <c r="H30" s="5"/>
      <c r="M30" s="73"/>
    </row>
    <row r="31" spans="1:20" ht="12" customHeight="1">
      <c r="A31" s="96" t="s">
        <v>82</v>
      </c>
      <c r="B31" s="97" t="s">
        <v>83</v>
      </c>
      <c r="C31" s="143" t="s">
        <v>3206</v>
      </c>
      <c r="D31" s="144">
        <f>MATCH(C31,{"Jan","Feb","Mar","Apr","May","Jun","Jul","Aug","Sep","Oct","Nov","Dec"},0)</f>
        <v>7</v>
      </c>
      <c r="E31" s="12"/>
      <c r="F31" s="29"/>
      <c r="G31" s="5"/>
      <c r="H31" s="5"/>
      <c r="J31" s="40"/>
      <c r="K31" s="40"/>
      <c r="M31" s="110"/>
    </row>
    <row r="32" spans="1:20" ht="12" customHeight="1">
      <c r="A32" s="96" t="s">
        <v>84</v>
      </c>
      <c r="B32" s="97" t="s">
        <v>85</v>
      </c>
      <c r="C32" s="143" t="s">
        <v>3206</v>
      </c>
      <c r="D32" s="144">
        <f>MATCH(C32,{"Jan","Feb","Mar","Apr","May","Jun","Jul","Aug","Sep","Oct","Nov","Dec"},0)</f>
        <v>7</v>
      </c>
      <c r="E32" s="12"/>
      <c r="F32" s="29"/>
      <c r="G32" s="5"/>
      <c r="H32" s="5"/>
      <c r="M32" s="73"/>
    </row>
    <row r="33" spans="1:13" ht="12" customHeight="1">
      <c r="A33" s="96" t="s">
        <v>86</v>
      </c>
      <c r="B33" s="97" t="s">
        <v>87</v>
      </c>
      <c r="C33" s="143" t="s">
        <v>3207</v>
      </c>
      <c r="D33" s="144">
        <f>MATCH(C33,{"Jan","Feb","Mar","Apr","May","Jun","Jul","Aug","Sep","Oct","Nov","Dec"},0)</f>
        <v>8</v>
      </c>
      <c r="E33" s="12"/>
      <c r="F33" s="29"/>
      <c r="G33" s="5"/>
      <c r="H33" s="5"/>
      <c r="M33" s="73"/>
    </row>
    <row r="34" spans="1:13" ht="12" customHeight="1">
      <c r="A34" s="96" t="s">
        <v>88</v>
      </c>
      <c r="B34" s="97" t="s">
        <v>89</v>
      </c>
      <c r="C34" s="143" t="s">
        <v>3207</v>
      </c>
      <c r="D34" s="144">
        <f>MATCH(C34,{"Jan","Feb","Mar","Apr","May","Jun","Jul","Aug","Sep","Oct","Nov","Dec"},0)</f>
        <v>8</v>
      </c>
      <c r="E34" s="12"/>
      <c r="F34" s="29"/>
      <c r="G34" s="5"/>
      <c r="H34" s="31" t="s">
        <v>547</v>
      </c>
      <c r="I34" s="50"/>
      <c r="M34" s="73"/>
    </row>
    <row r="35" spans="1:13" ht="12" customHeight="1">
      <c r="A35" s="96" t="s">
        <v>90</v>
      </c>
      <c r="B35" s="97" t="s">
        <v>91</v>
      </c>
      <c r="C35" s="143" t="s">
        <v>3207</v>
      </c>
      <c r="D35" s="144">
        <f>MATCH(C35,{"Jan","Feb","Mar","Apr","May","Jun","Jul","Aug","Sep","Oct","Nov","Dec"},0)</f>
        <v>8</v>
      </c>
      <c r="E35" s="12"/>
      <c r="F35" s="29"/>
      <c r="G35" s="5"/>
      <c r="H35" s="51"/>
      <c r="I35" s="5" t="s">
        <v>3226</v>
      </c>
      <c r="M35" s="26"/>
    </row>
    <row r="36" spans="1:13" ht="12" customHeight="1">
      <c r="A36" s="96" t="s">
        <v>92</v>
      </c>
      <c r="B36" s="97" t="s">
        <v>93</v>
      </c>
      <c r="C36" s="143" t="s">
        <v>3207</v>
      </c>
      <c r="D36" s="144">
        <f>MATCH(C36,{"Jan","Feb","Mar","Apr","May","Jun","Jul","Aug","Sep","Oct","Nov","Dec"},0)</f>
        <v>8</v>
      </c>
      <c r="E36" s="12"/>
      <c r="F36" s="29"/>
      <c r="G36" s="5"/>
      <c r="H36" s="51"/>
      <c r="I36" s="11"/>
      <c r="M36" s="26"/>
    </row>
    <row r="37" spans="1:13" ht="12" customHeight="1">
      <c r="A37" s="96" t="s">
        <v>94</v>
      </c>
      <c r="B37" s="97" t="s">
        <v>95</v>
      </c>
      <c r="C37" s="143" t="s">
        <v>3207</v>
      </c>
      <c r="D37" s="144">
        <f>MATCH(C37,{"Jan","Feb","Mar","Apr","May","Jun","Jul","Aug","Sep","Oct","Nov","Dec"},0)</f>
        <v>8</v>
      </c>
      <c r="E37" s="12"/>
      <c r="F37" s="29"/>
      <c r="G37" s="5"/>
      <c r="H37" s="26"/>
      <c r="I37" s="52"/>
      <c r="M37" s="26"/>
    </row>
    <row r="38" spans="1:13" ht="12" customHeight="1">
      <c r="A38" s="96" t="s">
        <v>96</v>
      </c>
      <c r="B38" s="109" t="s">
        <v>97</v>
      </c>
      <c r="C38" s="143" t="s">
        <v>3207</v>
      </c>
      <c r="D38" s="144">
        <f>MATCH(C38,{"Jan","Feb","Mar","Apr","May","Jun","Jul","Aug","Sep","Oct","Nov","Dec"},0)</f>
        <v>8</v>
      </c>
      <c r="E38" s="12"/>
      <c r="F38" s="29"/>
      <c r="G38" s="5"/>
      <c r="H38" s="41" t="s">
        <v>548</v>
      </c>
      <c r="I38" s="5"/>
      <c r="M38" s="26"/>
    </row>
    <row r="39" spans="1:13" ht="12" customHeight="1">
      <c r="A39" s="96" t="s">
        <v>98</v>
      </c>
      <c r="B39" s="109" t="s">
        <v>99</v>
      </c>
      <c r="C39" s="143" t="s">
        <v>3207</v>
      </c>
      <c r="D39" s="144">
        <f>MATCH(C39,{"Jan","Feb","Mar","Apr","May","Jun","Jul","Aug","Sep","Oct","Nov","Dec"},0)</f>
        <v>8</v>
      </c>
      <c r="E39" s="12"/>
      <c r="F39" s="29"/>
      <c r="G39" s="5"/>
      <c r="H39" s="26"/>
      <c r="I39" s="79" t="s">
        <v>3141</v>
      </c>
      <c r="M39" s="26"/>
    </row>
    <row r="40" spans="1:13" ht="12" customHeight="1">
      <c r="A40" s="96" t="s">
        <v>100</v>
      </c>
      <c r="B40" s="109" t="s">
        <v>101</v>
      </c>
      <c r="C40" s="143" t="s">
        <v>3206</v>
      </c>
      <c r="D40" s="144">
        <f>MATCH(C40,{"Jan","Feb","Mar","Apr","May","Jun","Jul","Aug","Sep","Oct","Nov","Dec"},0)</f>
        <v>7</v>
      </c>
      <c r="E40" s="12"/>
      <c r="F40" s="29"/>
      <c r="G40" s="5"/>
      <c r="H40" s="26"/>
      <c r="I40" s="5"/>
      <c r="M40" s="26"/>
    </row>
    <row r="41" spans="1:13" ht="12" customHeight="1">
      <c r="A41" s="96" t="s">
        <v>102</v>
      </c>
      <c r="B41" s="109" t="s">
        <v>103</v>
      </c>
      <c r="C41" s="143" t="s">
        <v>3206</v>
      </c>
      <c r="D41" s="144">
        <f>MATCH(C41,{"Jan","Feb","Mar","Apr","May","Jun","Jul","Aug","Sep","Oct","Nov","Dec"},0)</f>
        <v>7</v>
      </c>
      <c r="E41" s="12"/>
      <c r="F41" s="29"/>
      <c r="G41" s="5"/>
      <c r="H41" s="54" t="s">
        <v>3000</v>
      </c>
      <c r="I41" s="13"/>
      <c r="M41" s="26"/>
    </row>
    <row r="42" spans="1:13" ht="12" customHeight="1">
      <c r="A42" s="96" t="s">
        <v>104</v>
      </c>
      <c r="B42" s="109" t="s">
        <v>105</v>
      </c>
      <c r="C42" s="143" t="s">
        <v>3207</v>
      </c>
      <c r="D42" s="144">
        <f>MATCH(C42,{"Jan","Feb","Mar","Apr","May","Jun","Jul","Aug","Sep","Oct","Nov","Dec"},0)</f>
        <v>8</v>
      </c>
      <c r="E42" s="12"/>
      <c r="F42" s="29"/>
      <c r="G42" s="5"/>
      <c r="H42" s="13" t="s">
        <v>2817</v>
      </c>
      <c r="I42" s="5" t="s">
        <v>3157</v>
      </c>
      <c r="K42" s="56"/>
      <c r="M42" s="26"/>
    </row>
    <row r="43" spans="1:13" ht="12" customHeight="1">
      <c r="A43" s="96" t="s">
        <v>107</v>
      </c>
      <c r="B43" s="109" t="s">
        <v>106</v>
      </c>
      <c r="C43" s="143" t="s">
        <v>3206</v>
      </c>
      <c r="D43" s="144">
        <f>MATCH(C43,{"Jan","Feb","Mar","Apr","May","Jun","Jul","Aug","Sep","Oct","Nov","Dec"},0)</f>
        <v>7</v>
      </c>
      <c r="E43" s="12"/>
      <c r="F43" s="29"/>
      <c r="G43" s="5"/>
      <c r="H43" s="13" t="s">
        <v>3146</v>
      </c>
      <c r="I43" s="5" t="s">
        <v>3157</v>
      </c>
      <c r="K43" s="26"/>
      <c r="M43" s="26"/>
    </row>
    <row r="44" spans="1:13" ht="12" customHeight="1">
      <c r="A44" s="96" t="s">
        <v>109</v>
      </c>
      <c r="B44" s="109" t="s">
        <v>108</v>
      </c>
      <c r="C44" s="143" t="s">
        <v>3206</v>
      </c>
      <c r="D44" s="144">
        <f>MATCH(C44,{"Jan","Feb","Mar","Apr","May","Jun","Jul","Aug","Sep","Oct","Nov","Dec"},0)</f>
        <v>7</v>
      </c>
      <c r="E44" s="12"/>
      <c r="F44" s="29"/>
      <c r="G44" s="5"/>
      <c r="I44" s="26"/>
      <c r="K44" s="26"/>
      <c r="M44" s="26"/>
    </row>
    <row r="45" spans="1:13" ht="12" customHeight="1">
      <c r="A45" s="96" t="s">
        <v>111</v>
      </c>
      <c r="B45" s="109" t="s">
        <v>110</v>
      </c>
      <c r="C45" s="143" t="s">
        <v>3207</v>
      </c>
      <c r="D45" s="144">
        <f>MATCH(C45,{"Jan","Feb","Mar","Apr","May","Jun","Jul","Aug","Sep","Oct","Nov","Dec"},0)</f>
        <v>8</v>
      </c>
      <c r="E45" s="12"/>
      <c r="F45" s="29"/>
      <c r="G45" s="5"/>
      <c r="I45" s="26"/>
      <c r="K45" s="26"/>
      <c r="M45" s="26"/>
    </row>
    <row r="46" spans="1:13" ht="12" customHeight="1">
      <c r="A46" s="96" t="s">
        <v>113</v>
      </c>
      <c r="B46" s="109" t="s">
        <v>112</v>
      </c>
      <c r="C46" s="143" t="s">
        <v>3207</v>
      </c>
      <c r="D46" s="144">
        <f>MATCH(C46,{"Jan","Feb","Mar","Apr","May","Jun","Jul","Aug","Sep","Oct","Nov","Dec"},0)</f>
        <v>8</v>
      </c>
      <c r="E46" s="12"/>
      <c r="F46" s="29"/>
      <c r="G46" s="5"/>
      <c r="I46" s="26"/>
      <c r="K46" s="26"/>
      <c r="M46" s="26"/>
    </row>
    <row r="47" spans="1:13" ht="12" customHeight="1">
      <c r="A47" s="96" t="s">
        <v>114</v>
      </c>
      <c r="B47" s="109" t="s">
        <v>115</v>
      </c>
      <c r="C47" s="143" t="s">
        <v>3204</v>
      </c>
      <c r="D47" s="144">
        <f>MATCH(C47,{"Jan","Feb","Mar","Apr","May","Jun","Jul","Aug","Sep","Oct","Nov","Dec"},0)</f>
        <v>6</v>
      </c>
      <c r="E47" s="12"/>
      <c r="F47" s="29"/>
      <c r="G47" s="5"/>
      <c r="I47" s="26"/>
      <c r="K47" s="26"/>
      <c r="M47" s="26"/>
    </row>
    <row r="48" spans="1:13" ht="12" customHeight="1">
      <c r="A48" s="96" t="s">
        <v>116</v>
      </c>
      <c r="B48" s="109" t="s">
        <v>117</v>
      </c>
      <c r="C48" s="143" t="s">
        <v>3207</v>
      </c>
      <c r="D48" s="144">
        <f>MATCH(C48,{"Jan","Feb","Mar","Apr","May","Jun","Jul","Aug","Sep","Oct","Nov","Dec"},0)</f>
        <v>8</v>
      </c>
      <c r="E48" s="12"/>
      <c r="F48" s="29"/>
      <c r="G48" s="5"/>
      <c r="I48" s="26"/>
      <c r="K48" s="26"/>
      <c r="M48" s="26"/>
    </row>
    <row r="49" spans="1:13" ht="12" customHeight="1">
      <c r="A49" s="96" t="s">
        <v>118</v>
      </c>
      <c r="B49" s="109" t="s">
        <v>119</v>
      </c>
      <c r="C49" s="143" t="s">
        <v>3207</v>
      </c>
      <c r="D49" s="144">
        <f>MATCH(C49,{"Jan","Feb","Mar","Apr","May","Jun","Jul","Aug","Sep","Oct","Nov","Dec"},0)</f>
        <v>8</v>
      </c>
      <c r="E49" s="12"/>
      <c r="F49" s="29"/>
      <c r="G49" s="5"/>
      <c r="I49" s="26"/>
      <c r="K49" s="26"/>
      <c r="M49" s="26"/>
    </row>
    <row r="50" spans="1:13" ht="12" customHeight="1">
      <c r="A50" s="96" t="s">
        <v>121</v>
      </c>
      <c r="B50" s="109" t="s">
        <v>120</v>
      </c>
      <c r="C50" s="143" t="s">
        <v>3206</v>
      </c>
      <c r="D50" s="144">
        <f>MATCH(C50,{"Jan","Feb","Mar","Apr","May","Jun","Jul","Aug","Sep","Oct","Nov","Dec"},0)</f>
        <v>7</v>
      </c>
      <c r="E50" s="12"/>
      <c r="F50" s="29"/>
      <c r="G50" s="5"/>
      <c r="I50" s="26"/>
      <c r="K50" s="26"/>
      <c r="M50" s="26"/>
    </row>
    <row r="51" spans="1:13" ht="12" customHeight="1">
      <c r="A51" s="96" t="s">
        <v>122</v>
      </c>
      <c r="B51" s="109" t="s">
        <v>123</v>
      </c>
      <c r="C51" s="143" t="s">
        <v>3207</v>
      </c>
      <c r="D51" s="144">
        <f>MATCH(C51,{"Jan","Feb","Mar","Apr","May","Jun","Jul","Aug","Sep","Oct","Nov","Dec"},0)</f>
        <v>8</v>
      </c>
      <c r="E51" s="12"/>
      <c r="F51" s="29"/>
      <c r="G51" s="5"/>
      <c r="I51" s="26"/>
      <c r="K51" s="26"/>
      <c r="M51" s="26"/>
    </row>
    <row r="52" spans="1:13" ht="12" customHeight="1">
      <c r="A52" s="96" t="s">
        <v>124</v>
      </c>
      <c r="B52" s="97" t="s">
        <v>125</v>
      </c>
      <c r="C52" s="143" t="s">
        <v>3207</v>
      </c>
      <c r="D52" s="144">
        <f>MATCH(C52,{"Jan","Feb","Mar","Apr","May","Jun","Jul","Aug","Sep","Oct","Nov","Dec"},0)</f>
        <v>8</v>
      </c>
      <c r="E52" s="12"/>
      <c r="F52" s="29"/>
      <c r="G52" s="5"/>
      <c r="H52" s="31" t="s">
        <v>3076</v>
      </c>
      <c r="I52" s="5" t="s">
        <v>3155</v>
      </c>
      <c r="K52" s="26"/>
      <c r="M52" s="26"/>
    </row>
    <row r="53" spans="1:13" ht="12" customHeight="1">
      <c r="A53" s="96" t="s">
        <v>126</v>
      </c>
      <c r="B53" s="97" t="s">
        <v>127</v>
      </c>
      <c r="C53" s="143" t="s">
        <v>3207</v>
      </c>
      <c r="D53" s="144">
        <f>MATCH(C53,{"Jan","Feb","Mar","Apr","May","Jun","Jul","Aug","Sep","Oct","Nov","Dec"},0)</f>
        <v>8</v>
      </c>
      <c r="E53" s="12"/>
      <c r="F53" s="29"/>
      <c r="G53" s="5"/>
      <c r="H53" s="31" t="s">
        <v>3124</v>
      </c>
      <c r="I53" s="5" t="s">
        <v>3156</v>
      </c>
      <c r="K53" s="26"/>
      <c r="M53" s="26"/>
    </row>
    <row r="54" spans="1:13" ht="12" customHeight="1">
      <c r="A54" s="96" t="s">
        <v>128</v>
      </c>
      <c r="B54" s="97" t="s">
        <v>129</v>
      </c>
      <c r="C54" s="143" t="s">
        <v>3207</v>
      </c>
      <c r="D54" s="144">
        <f>MATCH(C54,{"Jan","Feb","Mar","Apr","May","Jun","Jul","Aug","Sep","Oct","Nov","Dec"},0)</f>
        <v>8</v>
      </c>
      <c r="E54" s="12"/>
      <c r="F54" s="29"/>
      <c r="G54" s="5"/>
      <c r="H54" s="31"/>
      <c r="I54" s="5"/>
      <c r="K54" s="26"/>
      <c r="M54" s="26"/>
    </row>
    <row r="55" spans="1:13" ht="12" customHeight="1">
      <c r="A55" s="96" t="s">
        <v>130</v>
      </c>
      <c r="B55" s="97" t="s">
        <v>131</v>
      </c>
      <c r="C55" s="143" t="s">
        <v>3204</v>
      </c>
      <c r="D55" s="144">
        <f>MATCH(C55,{"Jan","Feb","Mar","Apr","May","Jun","Jul","Aug","Sep","Oct","Nov","Dec"},0)</f>
        <v>6</v>
      </c>
      <c r="E55" s="12"/>
      <c r="F55" s="29"/>
      <c r="G55" s="5"/>
      <c r="H55" s="26"/>
      <c r="I55" s="26"/>
      <c r="K55" s="26"/>
      <c r="M55" s="26"/>
    </row>
    <row r="56" spans="1:13" ht="12" customHeight="1">
      <c r="A56" s="96" t="s">
        <v>132</v>
      </c>
      <c r="B56" s="97" t="s">
        <v>133</v>
      </c>
      <c r="C56" s="143" t="s">
        <v>3207</v>
      </c>
      <c r="D56" s="144">
        <f>MATCH(C56,{"Jan","Feb","Mar","Apr","May","Jun","Jul","Aug","Sep","Oct","Nov","Dec"},0)</f>
        <v>8</v>
      </c>
      <c r="E56" s="12"/>
      <c r="F56" s="29"/>
      <c r="G56" s="5"/>
      <c r="H56" s="26"/>
      <c r="I56" s="26"/>
      <c r="K56" s="26"/>
      <c r="M56" s="26"/>
    </row>
    <row r="57" spans="1:13" ht="12" customHeight="1">
      <c r="A57" s="96" t="s">
        <v>134</v>
      </c>
      <c r="B57" s="97" t="s">
        <v>135</v>
      </c>
      <c r="C57" s="143" t="s">
        <v>2839</v>
      </c>
      <c r="D57" s="144">
        <f>MATCH(C57,{"Jan","Feb","Mar","Apr","May","Jun","Jul","Aug","Sep","Oct","Nov","Dec"},0)</f>
        <v>5</v>
      </c>
      <c r="E57" s="12"/>
      <c r="F57" s="29"/>
      <c r="G57" s="5"/>
      <c r="H57" s="26"/>
      <c r="I57" s="5"/>
    </row>
    <row r="58" spans="1:13" ht="12" customHeight="1">
      <c r="A58" s="96" t="s">
        <v>136</v>
      </c>
      <c r="B58" s="107" t="s">
        <v>137</v>
      </c>
      <c r="C58" s="143" t="s">
        <v>3207</v>
      </c>
      <c r="D58" s="144">
        <f>MATCH(C58,{"Jan","Feb","Mar","Apr","May","Jun","Jul","Aug","Sep","Oct","Nov","Dec"},0)</f>
        <v>8</v>
      </c>
      <c r="E58" s="12"/>
      <c r="F58" s="29"/>
      <c r="G58" s="5"/>
      <c r="H58" s="26"/>
      <c r="I58" s="5"/>
    </row>
    <row r="59" spans="1:13" ht="12" customHeight="1">
      <c r="A59" s="96" t="s">
        <v>138</v>
      </c>
      <c r="B59" s="97" t="s">
        <v>139</v>
      </c>
      <c r="C59" s="143" t="s">
        <v>3207</v>
      </c>
      <c r="D59" s="144">
        <f>MATCH(C59,{"Jan","Feb","Mar","Apr","May","Jun","Jul","Aug","Sep","Oct","Nov","Dec"},0)</f>
        <v>8</v>
      </c>
      <c r="E59" s="12"/>
      <c r="F59" s="29"/>
      <c r="G59" s="5"/>
      <c r="H59" s="5"/>
      <c r="I59" s="5"/>
    </row>
    <row r="60" spans="1:13" ht="12" customHeight="1">
      <c r="A60" s="96" t="s">
        <v>140</v>
      </c>
      <c r="B60" s="97" t="s">
        <v>141</v>
      </c>
      <c r="C60" s="143" t="s">
        <v>3207</v>
      </c>
      <c r="D60" s="144">
        <f>MATCH(C60,{"Jan","Feb","Mar","Apr","May","Jun","Jul","Aug","Sep","Oct","Nov","Dec"},0)</f>
        <v>8</v>
      </c>
      <c r="E60" s="12"/>
      <c r="F60" s="29"/>
      <c r="G60" s="5"/>
      <c r="H60" s="2" t="s">
        <v>2844</v>
      </c>
      <c r="I60" s="5"/>
    </row>
    <row r="61" spans="1:13" ht="12" customHeight="1">
      <c r="A61" s="96" t="s">
        <v>142</v>
      </c>
      <c r="B61" s="97" t="s">
        <v>143</v>
      </c>
      <c r="C61" s="143" t="s">
        <v>3207</v>
      </c>
      <c r="D61" s="144">
        <f>MATCH(C61,{"Jan","Feb","Mar","Apr","May","Jun","Jul","Aug","Sep","Oct","Nov","Dec"},0)</f>
        <v>8</v>
      </c>
      <c r="E61" s="12"/>
      <c r="F61" s="29"/>
      <c r="G61" s="5"/>
      <c r="H61" s="119" t="s">
        <v>3149</v>
      </c>
      <c r="I61" s="5"/>
    </row>
    <row r="62" spans="1:13" ht="12" customHeight="1">
      <c r="A62" s="96" t="s">
        <v>144</v>
      </c>
      <c r="B62" s="97" t="s">
        <v>145</v>
      </c>
      <c r="C62" s="143" t="s">
        <v>3205</v>
      </c>
      <c r="D62" s="144">
        <f>MATCH(C62,{"Jan","Feb","Mar","Apr","May","Jun","Jul","Aug","Sep","Oct","Nov","Dec"},0)</f>
        <v>9</v>
      </c>
      <c r="E62" s="12"/>
      <c r="F62" s="29"/>
      <c r="G62" s="5"/>
      <c r="H62" s="7" t="s">
        <v>3154</v>
      </c>
      <c r="I62" s="56"/>
      <c r="K62" s="56"/>
    </row>
    <row r="63" spans="1:13" ht="12" customHeight="1">
      <c r="A63" s="96" t="s">
        <v>147</v>
      </c>
      <c r="B63" s="97" t="s">
        <v>146</v>
      </c>
      <c r="C63" s="143" t="s">
        <v>3207</v>
      </c>
      <c r="D63" s="144">
        <f>MATCH(C63,{"Jan","Feb","Mar","Apr","May","Jun","Jul","Aug","Sep","Oct","Nov","Dec"},0)</f>
        <v>8</v>
      </c>
      <c r="E63" s="12"/>
      <c r="F63" s="29"/>
      <c r="G63" s="5"/>
      <c r="H63" s="7" t="s">
        <v>3140</v>
      </c>
      <c r="I63" s="56"/>
      <c r="K63" s="56"/>
    </row>
    <row r="64" spans="1:13" ht="12" customHeight="1">
      <c r="A64" s="96" t="s">
        <v>148</v>
      </c>
      <c r="B64" s="97" t="s">
        <v>149</v>
      </c>
      <c r="C64" s="143" t="s">
        <v>3207</v>
      </c>
      <c r="D64" s="144">
        <f>MATCH(C64,{"Jan","Feb","Mar","Apr","May","Jun","Jul","Aug","Sep","Oct","Nov","Dec"},0)</f>
        <v>8</v>
      </c>
      <c r="E64" s="12"/>
      <c r="F64" s="29"/>
      <c r="G64" s="5"/>
      <c r="H64" s="44" t="s">
        <v>3143</v>
      </c>
      <c r="I64" s="5"/>
    </row>
    <row r="65" spans="1:9" ht="12" customHeight="1">
      <c r="A65" s="96" t="s">
        <v>150</v>
      </c>
      <c r="B65" s="97" t="s">
        <v>151</v>
      </c>
      <c r="C65" s="143" t="s">
        <v>3206</v>
      </c>
      <c r="D65" s="144">
        <f>MATCH(C65,{"Jan","Feb","Mar","Apr","May","Jun","Jul","Aug","Sep","Oct","Nov","Dec"},0)</f>
        <v>7</v>
      </c>
      <c r="E65" s="12"/>
      <c r="F65" s="29"/>
      <c r="G65" s="5"/>
      <c r="H65" s="115" t="s">
        <v>3144</v>
      </c>
      <c r="I65" s="5"/>
    </row>
    <row r="66" spans="1:9" ht="12" customHeight="1">
      <c r="A66" s="96" t="s">
        <v>152</v>
      </c>
      <c r="B66" s="97" t="s">
        <v>153</v>
      </c>
      <c r="C66" s="143" t="s">
        <v>2839</v>
      </c>
      <c r="D66" s="144">
        <f>MATCH(C66,{"Jan","Feb","Mar","Apr","May","Jun","Jul","Aug","Sep","Oct","Nov","Dec"},0)</f>
        <v>5</v>
      </c>
      <c r="E66" s="12"/>
      <c r="F66" s="29"/>
      <c r="G66" s="5"/>
      <c r="I66" s="5"/>
    </row>
    <row r="67" spans="1:9" ht="12" customHeight="1">
      <c r="A67" s="96" t="s">
        <v>155</v>
      </c>
      <c r="B67" s="97" t="s">
        <v>154</v>
      </c>
      <c r="C67" s="143" t="s">
        <v>3207</v>
      </c>
      <c r="D67" s="144">
        <f>MATCH(C67,{"Jan","Feb","Mar","Apr","May","Jun","Jul","Aug","Sep","Oct","Nov","Dec"},0)</f>
        <v>8</v>
      </c>
      <c r="E67" s="12"/>
      <c r="F67" s="29"/>
      <c r="G67" s="5"/>
      <c r="I67" s="5"/>
    </row>
    <row r="68" spans="1:9" ht="12" customHeight="1">
      <c r="A68" s="96" t="s">
        <v>157</v>
      </c>
      <c r="B68" s="97" t="s">
        <v>156</v>
      </c>
      <c r="C68" s="143" t="s">
        <v>3207</v>
      </c>
      <c r="D68" s="144">
        <f>MATCH(C68,{"Jan","Feb","Mar","Apr","May","Jun","Jul","Aug","Sep","Oct","Nov","Dec"},0)</f>
        <v>8</v>
      </c>
      <c r="E68" s="12"/>
      <c r="F68" s="29"/>
      <c r="G68" s="5"/>
      <c r="H68" s="26"/>
      <c r="I68" s="5"/>
    </row>
    <row r="69" spans="1:9" ht="12" customHeight="1">
      <c r="A69" s="96" t="s">
        <v>159</v>
      </c>
      <c r="B69" s="97" t="s">
        <v>158</v>
      </c>
      <c r="C69" s="143" t="s">
        <v>3207</v>
      </c>
      <c r="D69" s="144">
        <f>MATCH(C69,{"Jan","Feb","Mar","Apr","May","Jun","Jul","Aug","Sep","Oct","Nov","Dec"},0)</f>
        <v>8</v>
      </c>
      <c r="E69" s="12"/>
      <c r="F69" s="29"/>
      <c r="G69" s="5"/>
      <c r="H69" s="5"/>
      <c r="I69" s="26"/>
    </row>
    <row r="70" spans="1:9" ht="12" customHeight="1">
      <c r="A70" s="96" t="s">
        <v>160</v>
      </c>
      <c r="B70" s="97" t="s">
        <v>17</v>
      </c>
      <c r="C70" s="143" t="s">
        <v>3206</v>
      </c>
      <c r="D70" s="144">
        <f>MATCH(C70,{"Jan","Feb","Mar","Apr","May","Jun","Jul","Aug","Sep","Oct","Nov","Dec"},0)</f>
        <v>7</v>
      </c>
      <c r="E70" s="12"/>
      <c r="F70" s="29"/>
      <c r="G70" s="5"/>
      <c r="H70" s="5"/>
      <c r="I70" s="26"/>
    </row>
    <row r="71" spans="1:9" ht="12" customHeight="1">
      <c r="A71" s="96" t="s">
        <v>161</v>
      </c>
      <c r="B71" s="97" t="s">
        <v>162</v>
      </c>
      <c r="C71" s="143" t="s">
        <v>3207</v>
      </c>
      <c r="D71" s="144">
        <f>MATCH(C71,{"Jan","Feb","Mar","Apr","May","Jun","Jul","Aug","Sep","Oct","Nov","Dec"},0)</f>
        <v>8</v>
      </c>
      <c r="E71" s="12"/>
      <c r="F71" s="29"/>
      <c r="G71" s="5"/>
      <c r="H71" s="5"/>
      <c r="I71" s="26"/>
    </row>
    <row r="72" spans="1:9" ht="12" customHeight="1">
      <c r="A72" s="96" t="s">
        <v>163</v>
      </c>
      <c r="B72" s="97" t="s">
        <v>164</v>
      </c>
      <c r="C72" s="143" t="s">
        <v>3207</v>
      </c>
      <c r="D72" s="144">
        <f>MATCH(C72,{"Jan","Feb","Mar","Apr","May","Jun","Jul","Aug","Sep","Oct","Nov","Dec"},0)</f>
        <v>8</v>
      </c>
      <c r="E72" s="12"/>
      <c r="F72" s="29"/>
      <c r="G72" s="5"/>
      <c r="H72" s="5"/>
      <c r="I72" s="26"/>
    </row>
    <row r="73" spans="1:9" ht="12" customHeight="1">
      <c r="A73" s="96" t="s">
        <v>165</v>
      </c>
      <c r="B73" s="97" t="s">
        <v>166</v>
      </c>
      <c r="C73" s="143" t="s">
        <v>3204</v>
      </c>
      <c r="D73" s="144">
        <f>MATCH(C73,{"Jan","Feb","Mar","Apr","May","Jun","Jul","Aug","Sep","Oct","Nov","Dec"},0)</f>
        <v>6</v>
      </c>
      <c r="E73" s="12"/>
      <c r="F73" s="29"/>
      <c r="G73" s="5"/>
      <c r="H73" s="5"/>
      <c r="I73" s="26"/>
    </row>
    <row r="74" spans="1:9" ht="12" customHeight="1">
      <c r="A74" s="96" t="s">
        <v>168</v>
      </c>
      <c r="B74" s="97" t="s">
        <v>167</v>
      </c>
      <c r="C74" s="143" t="s">
        <v>3207</v>
      </c>
      <c r="D74" s="144">
        <f>MATCH(C74,{"Jan","Feb","Mar","Apr","May","Jun","Jul","Aug","Sep","Oct","Nov","Dec"},0)</f>
        <v>8</v>
      </c>
      <c r="E74" s="12"/>
      <c r="F74" s="29"/>
      <c r="G74" s="5"/>
      <c r="H74" s="5"/>
      <c r="I74" s="26"/>
    </row>
    <row r="75" spans="1:9" ht="12" customHeight="1">
      <c r="A75" s="96" t="s">
        <v>169</v>
      </c>
      <c r="B75" s="97" t="s">
        <v>170</v>
      </c>
      <c r="C75" s="143" t="s">
        <v>3207</v>
      </c>
      <c r="D75" s="144">
        <f>MATCH(C75,{"Jan","Feb","Mar","Apr","May","Jun","Jul","Aug","Sep","Oct","Nov","Dec"},0)</f>
        <v>8</v>
      </c>
      <c r="E75" s="12"/>
      <c r="F75" s="29"/>
      <c r="G75" s="5"/>
      <c r="H75" s="5"/>
      <c r="I75" s="26"/>
    </row>
    <row r="76" spans="1:9" ht="12" customHeight="1">
      <c r="A76" s="96" t="s">
        <v>171</v>
      </c>
      <c r="B76" s="97" t="s">
        <v>12</v>
      </c>
      <c r="C76" s="143" t="s">
        <v>3207</v>
      </c>
      <c r="D76" s="144">
        <f>MATCH(C76,{"Jan","Feb","Mar","Apr","May","Jun","Jul","Aug","Sep","Oct","Nov","Dec"},0)</f>
        <v>8</v>
      </c>
      <c r="E76" s="12"/>
      <c r="F76" s="29"/>
      <c r="G76" s="5"/>
      <c r="H76" s="5"/>
      <c r="I76" s="26"/>
    </row>
    <row r="77" spans="1:9" ht="12" customHeight="1">
      <c r="A77" s="96" t="s">
        <v>172</v>
      </c>
      <c r="B77" s="97" t="s">
        <v>3</v>
      </c>
      <c r="C77" s="143" t="s">
        <v>3207</v>
      </c>
      <c r="D77" s="144">
        <f>MATCH(C77,{"Jan","Feb","Mar","Apr","May","Jun","Jul","Aug","Sep","Oct","Nov","Dec"},0)</f>
        <v>8</v>
      </c>
      <c r="E77" s="12"/>
      <c r="F77" s="29"/>
      <c r="G77" s="5"/>
      <c r="H77" s="5"/>
      <c r="I77" s="26"/>
    </row>
    <row r="78" spans="1:9" ht="12" customHeight="1">
      <c r="A78" s="96" t="s">
        <v>173</v>
      </c>
      <c r="B78" s="97" t="s">
        <v>174</v>
      </c>
      <c r="C78" s="143" t="s">
        <v>3207</v>
      </c>
      <c r="D78" s="144">
        <f>MATCH(C78,{"Jan","Feb","Mar","Apr","May","Jun","Jul","Aug","Sep","Oct","Nov","Dec"},0)</f>
        <v>8</v>
      </c>
      <c r="E78" s="12"/>
      <c r="F78" s="29"/>
      <c r="G78" s="5"/>
      <c r="H78" s="5"/>
      <c r="I78" s="26"/>
    </row>
    <row r="79" spans="1:9" ht="12" customHeight="1">
      <c r="A79" s="96" t="s">
        <v>175</v>
      </c>
      <c r="B79" s="97" t="s">
        <v>16</v>
      </c>
      <c r="C79" s="143" t="s">
        <v>3207</v>
      </c>
      <c r="D79" s="144">
        <f>MATCH(C79,{"Jan","Feb","Mar","Apr","May","Jun","Jul","Aug","Sep","Oct","Nov","Dec"},0)</f>
        <v>8</v>
      </c>
      <c r="E79" s="12"/>
      <c r="F79" s="29"/>
      <c r="G79" s="5"/>
      <c r="H79" s="5"/>
      <c r="I79" s="26"/>
    </row>
    <row r="80" spans="1:9" ht="12" customHeight="1">
      <c r="A80" s="96" t="s">
        <v>176</v>
      </c>
      <c r="B80" s="97" t="s">
        <v>20</v>
      </c>
      <c r="C80" s="143" t="s">
        <v>3201</v>
      </c>
      <c r="D80" s="144">
        <f>MATCH(C80,{"Jan","Feb","Mar","Apr","May","Jun","Jul","Aug","Sep","Oct","Nov","Dec"},0)</f>
        <v>10</v>
      </c>
      <c r="E80" s="12"/>
      <c r="F80" s="29"/>
      <c r="G80" s="5"/>
      <c r="H80" s="5"/>
      <c r="I80" s="26"/>
    </row>
    <row r="81" spans="1:9" ht="12" customHeight="1">
      <c r="A81" s="96" t="s">
        <v>177</v>
      </c>
      <c r="B81" s="97" t="s">
        <v>10</v>
      </c>
      <c r="C81" s="143" t="s">
        <v>3207</v>
      </c>
      <c r="D81" s="144">
        <f>MATCH(C81,{"Jan","Feb","Mar","Apr","May","Jun","Jul","Aug","Sep","Oct","Nov","Dec"},0)</f>
        <v>8</v>
      </c>
      <c r="E81" s="12"/>
      <c r="F81" s="29"/>
      <c r="G81" s="5"/>
      <c r="H81" s="5"/>
      <c r="I81" s="26"/>
    </row>
    <row r="82" spans="1:9" ht="12" customHeight="1">
      <c r="A82" s="96" t="s">
        <v>178</v>
      </c>
      <c r="B82" s="97" t="s">
        <v>4</v>
      </c>
      <c r="C82" s="143" t="s">
        <v>3207</v>
      </c>
      <c r="D82" s="144">
        <f>MATCH(C82,{"Jan","Feb","Mar","Apr","May","Jun","Jul","Aug","Sep","Oct","Nov","Dec"},0)</f>
        <v>8</v>
      </c>
      <c r="E82" s="12"/>
      <c r="F82" s="29"/>
      <c r="G82" s="5"/>
      <c r="H82" s="5"/>
      <c r="I82" s="26"/>
    </row>
    <row r="83" spans="1:9" ht="12" customHeight="1">
      <c r="A83" s="96" t="s">
        <v>179</v>
      </c>
      <c r="B83" s="97" t="s">
        <v>9</v>
      </c>
      <c r="C83" s="143" t="s">
        <v>3207</v>
      </c>
      <c r="D83" s="144">
        <f>MATCH(C83,{"Jan","Feb","Mar","Apr","May","Jun","Jul","Aug","Sep","Oct","Nov","Dec"},0)</f>
        <v>8</v>
      </c>
      <c r="E83" s="12"/>
      <c r="F83" s="29"/>
      <c r="G83" s="5"/>
      <c r="H83" s="5"/>
      <c r="I83" s="26"/>
    </row>
    <row r="84" spans="1:9" ht="12" customHeight="1">
      <c r="A84" s="96" t="s">
        <v>180</v>
      </c>
      <c r="B84" s="97" t="s">
        <v>515</v>
      </c>
      <c r="C84" s="143" t="s">
        <v>3207</v>
      </c>
      <c r="D84" s="144">
        <f>MATCH(C84,{"Jan","Feb","Mar","Apr","May","Jun","Jul","Aug","Sep","Oct","Nov","Dec"},0)</f>
        <v>8</v>
      </c>
      <c r="E84" s="12"/>
      <c r="F84" s="29"/>
      <c r="G84" s="5"/>
      <c r="H84" s="5"/>
      <c r="I84" s="26"/>
    </row>
    <row r="85" spans="1:9" ht="12" customHeight="1">
      <c r="A85" s="96" t="s">
        <v>181</v>
      </c>
      <c r="B85" s="97" t="s">
        <v>516</v>
      </c>
      <c r="C85" s="143" t="s">
        <v>3207</v>
      </c>
      <c r="D85" s="144">
        <f>MATCH(C85,{"Jan","Feb","Mar","Apr","May","Jun","Jul","Aug","Sep","Oct","Nov","Dec"},0)</f>
        <v>8</v>
      </c>
      <c r="E85" s="12"/>
      <c r="F85" s="29"/>
      <c r="G85" s="5"/>
      <c r="H85" s="5"/>
      <c r="I85" s="26"/>
    </row>
    <row r="86" spans="1:9" ht="12" customHeight="1">
      <c r="A86" s="96" t="s">
        <v>182</v>
      </c>
      <c r="B86" s="97" t="s">
        <v>183</v>
      </c>
      <c r="C86" s="143" t="s">
        <v>3207</v>
      </c>
      <c r="D86" s="144">
        <f>MATCH(C86,{"Jan","Feb","Mar","Apr","May","Jun","Jul","Aug","Sep","Oct","Nov","Dec"},0)</f>
        <v>8</v>
      </c>
      <c r="E86" s="12"/>
      <c r="F86" s="29"/>
      <c r="G86" s="5"/>
      <c r="H86" s="5"/>
      <c r="I86" s="26"/>
    </row>
    <row r="87" spans="1:9" ht="12" customHeight="1">
      <c r="A87" s="96" t="s">
        <v>184</v>
      </c>
      <c r="B87" s="97" t="s">
        <v>2</v>
      </c>
      <c r="C87" s="143" t="s">
        <v>3207</v>
      </c>
      <c r="D87" s="144">
        <f>MATCH(C87,{"Jan","Feb","Mar","Apr","May","Jun","Jul","Aug","Sep","Oct","Nov","Dec"},0)</f>
        <v>8</v>
      </c>
      <c r="E87" s="12"/>
      <c r="F87" s="29"/>
      <c r="G87" s="5"/>
      <c r="H87" s="5"/>
      <c r="I87" s="26"/>
    </row>
    <row r="88" spans="1:9" ht="12" customHeight="1">
      <c r="A88" s="96" t="s">
        <v>185</v>
      </c>
      <c r="B88" s="97" t="s">
        <v>5</v>
      </c>
      <c r="C88" s="143" t="s">
        <v>3207</v>
      </c>
      <c r="D88" s="144">
        <f>MATCH(C88,{"Jan","Feb","Mar","Apr","May","Jun","Jul","Aug","Sep","Oct","Nov","Dec"},0)</f>
        <v>8</v>
      </c>
      <c r="E88" s="12"/>
      <c r="F88" s="29"/>
      <c r="G88" s="5"/>
      <c r="H88" s="5"/>
      <c r="I88" s="26"/>
    </row>
    <row r="89" spans="1:9" ht="12" customHeight="1">
      <c r="A89" s="96" t="s">
        <v>186</v>
      </c>
      <c r="B89" s="97" t="s">
        <v>14</v>
      </c>
      <c r="C89" s="143" t="s">
        <v>3207</v>
      </c>
      <c r="D89" s="144">
        <f>MATCH(C89,{"Jan","Feb","Mar","Apr","May","Jun","Jul","Aug","Sep","Oct","Nov","Dec"},0)</f>
        <v>8</v>
      </c>
      <c r="E89" s="12"/>
      <c r="F89" s="29"/>
      <c r="G89" s="5"/>
      <c r="H89" s="5"/>
      <c r="I89" s="26"/>
    </row>
    <row r="90" spans="1:9" ht="12" customHeight="1">
      <c r="A90" s="96" t="s">
        <v>187</v>
      </c>
      <c r="B90" s="97" t="s">
        <v>8</v>
      </c>
      <c r="C90" s="143" t="s">
        <v>3207</v>
      </c>
      <c r="D90" s="144">
        <f>MATCH(C90,{"Jan","Feb","Mar","Apr","May","Jun","Jul","Aug","Sep","Oct","Nov","Dec"},0)</f>
        <v>8</v>
      </c>
      <c r="E90" s="12"/>
      <c r="F90" s="29"/>
      <c r="G90" s="5"/>
      <c r="H90" s="5"/>
      <c r="I90" s="26"/>
    </row>
    <row r="91" spans="1:9" ht="12" customHeight="1">
      <c r="A91" s="96" t="s">
        <v>188</v>
      </c>
      <c r="B91" s="97" t="s">
        <v>189</v>
      </c>
      <c r="C91" s="143" t="s">
        <v>3207</v>
      </c>
      <c r="D91" s="144">
        <f>MATCH(C91,{"Jan","Feb","Mar","Apr","May","Jun","Jul","Aug","Sep","Oct","Nov","Dec"},0)</f>
        <v>8</v>
      </c>
      <c r="E91" s="12"/>
      <c r="F91" s="29"/>
      <c r="G91" s="5"/>
      <c r="H91" s="5"/>
      <c r="I91" s="26"/>
    </row>
    <row r="92" spans="1:9" ht="12" customHeight="1">
      <c r="A92" s="96" t="s">
        <v>190</v>
      </c>
      <c r="B92" s="97" t="s">
        <v>191</v>
      </c>
      <c r="C92" s="143" t="s">
        <v>3207</v>
      </c>
      <c r="D92" s="144">
        <f>MATCH(C92,{"Jan","Feb","Mar","Apr","May","Jun","Jul","Aug","Sep","Oct","Nov","Dec"},0)</f>
        <v>8</v>
      </c>
      <c r="E92" s="12"/>
      <c r="F92" s="29"/>
      <c r="G92" s="5"/>
      <c r="H92" s="5"/>
      <c r="I92" s="26"/>
    </row>
    <row r="93" spans="1:9" ht="12" customHeight="1">
      <c r="A93" s="96" t="s">
        <v>192</v>
      </c>
      <c r="B93" s="97" t="s">
        <v>193</v>
      </c>
      <c r="C93" s="143" t="s">
        <v>3207</v>
      </c>
      <c r="D93" s="144">
        <f>MATCH(C93,{"Jan","Feb","Mar","Apr","May","Jun","Jul","Aug","Sep","Oct","Nov","Dec"},0)</f>
        <v>8</v>
      </c>
      <c r="E93" s="95"/>
      <c r="F93" s="29"/>
      <c r="G93" s="5"/>
      <c r="H93" s="5"/>
      <c r="I93" s="26"/>
    </row>
    <row r="94" spans="1:9" ht="12" customHeight="1">
      <c r="A94" s="96" t="s">
        <v>194</v>
      </c>
      <c r="B94" s="97" t="s">
        <v>11</v>
      </c>
      <c r="C94" s="143" t="s">
        <v>3201</v>
      </c>
      <c r="D94" s="144">
        <f>MATCH(C94,{"Jan","Feb","Mar","Apr","May","Jun","Jul","Aug","Sep","Oct","Nov","Dec"},0)</f>
        <v>10</v>
      </c>
      <c r="E94" s="95"/>
      <c r="F94" s="29"/>
      <c r="G94" s="5"/>
      <c r="H94" s="5"/>
      <c r="I94" s="26"/>
    </row>
    <row r="95" spans="1:9" ht="12" customHeight="1">
      <c r="A95" s="96" t="s">
        <v>195</v>
      </c>
      <c r="B95" s="97" t="s">
        <v>196</v>
      </c>
      <c r="C95" s="143" t="s">
        <v>3207</v>
      </c>
      <c r="D95" s="144">
        <f>MATCH(C95,{"Jan","Feb","Mar","Apr","May","Jun","Jul","Aug","Sep","Oct","Nov","Dec"},0)</f>
        <v>8</v>
      </c>
      <c r="E95" s="12"/>
      <c r="F95" s="29"/>
      <c r="G95" s="5"/>
      <c r="H95" s="5"/>
      <c r="I95" s="26"/>
    </row>
    <row r="96" spans="1:9" ht="12" customHeight="1">
      <c r="A96" s="96" t="s">
        <v>197</v>
      </c>
      <c r="B96" s="97" t="s">
        <v>517</v>
      </c>
      <c r="C96" s="143" t="s">
        <v>3207</v>
      </c>
      <c r="D96" s="144">
        <f>MATCH(C96,{"Jan","Feb","Mar","Apr","May","Jun","Jul","Aug","Sep","Oct","Nov","Dec"},0)</f>
        <v>8</v>
      </c>
      <c r="E96" s="12"/>
      <c r="F96" s="29"/>
      <c r="G96" s="5"/>
      <c r="H96" s="5"/>
      <c r="I96" s="26"/>
    </row>
    <row r="97" spans="1:9" ht="12" customHeight="1">
      <c r="A97" s="96" t="s">
        <v>198</v>
      </c>
      <c r="B97" s="97" t="s">
        <v>199</v>
      </c>
      <c r="C97" s="143" t="s">
        <v>3207</v>
      </c>
      <c r="D97" s="144">
        <f>MATCH(C97,{"Jan","Feb","Mar","Apr","May","Jun","Jul","Aug","Sep","Oct","Nov","Dec"},0)</f>
        <v>8</v>
      </c>
      <c r="E97" s="12"/>
      <c r="F97" s="29"/>
      <c r="G97" s="5"/>
      <c r="H97" s="5"/>
      <c r="I97" s="26"/>
    </row>
    <row r="98" spans="1:9" ht="12" customHeight="1">
      <c r="A98" s="96" t="s">
        <v>200</v>
      </c>
      <c r="B98" s="97" t="s">
        <v>201</v>
      </c>
      <c r="C98" s="143" t="s">
        <v>3207</v>
      </c>
      <c r="D98" s="144">
        <f>MATCH(C98,{"Jan","Feb","Mar","Apr","May","Jun","Jul","Aug","Sep","Oct","Nov","Dec"},0)</f>
        <v>8</v>
      </c>
      <c r="E98" s="95"/>
      <c r="F98" s="29"/>
      <c r="G98" s="5"/>
      <c r="H98" s="5"/>
      <c r="I98" s="26"/>
    </row>
    <row r="99" spans="1:9" ht="12" customHeight="1">
      <c r="A99" s="96" t="s">
        <v>202</v>
      </c>
      <c r="B99" s="97" t="s">
        <v>203</v>
      </c>
      <c r="C99" s="143" t="s">
        <v>3207</v>
      </c>
      <c r="D99" s="144">
        <f>MATCH(C99,{"Jan","Feb","Mar","Apr","May","Jun","Jul","Aug","Sep","Oct","Nov","Dec"},0)</f>
        <v>8</v>
      </c>
      <c r="E99" s="95"/>
      <c r="F99" s="29"/>
      <c r="G99" s="5"/>
      <c r="H99" s="5"/>
      <c r="I99" s="26"/>
    </row>
    <row r="100" spans="1:9" ht="12" customHeight="1">
      <c r="A100" s="96" t="s">
        <v>204</v>
      </c>
      <c r="B100" s="97" t="s">
        <v>6</v>
      </c>
      <c r="C100" s="143" t="s">
        <v>3207</v>
      </c>
      <c r="D100" s="144">
        <f>MATCH(C100,{"Jan","Feb","Mar","Apr","May","Jun","Jul","Aug","Sep","Oct","Nov","Dec"},0)</f>
        <v>8</v>
      </c>
      <c r="E100" s="95"/>
      <c r="F100" s="29"/>
      <c r="G100" s="5"/>
      <c r="H100" s="5"/>
      <c r="I100" s="26"/>
    </row>
    <row r="101" spans="1:9" ht="12" customHeight="1">
      <c r="A101" s="96" t="s">
        <v>205</v>
      </c>
      <c r="B101" s="97" t="s">
        <v>206</v>
      </c>
      <c r="C101" s="143" t="s">
        <v>3207</v>
      </c>
      <c r="D101" s="144">
        <f>MATCH(C101,{"Jan","Feb","Mar","Apr","May","Jun","Jul","Aug","Sep","Oct","Nov","Dec"},0)</f>
        <v>8</v>
      </c>
      <c r="E101" s="95"/>
      <c r="F101" s="29"/>
      <c r="G101" s="5"/>
      <c r="H101" s="5"/>
      <c r="I101" s="26"/>
    </row>
    <row r="102" spans="1:9" ht="12" customHeight="1">
      <c r="A102" s="96" t="s">
        <v>207</v>
      </c>
      <c r="B102" s="97" t="s">
        <v>208</v>
      </c>
      <c r="C102" s="143" t="s">
        <v>3207</v>
      </c>
      <c r="D102" s="144">
        <f>MATCH(C102,{"Jan","Feb","Mar","Apr","May","Jun","Jul","Aug","Sep","Oct","Nov","Dec"},0)</f>
        <v>8</v>
      </c>
      <c r="E102" s="12"/>
      <c r="F102" s="29"/>
      <c r="G102" s="5"/>
      <c r="H102" s="5"/>
      <c r="I102" s="26"/>
    </row>
    <row r="103" spans="1:9" ht="12" customHeight="1">
      <c r="A103" s="96" t="s">
        <v>209</v>
      </c>
      <c r="B103" s="97" t="s">
        <v>210</v>
      </c>
      <c r="C103" s="143" t="s">
        <v>3207</v>
      </c>
      <c r="D103" s="144">
        <f>MATCH(C103,{"Jan","Feb","Mar","Apr","May","Jun","Jul","Aug","Sep","Oct","Nov","Dec"},0)</f>
        <v>8</v>
      </c>
      <c r="E103" s="12"/>
      <c r="F103" s="29"/>
      <c r="G103" s="5"/>
      <c r="H103" s="5"/>
      <c r="I103" s="26"/>
    </row>
    <row r="104" spans="1:9" ht="12" customHeight="1">
      <c r="A104" s="96" t="s">
        <v>211</v>
      </c>
      <c r="B104" s="97" t="s">
        <v>212</v>
      </c>
      <c r="C104" s="143" t="s">
        <v>3207</v>
      </c>
      <c r="D104" s="144">
        <f>MATCH(C104,{"Jan","Feb","Mar","Apr","May","Jun","Jul","Aug","Sep","Oct","Nov","Dec"},0)</f>
        <v>8</v>
      </c>
      <c r="E104" s="12"/>
      <c r="F104" s="29"/>
      <c r="G104" s="5"/>
      <c r="H104" s="5"/>
      <c r="I104" s="26"/>
    </row>
    <row r="105" spans="1:9" ht="12" customHeight="1">
      <c r="A105" s="96" t="s">
        <v>213</v>
      </c>
      <c r="B105" s="97" t="s">
        <v>25</v>
      </c>
      <c r="C105" s="143" t="s">
        <v>3207</v>
      </c>
      <c r="D105" s="144">
        <f>MATCH(C105,{"Jan","Feb","Mar","Apr","May","Jun","Jul","Aug","Sep","Oct","Nov","Dec"},0)</f>
        <v>8</v>
      </c>
      <c r="E105" s="12"/>
      <c r="F105" s="29"/>
      <c r="G105" s="5"/>
      <c r="H105" s="5"/>
      <c r="I105" s="26"/>
    </row>
    <row r="106" spans="1:9" ht="12" customHeight="1">
      <c r="A106" s="96" t="s">
        <v>214</v>
      </c>
      <c r="B106" s="97" t="s">
        <v>518</v>
      </c>
      <c r="C106" s="143" t="s">
        <v>3201</v>
      </c>
      <c r="D106" s="144">
        <f>MATCH(C106,{"Jan","Feb","Mar","Apr","May","Jun","Jul","Aug","Sep","Oct","Nov","Dec"},0)</f>
        <v>10</v>
      </c>
      <c r="E106" s="95"/>
      <c r="F106" s="29"/>
      <c r="G106" s="5"/>
      <c r="H106" s="5"/>
      <c r="I106" s="26"/>
    </row>
    <row r="107" spans="1:9" ht="12" customHeight="1">
      <c r="A107" s="96" t="s">
        <v>215</v>
      </c>
      <c r="B107" s="97" t="s">
        <v>3019</v>
      </c>
      <c r="C107" s="143" t="s">
        <v>3207</v>
      </c>
      <c r="D107" s="144">
        <f>MATCH(C107,{"Jan","Feb","Mar","Apr","May","Jun","Jul","Aug","Sep","Oct","Nov","Dec"},0)</f>
        <v>8</v>
      </c>
      <c r="E107" s="95"/>
      <c r="F107" s="29"/>
      <c r="G107" s="5"/>
      <c r="H107" s="5"/>
      <c r="I107" s="26"/>
    </row>
    <row r="108" spans="1:9" ht="12" customHeight="1">
      <c r="A108" s="96" t="s">
        <v>216</v>
      </c>
      <c r="B108" s="97" t="s">
        <v>217</v>
      </c>
      <c r="C108" s="143" t="s">
        <v>3207</v>
      </c>
      <c r="D108" s="144">
        <f>MATCH(C108,{"Jan","Feb","Mar","Apr","May","Jun","Jul","Aug","Sep","Oct","Nov","Dec"},0)</f>
        <v>8</v>
      </c>
      <c r="E108" s="85"/>
      <c r="F108" s="29"/>
      <c r="G108" s="5"/>
      <c r="H108" s="5"/>
      <c r="I108" s="26"/>
    </row>
    <row r="109" spans="1:9" ht="12" customHeight="1">
      <c r="A109" s="96" t="s">
        <v>218</v>
      </c>
      <c r="B109" s="97" t="s">
        <v>219</v>
      </c>
      <c r="C109" s="145" t="s">
        <v>3207</v>
      </c>
      <c r="D109" s="144">
        <f>MATCH(C109,{"Jan","Feb","Mar","Apr","May","Jun","Jul","Aug","Sep","Oct","Nov","Dec"},0)</f>
        <v>8</v>
      </c>
    </row>
    <row r="110" spans="1:9" ht="12" customHeight="1">
      <c r="A110" s="96" t="s">
        <v>220</v>
      </c>
      <c r="B110" s="97" t="s">
        <v>221</v>
      </c>
      <c r="C110" s="143" t="s">
        <v>3207</v>
      </c>
      <c r="D110" s="144">
        <f>MATCH(C110,{"Jan","Feb","Mar","Apr","May","Jun","Jul","Aug","Sep","Oct","Nov","Dec"},0)</f>
        <v>8</v>
      </c>
      <c r="E110" s="85"/>
      <c r="F110" s="29"/>
      <c r="G110" s="5"/>
      <c r="H110" s="5"/>
      <c r="I110" s="26"/>
    </row>
    <row r="111" spans="1:9" ht="12" customHeight="1">
      <c r="A111" s="96" t="s">
        <v>222</v>
      </c>
      <c r="B111" s="97" t="s">
        <v>223</v>
      </c>
      <c r="C111" s="143" t="s">
        <v>3207</v>
      </c>
      <c r="D111" s="144">
        <f>MATCH(C111,{"Jan","Feb","Mar","Apr","May","Jun","Jul","Aug","Sep","Oct","Nov","Dec"},0)</f>
        <v>8</v>
      </c>
      <c r="E111" s="85"/>
      <c r="F111" s="29"/>
      <c r="G111" s="5"/>
      <c r="H111" s="5"/>
      <c r="I111" s="26"/>
    </row>
    <row r="112" spans="1:9" ht="12" customHeight="1">
      <c r="A112" s="96" t="s">
        <v>224</v>
      </c>
      <c r="B112" s="97" t="s">
        <v>519</v>
      </c>
      <c r="C112" s="143" t="s">
        <v>3207</v>
      </c>
      <c r="D112" s="144">
        <f>MATCH(C112,{"Jan","Feb","Mar","Apr","May","Jun","Jul","Aug","Sep","Oct","Nov","Dec"},0)</f>
        <v>8</v>
      </c>
      <c r="E112" s="85"/>
      <c r="F112" s="29"/>
      <c r="G112" s="5"/>
      <c r="H112" s="5"/>
      <c r="I112" s="26"/>
    </row>
    <row r="113" spans="1:4" ht="12" customHeight="1">
      <c r="A113" s="96" t="s">
        <v>225</v>
      </c>
      <c r="B113" s="97" t="s">
        <v>226</v>
      </c>
      <c r="C113" s="145" t="s">
        <v>3207</v>
      </c>
      <c r="D113" s="144">
        <f>MATCH(C113,{"Jan","Feb","Mar","Apr","May","Jun","Jul","Aug","Sep","Oct","Nov","Dec"},0)</f>
        <v>8</v>
      </c>
    </row>
    <row r="114" spans="1:4" ht="12" customHeight="1">
      <c r="A114" s="96" t="s">
        <v>227</v>
      </c>
      <c r="B114" s="97" t="s">
        <v>228</v>
      </c>
      <c r="C114" s="145" t="s">
        <v>3207</v>
      </c>
      <c r="D114" s="144">
        <f>MATCH(C114,{"Jan","Feb","Mar","Apr","May","Jun","Jul","Aug","Sep","Oct","Nov","Dec"},0)</f>
        <v>8</v>
      </c>
    </row>
    <row r="115" spans="1:4" ht="12" customHeight="1">
      <c r="A115" s="96" t="s">
        <v>229</v>
      </c>
      <c r="B115" s="97" t="s">
        <v>15</v>
      </c>
      <c r="C115" s="145" t="s">
        <v>3207</v>
      </c>
      <c r="D115" s="144">
        <f>MATCH(C115,{"Jan","Feb","Mar","Apr","May","Jun","Jul","Aug","Sep","Oct","Nov","Dec"},0)</f>
        <v>8</v>
      </c>
    </row>
    <row r="116" spans="1:4" ht="12" customHeight="1">
      <c r="A116" s="96" t="s">
        <v>230</v>
      </c>
      <c r="B116" s="97" t="s">
        <v>231</v>
      </c>
      <c r="C116" s="145" t="s">
        <v>3207</v>
      </c>
      <c r="D116" s="144">
        <f>MATCH(C116,{"Jan","Feb","Mar","Apr","May","Jun","Jul","Aug","Sep","Oct","Nov","Dec"},0)</f>
        <v>8</v>
      </c>
    </row>
    <row r="117" spans="1:4" ht="12" customHeight="1">
      <c r="A117" s="96" t="s">
        <v>232</v>
      </c>
      <c r="B117" s="97" t="s">
        <v>520</v>
      </c>
      <c r="C117" s="145" t="s">
        <v>3207</v>
      </c>
      <c r="D117" s="144">
        <f>MATCH(C117,{"Jan","Feb","Mar","Apr","May","Jun","Jul","Aug","Sep","Oct","Nov","Dec"},0)</f>
        <v>8</v>
      </c>
    </row>
    <row r="118" spans="1:4" ht="12" customHeight="1">
      <c r="A118" s="96" t="s">
        <v>234</v>
      </c>
      <c r="B118" s="97" t="s">
        <v>233</v>
      </c>
      <c r="C118" s="145" t="s">
        <v>3207</v>
      </c>
      <c r="D118" s="144">
        <f>MATCH(C118,{"Jan","Feb","Mar","Apr","May","Jun","Jul","Aug","Sep","Oct","Nov","Dec"},0)</f>
        <v>8</v>
      </c>
    </row>
    <row r="119" spans="1:4" ht="12" customHeight="1">
      <c r="A119" s="96" t="s">
        <v>235</v>
      </c>
      <c r="B119" s="97" t="s">
        <v>236</v>
      </c>
      <c r="C119" s="145" t="s">
        <v>3207</v>
      </c>
      <c r="D119" s="144">
        <f>MATCH(C119,{"Jan","Feb","Mar","Apr","May","Jun","Jul","Aug","Sep","Oct","Nov","Dec"},0)</f>
        <v>8</v>
      </c>
    </row>
    <row r="120" spans="1:4" ht="12" customHeight="1">
      <c r="A120" s="96" t="s">
        <v>237</v>
      </c>
      <c r="B120" s="97" t="s">
        <v>238</v>
      </c>
      <c r="C120" s="145" t="s">
        <v>3207</v>
      </c>
      <c r="D120" s="144">
        <f>MATCH(C120,{"Jan","Feb","Mar","Apr","May","Jun","Jul","Aug","Sep","Oct","Nov","Dec"},0)</f>
        <v>8</v>
      </c>
    </row>
    <row r="121" spans="1:4" ht="12" customHeight="1">
      <c r="A121" s="96" t="s">
        <v>239</v>
      </c>
      <c r="B121" s="97" t="s">
        <v>240</v>
      </c>
      <c r="C121" s="145" t="s">
        <v>3207</v>
      </c>
      <c r="D121" s="144">
        <f>MATCH(C121,{"Jan","Feb","Mar","Apr","May","Jun","Jul","Aug","Sep","Oct","Nov","Dec"},0)</f>
        <v>8</v>
      </c>
    </row>
    <row r="122" spans="1:4" ht="12" customHeight="1">
      <c r="A122" s="96" t="s">
        <v>241</v>
      </c>
      <c r="B122" s="97" t="s">
        <v>242</v>
      </c>
      <c r="C122" s="145" t="s">
        <v>3207</v>
      </c>
      <c r="D122" s="144">
        <f>MATCH(C122,{"Jan","Feb","Mar","Apr","May","Jun","Jul","Aug","Sep","Oct","Nov","Dec"},0)</f>
        <v>8</v>
      </c>
    </row>
    <row r="123" spans="1:4" ht="12" customHeight="1">
      <c r="A123" s="96" t="s">
        <v>243</v>
      </c>
      <c r="B123" s="97" t="s">
        <v>244</v>
      </c>
      <c r="C123" s="145" t="s">
        <v>3207</v>
      </c>
      <c r="D123" s="144">
        <f>MATCH(C123,{"Jan","Feb","Mar","Apr","May","Jun","Jul","Aug","Sep","Oct","Nov","Dec"},0)</f>
        <v>8</v>
      </c>
    </row>
    <row r="124" spans="1:4" ht="12" customHeight="1">
      <c r="A124" s="96" t="s">
        <v>245</v>
      </c>
      <c r="B124" s="97" t="s">
        <v>246</v>
      </c>
      <c r="C124" s="145" t="s">
        <v>3207</v>
      </c>
      <c r="D124" s="144">
        <f>MATCH(C124,{"Jan","Feb","Mar","Apr","May","Jun","Jul","Aug","Sep","Oct","Nov","Dec"},0)</f>
        <v>8</v>
      </c>
    </row>
    <row r="125" spans="1:4" ht="12" customHeight="1">
      <c r="A125" s="96" t="s">
        <v>247</v>
      </c>
      <c r="B125" s="97" t="s">
        <v>248</v>
      </c>
      <c r="C125" s="145" t="s">
        <v>3207</v>
      </c>
      <c r="D125" s="144">
        <f>MATCH(C125,{"Jan","Feb","Mar","Apr","May","Jun","Jul","Aug","Sep","Oct","Nov","Dec"},0)</f>
        <v>8</v>
      </c>
    </row>
    <row r="126" spans="1:4" ht="12" customHeight="1">
      <c r="A126" s="96" t="s">
        <v>249</v>
      </c>
      <c r="B126" s="97" t="s">
        <v>521</v>
      </c>
      <c r="C126" s="145" t="s">
        <v>3207</v>
      </c>
      <c r="D126" s="144">
        <f>MATCH(C126,{"Jan","Feb","Mar","Apr","May","Jun","Jul","Aug","Sep","Oct","Nov","Dec"},0)</f>
        <v>8</v>
      </c>
    </row>
    <row r="127" spans="1:4" ht="12" customHeight="1">
      <c r="A127" s="96" t="s">
        <v>251</v>
      </c>
      <c r="B127" s="97" t="s">
        <v>250</v>
      </c>
      <c r="C127" s="145" t="s">
        <v>3207</v>
      </c>
      <c r="D127" s="144">
        <f>MATCH(C127,{"Jan","Feb","Mar","Apr","May","Jun","Jul","Aug","Sep","Oct","Nov","Dec"},0)</f>
        <v>8</v>
      </c>
    </row>
    <row r="128" spans="1:4" ht="12" customHeight="1">
      <c r="A128" s="96" t="s">
        <v>252</v>
      </c>
      <c r="B128" s="97" t="s">
        <v>253</v>
      </c>
      <c r="C128" s="145" t="s">
        <v>3203</v>
      </c>
      <c r="D128" s="144">
        <f>MATCH(C128,{"Jan","Feb","Mar","Apr","May","Jun","Jul","Aug","Sep","Oct","Nov","Dec"},0)</f>
        <v>2</v>
      </c>
    </row>
    <row r="129" spans="1:4" ht="12" customHeight="1">
      <c r="A129" s="96" t="s">
        <v>254</v>
      </c>
      <c r="B129" s="97" t="s">
        <v>255</v>
      </c>
      <c r="C129" s="145" t="s">
        <v>3200</v>
      </c>
      <c r="D129" s="144">
        <f>MATCH(C129,{"Jan","Feb","Mar","Apr","May","Jun","Jul","Aug","Sep","Oct","Nov","Dec"},0)</f>
        <v>1</v>
      </c>
    </row>
    <row r="130" spans="1:4" ht="12" customHeight="1">
      <c r="A130" s="96" t="s">
        <v>256</v>
      </c>
      <c r="B130" s="97" t="s">
        <v>257</v>
      </c>
      <c r="C130" s="145" t="s">
        <v>3201</v>
      </c>
      <c r="D130" s="144">
        <f>MATCH(C130,{"Jan","Feb","Mar","Apr","May","Jun","Jul","Aug","Sep","Oct","Nov","Dec"},0)</f>
        <v>10</v>
      </c>
    </row>
    <row r="131" spans="1:4" ht="12" customHeight="1">
      <c r="A131" s="96" t="s">
        <v>258</v>
      </c>
      <c r="B131" s="97" t="s">
        <v>259</v>
      </c>
      <c r="C131" s="145" t="s">
        <v>3201</v>
      </c>
      <c r="D131" s="144">
        <f>MATCH(C131,{"Jan","Feb","Mar","Apr","May","Jun","Jul","Aug","Sep","Oct","Nov","Dec"},0)</f>
        <v>10</v>
      </c>
    </row>
    <row r="132" spans="1:4" ht="12" customHeight="1">
      <c r="A132" s="96" t="s">
        <v>260</v>
      </c>
      <c r="B132" s="97" t="s">
        <v>18</v>
      </c>
      <c r="C132" s="145" t="s">
        <v>2839</v>
      </c>
      <c r="D132" s="144">
        <f>MATCH(C132,{"Jan","Feb","Mar","Apr","May","Jun","Jul","Aug","Sep","Oct","Nov","Dec"},0)</f>
        <v>5</v>
      </c>
    </row>
    <row r="133" spans="1:4" ht="12" customHeight="1">
      <c r="A133" s="96" t="s">
        <v>522</v>
      </c>
      <c r="B133" s="97" t="s">
        <v>523</v>
      </c>
      <c r="C133" s="145" t="s">
        <v>3207</v>
      </c>
      <c r="D133" s="144">
        <f>MATCH(C133,{"Jan","Feb","Mar","Apr","May","Jun","Jul","Aug","Sep","Oct","Nov","Dec"},0)</f>
        <v>8</v>
      </c>
    </row>
    <row r="134" spans="1:4" ht="12" customHeight="1">
      <c r="A134" s="96" t="s">
        <v>261</v>
      </c>
      <c r="B134" s="97" t="s">
        <v>7</v>
      </c>
      <c r="C134" s="145" t="s">
        <v>3207</v>
      </c>
      <c r="D134" s="144">
        <f>MATCH(C134,{"Jan","Feb","Mar","Apr","May","Jun","Jul","Aug","Sep","Oct","Nov","Dec"},0)</f>
        <v>8</v>
      </c>
    </row>
    <row r="135" spans="1:4" ht="12" customHeight="1">
      <c r="A135" s="96" t="s">
        <v>524</v>
      </c>
      <c r="B135" s="97" t="s">
        <v>525</v>
      </c>
      <c r="C135" s="145" t="s">
        <v>3207</v>
      </c>
      <c r="D135" s="144">
        <f>MATCH(C135,{"Jan","Feb","Mar","Apr","May","Jun","Jul","Aug","Sep","Oct","Nov","Dec"},0)</f>
        <v>8</v>
      </c>
    </row>
    <row r="136" spans="1:4" ht="12" customHeight="1">
      <c r="A136" s="96" t="s">
        <v>526</v>
      </c>
      <c r="B136" s="97" t="s">
        <v>527</v>
      </c>
      <c r="C136" s="145" t="s">
        <v>3207</v>
      </c>
      <c r="D136" s="144">
        <f>MATCH(C136,{"Jan","Feb","Mar","Apr","May","Jun","Jul","Aug","Sep","Oct","Nov","Dec"},0)</f>
        <v>8</v>
      </c>
    </row>
    <row r="137" spans="1:4" ht="12" customHeight="1">
      <c r="A137" s="96" t="s">
        <v>262</v>
      </c>
      <c r="B137" s="97" t="s">
        <v>263</v>
      </c>
      <c r="C137" s="145" t="s">
        <v>3207</v>
      </c>
      <c r="D137" s="144">
        <f>MATCH(C137,{"Jan","Feb","Mar","Apr","May","Jun","Jul","Aug","Sep","Oct","Nov","Dec"},0)</f>
        <v>8</v>
      </c>
    </row>
    <row r="138" spans="1:4" ht="12" customHeight="1">
      <c r="A138" s="96" t="s">
        <v>264</v>
      </c>
      <c r="B138" s="97" t="s">
        <v>528</v>
      </c>
      <c r="C138" s="145" t="s">
        <v>3207</v>
      </c>
      <c r="D138" s="144">
        <f>MATCH(C138,{"Jan","Feb","Mar","Apr","May","Jun","Jul","Aug","Sep","Oct","Nov","Dec"},0)</f>
        <v>8</v>
      </c>
    </row>
    <row r="139" spans="1:4" ht="12" customHeight="1">
      <c r="A139" s="96" t="s">
        <v>265</v>
      </c>
      <c r="B139" s="97" t="s">
        <v>266</v>
      </c>
      <c r="C139" s="145" t="s">
        <v>3207</v>
      </c>
      <c r="D139" s="144">
        <f>MATCH(C139,{"Jan","Feb","Mar","Apr","May","Jun","Jul","Aug","Sep","Oct","Nov","Dec"},0)</f>
        <v>8</v>
      </c>
    </row>
    <row r="140" spans="1:4" ht="12" customHeight="1">
      <c r="A140" s="96" t="s">
        <v>267</v>
      </c>
      <c r="B140" s="97" t="s">
        <v>268</v>
      </c>
      <c r="C140" s="145" t="s">
        <v>3207</v>
      </c>
      <c r="D140" s="144">
        <f>MATCH(C140,{"Jan","Feb","Mar","Apr","May","Jun","Jul","Aug","Sep","Oct","Nov","Dec"},0)</f>
        <v>8</v>
      </c>
    </row>
    <row r="141" spans="1:4" ht="12" customHeight="1">
      <c r="A141" s="96" t="s">
        <v>288</v>
      </c>
      <c r="B141" s="97" t="s">
        <v>289</v>
      </c>
      <c r="C141" s="145" t="s">
        <v>3207</v>
      </c>
      <c r="D141" s="144">
        <f>MATCH(C141,{"Jan","Feb","Mar","Apr","May","Jun","Jul","Aug","Sep","Oct","Nov","Dec"},0)</f>
        <v>8</v>
      </c>
    </row>
    <row r="142" spans="1:4" ht="12" customHeight="1">
      <c r="A142" s="96" t="s">
        <v>290</v>
      </c>
      <c r="B142" s="97" t="s">
        <v>291</v>
      </c>
      <c r="C142" s="145" t="s">
        <v>3207</v>
      </c>
      <c r="D142" s="144">
        <f>MATCH(C142,{"Jan","Feb","Mar","Apr","May","Jun","Jul","Aug","Sep","Oct","Nov","Dec"},0)</f>
        <v>8</v>
      </c>
    </row>
    <row r="143" spans="1:4" ht="12" customHeight="1">
      <c r="A143" s="96" t="s">
        <v>292</v>
      </c>
      <c r="B143" s="97" t="s">
        <v>293</v>
      </c>
      <c r="C143" s="145" t="s">
        <v>3207</v>
      </c>
      <c r="D143" s="144">
        <f>MATCH(C143,{"Jan","Feb","Mar","Apr","May","Jun","Jul","Aug","Sep","Oct","Nov","Dec"},0)</f>
        <v>8</v>
      </c>
    </row>
    <row r="144" spans="1:4" ht="12" customHeight="1">
      <c r="A144" s="96" t="s">
        <v>294</v>
      </c>
      <c r="B144" s="97" t="s">
        <v>295</v>
      </c>
      <c r="C144" s="145" t="s">
        <v>3207</v>
      </c>
      <c r="D144" s="144">
        <f>MATCH(C144,{"Jan","Feb","Mar","Apr","May","Jun","Jul","Aug","Sep","Oct","Nov","Dec"},0)</f>
        <v>8</v>
      </c>
    </row>
    <row r="145" spans="1:4" ht="12" customHeight="1">
      <c r="A145" s="96" t="s">
        <v>296</v>
      </c>
      <c r="B145" s="97" t="s">
        <v>297</v>
      </c>
      <c r="C145" s="145" t="s">
        <v>3207</v>
      </c>
      <c r="D145" s="144">
        <f>MATCH(C145,{"Jan","Feb","Mar","Apr","May","Jun","Jul","Aug","Sep","Oct","Nov","Dec"},0)</f>
        <v>8</v>
      </c>
    </row>
    <row r="146" spans="1:4" ht="12" customHeight="1">
      <c r="A146" s="96" t="s">
        <v>298</v>
      </c>
      <c r="B146" s="97" t="s">
        <v>299</v>
      </c>
      <c r="C146" s="145" t="s">
        <v>3207</v>
      </c>
      <c r="D146" s="144">
        <f>MATCH(C146,{"Jan","Feb","Mar","Apr","May","Jun","Jul","Aug","Sep","Oct","Nov","Dec"},0)</f>
        <v>8</v>
      </c>
    </row>
    <row r="147" spans="1:4" ht="12" customHeight="1">
      <c r="A147" s="96" t="s">
        <v>300</v>
      </c>
      <c r="B147" s="97" t="s">
        <v>301</v>
      </c>
      <c r="C147" s="145" t="s">
        <v>3207</v>
      </c>
      <c r="D147" s="144">
        <f>MATCH(C147,{"Jan","Feb","Mar","Apr","May","Jun","Jul","Aug","Sep","Oct","Nov","Dec"},0)</f>
        <v>8</v>
      </c>
    </row>
    <row r="148" spans="1:4" ht="12" customHeight="1">
      <c r="A148" s="96" t="s">
        <v>302</v>
      </c>
      <c r="B148" s="97" t="s">
        <v>303</v>
      </c>
      <c r="C148" s="145" t="s">
        <v>3207</v>
      </c>
      <c r="D148" s="144">
        <f>MATCH(C148,{"Jan","Feb","Mar","Apr","May","Jun","Jul","Aug","Sep","Oct","Nov","Dec"},0)</f>
        <v>8</v>
      </c>
    </row>
    <row r="149" spans="1:4" ht="12" customHeight="1">
      <c r="A149" s="96" t="s">
        <v>270</v>
      </c>
      <c r="B149" s="97" t="s">
        <v>271</v>
      </c>
      <c r="C149" s="145" t="s">
        <v>3207</v>
      </c>
      <c r="D149" s="144">
        <f>MATCH(C149,{"Jan","Feb","Mar","Apr","May","Jun","Jul","Aug","Sep","Oct","Nov","Dec"},0)</f>
        <v>8</v>
      </c>
    </row>
    <row r="150" spans="1:4" ht="12" customHeight="1">
      <c r="A150" s="96" t="s">
        <v>272</v>
      </c>
      <c r="B150" s="97" t="s">
        <v>273</v>
      </c>
      <c r="C150" s="145" t="s">
        <v>3207</v>
      </c>
      <c r="D150" s="144">
        <f>MATCH(C150,{"Jan","Feb","Mar","Apr","May","Jun","Jul","Aug","Sep","Oct","Nov","Dec"},0)</f>
        <v>8</v>
      </c>
    </row>
    <row r="151" spans="1:4" ht="12" customHeight="1">
      <c r="A151" s="96" t="s">
        <v>274</v>
      </c>
      <c r="B151" s="97" t="s">
        <v>275</v>
      </c>
      <c r="C151" s="145" t="s">
        <v>3207</v>
      </c>
      <c r="D151" s="144">
        <f>MATCH(C151,{"Jan","Feb","Mar","Apr","May","Jun","Jul","Aug","Sep","Oct","Nov","Dec"},0)</f>
        <v>8</v>
      </c>
    </row>
    <row r="152" spans="1:4" ht="12" customHeight="1">
      <c r="A152" s="96" t="s">
        <v>276</v>
      </c>
      <c r="B152" s="97" t="s">
        <v>277</v>
      </c>
      <c r="C152" s="145" t="s">
        <v>3207</v>
      </c>
      <c r="D152" s="144">
        <f>MATCH(C152,{"Jan","Feb","Mar","Apr","May","Jun","Jul","Aug","Sep","Oct","Nov","Dec"},0)</f>
        <v>8</v>
      </c>
    </row>
    <row r="153" spans="1:4" ht="12" customHeight="1">
      <c r="A153" s="96" t="s">
        <v>278</v>
      </c>
      <c r="B153" s="97" t="s">
        <v>279</v>
      </c>
      <c r="C153" s="145" t="s">
        <v>3207</v>
      </c>
      <c r="D153" s="144">
        <f>MATCH(C153,{"Jan","Feb","Mar","Apr","May","Jun","Jul","Aug","Sep","Oct","Nov","Dec"},0)</f>
        <v>8</v>
      </c>
    </row>
    <row r="154" spans="1:4" ht="12" customHeight="1">
      <c r="A154" s="96" t="s">
        <v>280</v>
      </c>
      <c r="B154" s="97" t="s">
        <v>281</v>
      </c>
      <c r="C154" s="145" t="s">
        <v>3207</v>
      </c>
      <c r="D154" s="144">
        <f>MATCH(C154,{"Jan","Feb","Mar","Apr","May","Jun","Jul","Aug","Sep","Oct","Nov","Dec"},0)</f>
        <v>8</v>
      </c>
    </row>
    <row r="155" spans="1:4" ht="12" customHeight="1">
      <c r="A155" s="96" t="s">
        <v>282</v>
      </c>
      <c r="B155" s="97" t="s">
        <v>283</v>
      </c>
      <c r="C155" s="145" t="s">
        <v>3207</v>
      </c>
      <c r="D155" s="144">
        <f>MATCH(C155,{"Jan","Feb","Mar","Apr","May","Jun","Jul","Aug","Sep","Oct","Nov","Dec"},0)</f>
        <v>8</v>
      </c>
    </row>
    <row r="156" spans="1:4" ht="12" customHeight="1">
      <c r="A156" s="96" t="s">
        <v>284</v>
      </c>
      <c r="B156" s="97" t="s">
        <v>285</v>
      </c>
      <c r="C156" s="145" t="s">
        <v>3207</v>
      </c>
      <c r="D156" s="144">
        <f>MATCH(C156,{"Jan","Feb","Mar","Apr","May","Jun","Jul","Aug","Sep","Oct","Nov","Dec"},0)</f>
        <v>8</v>
      </c>
    </row>
    <row r="157" spans="1:4" ht="12" customHeight="1">
      <c r="A157" s="96" t="s">
        <v>286</v>
      </c>
      <c r="B157" s="97" t="s">
        <v>287</v>
      </c>
      <c r="C157" s="145" t="s">
        <v>3206</v>
      </c>
      <c r="D157" s="144">
        <f>MATCH(C157,{"Jan","Feb","Mar","Apr","May","Jun","Jul","Aug","Sep","Oct","Nov","Dec"},0)</f>
        <v>7</v>
      </c>
    </row>
    <row r="158" spans="1:4" ht="12" customHeight="1">
      <c r="A158" s="96" t="s">
        <v>304</v>
      </c>
      <c r="B158" s="97" t="s">
        <v>3023</v>
      </c>
      <c r="C158" s="145" t="s">
        <v>3207</v>
      </c>
      <c r="D158" s="144">
        <f>MATCH(C158,{"Jan","Feb","Mar","Apr","May","Jun","Jul","Aug","Sep","Oct","Nov","Dec"},0)</f>
        <v>8</v>
      </c>
    </row>
    <row r="159" spans="1:4" ht="12" customHeight="1">
      <c r="A159" s="96" t="s">
        <v>306</v>
      </c>
      <c r="B159" s="97" t="s">
        <v>305</v>
      </c>
      <c r="C159" s="145" t="s">
        <v>3206</v>
      </c>
      <c r="D159" s="144">
        <f>MATCH(C159,{"Jan","Feb","Mar","Apr","May","Jun","Jul","Aug","Sep","Oct","Nov","Dec"},0)</f>
        <v>7</v>
      </c>
    </row>
    <row r="160" spans="1:4" ht="12" customHeight="1">
      <c r="A160" s="96" t="s">
        <v>307</v>
      </c>
      <c r="B160" s="97" t="s">
        <v>19</v>
      </c>
      <c r="C160" s="145" t="s">
        <v>3207</v>
      </c>
      <c r="D160" s="144">
        <f>MATCH(C160,{"Jan","Feb","Mar","Apr","May","Jun","Jul","Aug","Sep","Oct","Nov","Dec"},0)</f>
        <v>8</v>
      </c>
    </row>
    <row r="161" spans="1:4" ht="12" customHeight="1">
      <c r="A161" s="96" t="s">
        <v>308</v>
      </c>
      <c r="B161" s="97" t="s">
        <v>2994</v>
      </c>
      <c r="C161" s="145" t="s">
        <v>3207</v>
      </c>
      <c r="D161" s="144">
        <f>MATCH(C161,{"Jan","Feb","Mar","Apr","May","Jun","Jul","Aug","Sep","Oct","Nov","Dec"},0)</f>
        <v>8</v>
      </c>
    </row>
    <row r="162" spans="1:4" ht="12" customHeight="1">
      <c r="A162" s="96" t="s">
        <v>310</v>
      </c>
      <c r="B162" s="97" t="s">
        <v>309</v>
      </c>
      <c r="C162" s="145" t="s">
        <v>3207</v>
      </c>
      <c r="D162" s="144">
        <f>MATCH(C162,{"Jan","Feb","Mar","Apr","May","Jun","Jul","Aug","Sep","Oct","Nov","Dec"},0)</f>
        <v>8</v>
      </c>
    </row>
    <row r="163" spans="1:4" ht="12" customHeight="1">
      <c r="A163" s="96" t="s">
        <v>311</v>
      </c>
      <c r="B163" s="97" t="s">
        <v>26</v>
      </c>
      <c r="C163" s="145" t="s">
        <v>3207</v>
      </c>
      <c r="D163" s="144">
        <f>MATCH(C163,{"Jan","Feb","Mar","Apr","May","Jun","Jul","Aug","Sep","Oct","Nov","Dec"},0)</f>
        <v>8</v>
      </c>
    </row>
    <row r="164" spans="1:4" ht="12" customHeight="1">
      <c r="A164" s="96" t="s">
        <v>312</v>
      </c>
      <c r="B164" s="97" t="s">
        <v>313</v>
      </c>
      <c r="C164" s="145" t="s">
        <v>3207</v>
      </c>
      <c r="D164" s="144">
        <f>MATCH(C164,{"Jan","Feb","Mar","Apr","May","Jun","Jul","Aug","Sep","Oct","Nov","Dec"},0)</f>
        <v>8</v>
      </c>
    </row>
    <row r="165" spans="1:4" ht="12" customHeight="1">
      <c r="A165" s="96" t="s">
        <v>314</v>
      </c>
      <c r="B165" s="97" t="s">
        <v>315</v>
      </c>
      <c r="C165" s="145" t="s">
        <v>3206</v>
      </c>
      <c r="D165" s="144">
        <f>MATCH(C165,{"Jan","Feb","Mar","Apr","May","Jun","Jul","Aug","Sep","Oct","Nov","Dec"},0)</f>
        <v>7</v>
      </c>
    </row>
    <row r="166" spans="1:4" ht="12" customHeight="1">
      <c r="A166" s="96" t="s">
        <v>316</v>
      </c>
      <c r="B166" s="97" t="s">
        <v>317</v>
      </c>
      <c r="C166" s="145" t="s">
        <v>3207</v>
      </c>
      <c r="D166" s="144">
        <f>MATCH(C166,{"Jan","Feb","Mar","Apr","May","Jun","Jul","Aug","Sep","Oct","Nov","Dec"},0)</f>
        <v>8</v>
      </c>
    </row>
    <row r="167" spans="1:4" ht="12" customHeight="1">
      <c r="A167" s="96" t="s">
        <v>318</v>
      </c>
      <c r="B167" s="97" t="s">
        <v>319</v>
      </c>
      <c r="C167" s="145" t="s">
        <v>3206</v>
      </c>
      <c r="D167" s="144">
        <f>MATCH(C167,{"Jan","Feb","Mar","Apr","May","Jun","Jul","Aug","Sep","Oct","Nov","Dec"},0)</f>
        <v>7</v>
      </c>
    </row>
    <row r="168" spans="1:4" ht="12" customHeight="1">
      <c r="A168" s="96" t="s">
        <v>320</v>
      </c>
      <c r="B168" s="97" t="s">
        <v>321</v>
      </c>
      <c r="C168" s="145" t="s">
        <v>3207</v>
      </c>
      <c r="D168" s="144">
        <f>MATCH(C168,{"Jan","Feb","Mar","Apr","May","Jun","Jul","Aug","Sep","Oct","Nov","Dec"},0)</f>
        <v>8</v>
      </c>
    </row>
    <row r="169" spans="1:4" ht="12" customHeight="1">
      <c r="A169" s="96" t="s">
        <v>322</v>
      </c>
      <c r="B169" s="97" t="s">
        <v>323</v>
      </c>
      <c r="C169" s="145" t="s">
        <v>3207</v>
      </c>
      <c r="D169" s="144">
        <f>MATCH(C169,{"Jan","Feb","Mar","Apr","May","Jun","Jul","Aug","Sep","Oct","Nov","Dec"},0)</f>
        <v>8</v>
      </c>
    </row>
    <row r="170" spans="1:4" ht="12" customHeight="1">
      <c r="A170" s="96" t="s">
        <v>324</v>
      </c>
      <c r="B170" s="97" t="s">
        <v>325</v>
      </c>
      <c r="C170" s="145" t="s">
        <v>3206</v>
      </c>
      <c r="D170" s="144">
        <f>MATCH(C170,{"Jan","Feb","Mar","Apr","May","Jun","Jul","Aug","Sep","Oct","Nov","Dec"},0)</f>
        <v>7</v>
      </c>
    </row>
    <row r="171" spans="1:4" ht="12" customHeight="1">
      <c r="A171" s="96" t="s">
        <v>327</v>
      </c>
      <c r="B171" s="97" t="s">
        <v>326</v>
      </c>
      <c r="C171" s="145" t="s">
        <v>3207</v>
      </c>
      <c r="D171" s="144">
        <f>MATCH(C171,{"Jan","Feb","Mar","Apr","May","Jun","Jul","Aug","Sep","Oct","Nov","Dec"},0)</f>
        <v>8</v>
      </c>
    </row>
    <row r="172" spans="1:4" ht="12" customHeight="1">
      <c r="A172" s="96" t="s">
        <v>328</v>
      </c>
      <c r="B172" s="97" t="s">
        <v>329</v>
      </c>
      <c r="C172" s="145" t="s">
        <v>3207</v>
      </c>
      <c r="D172" s="144">
        <f>MATCH(C172,{"Jan","Feb","Mar","Apr","May","Jun","Jul","Aug","Sep","Oct","Nov","Dec"},0)</f>
        <v>8</v>
      </c>
    </row>
    <row r="173" spans="1:4" ht="12" customHeight="1">
      <c r="A173" s="96" t="s">
        <v>330</v>
      </c>
      <c r="B173" s="97" t="s">
        <v>331</v>
      </c>
      <c r="C173" s="145" t="s">
        <v>3207</v>
      </c>
      <c r="D173" s="144">
        <f>MATCH(C173,{"Jan","Feb","Mar","Apr","May","Jun","Jul","Aug","Sep","Oct","Nov","Dec"},0)</f>
        <v>8</v>
      </c>
    </row>
    <row r="174" spans="1:4" ht="12" customHeight="1">
      <c r="A174" s="96" t="s">
        <v>332</v>
      </c>
      <c r="B174" s="97" t="s">
        <v>333</v>
      </c>
      <c r="C174" s="145" t="s">
        <v>3207</v>
      </c>
      <c r="D174" s="144">
        <f>MATCH(C174,{"Jan","Feb","Mar","Apr","May","Jun","Jul","Aug","Sep","Oct","Nov","Dec"},0)</f>
        <v>8</v>
      </c>
    </row>
    <row r="175" spans="1:4" ht="12" customHeight="1">
      <c r="A175" s="96" t="s">
        <v>334</v>
      </c>
      <c r="B175" s="97" t="s">
        <v>335</v>
      </c>
      <c r="C175" s="145" t="s">
        <v>3207</v>
      </c>
      <c r="D175" s="144">
        <f>MATCH(C175,{"Jan","Feb","Mar","Apr","May","Jun","Jul","Aug","Sep","Oct","Nov","Dec"},0)</f>
        <v>8</v>
      </c>
    </row>
    <row r="176" spans="1:4" ht="12" customHeight="1">
      <c r="A176" s="96" t="s">
        <v>336</v>
      </c>
      <c r="B176" s="97" t="s">
        <v>337</v>
      </c>
      <c r="C176" s="145" t="s">
        <v>3207</v>
      </c>
      <c r="D176" s="144">
        <f>MATCH(C176,{"Jan","Feb","Mar","Apr","May","Jun","Jul","Aug","Sep","Oct","Nov","Dec"},0)</f>
        <v>8</v>
      </c>
    </row>
    <row r="177" spans="1:4" ht="12" customHeight="1">
      <c r="A177" s="96" t="s">
        <v>338</v>
      </c>
      <c r="B177" s="97" t="s">
        <v>339</v>
      </c>
      <c r="C177" s="145" t="s">
        <v>3207</v>
      </c>
      <c r="D177" s="144">
        <f>MATCH(C177,{"Jan","Feb","Mar","Apr","May","Jun","Jul","Aug","Sep","Oct","Nov","Dec"},0)</f>
        <v>8</v>
      </c>
    </row>
    <row r="178" spans="1:4" ht="12" customHeight="1">
      <c r="A178" s="96" t="s">
        <v>341</v>
      </c>
      <c r="B178" s="97" t="s">
        <v>342</v>
      </c>
      <c r="C178" s="145" t="s">
        <v>3207</v>
      </c>
      <c r="D178" s="144">
        <f>MATCH(C178,{"Jan","Feb","Mar","Apr","May","Jun","Jul","Aug","Sep","Oct","Nov","Dec"},0)</f>
        <v>8</v>
      </c>
    </row>
    <row r="179" spans="1:4" ht="12" customHeight="1">
      <c r="A179" s="96" t="s">
        <v>343</v>
      </c>
      <c r="B179" s="97" t="s">
        <v>344</v>
      </c>
      <c r="C179" s="145" t="s">
        <v>3207</v>
      </c>
      <c r="D179" s="144">
        <f>MATCH(C179,{"Jan","Feb","Mar","Apr","May","Jun","Jul","Aug","Sep","Oct","Nov","Dec"},0)</f>
        <v>8</v>
      </c>
    </row>
    <row r="180" spans="1:4" ht="12" customHeight="1">
      <c r="A180" s="96" t="s">
        <v>3126</v>
      </c>
      <c r="B180" s="97" t="s">
        <v>340</v>
      </c>
      <c r="C180" s="145" t="s">
        <v>3207</v>
      </c>
      <c r="D180" s="144">
        <f>MATCH(C180,{"Jan","Feb","Mar","Apr","May","Jun","Jul","Aug","Sep","Oct","Nov","Dec"},0)</f>
        <v>8</v>
      </c>
    </row>
    <row r="181" spans="1:4" ht="12" customHeight="1">
      <c r="A181" s="96" t="s">
        <v>3127</v>
      </c>
      <c r="B181" s="97" t="s">
        <v>3128</v>
      </c>
      <c r="C181" s="145" t="s">
        <v>3207</v>
      </c>
      <c r="D181" s="144">
        <f>MATCH(C181,{"Jan","Feb","Mar","Apr","May","Jun","Jul","Aug","Sep","Oct","Nov","Dec"},0)</f>
        <v>8</v>
      </c>
    </row>
    <row r="182" spans="1:4" ht="12" customHeight="1">
      <c r="A182" s="96" t="s">
        <v>345</v>
      </c>
      <c r="B182" s="97" t="s">
        <v>346</v>
      </c>
      <c r="C182" s="145" t="s">
        <v>3207</v>
      </c>
      <c r="D182" s="144">
        <f>MATCH(C182,{"Jan","Feb","Mar","Apr","May","Jun","Jul","Aug","Sep","Oct","Nov","Dec"},0)</f>
        <v>8</v>
      </c>
    </row>
    <row r="183" spans="1:4" ht="12" customHeight="1">
      <c r="A183" s="96" t="s">
        <v>347</v>
      </c>
      <c r="B183" s="97" t="s">
        <v>348</v>
      </c>
      <c r="C183" s="145" t="s">
        <v>3207</v>
      </c>
      <c r="D183" s="144">
        <f>MATCH(C183,{"Jan","Feb","Mar","Apr","May","Jun","Jul","Aug","Sep","Oct","Nov","Dec"},0)</f>
        <v>8</v>
      </c>
    </row>
    <row r="184" spans="1:4" ht="12" customHeight="1">
      <c r="A184" s="96" t="s">
        <v>349</v>
      </c>
      <c r="B184" s="97" t="s">
        <v>529</v>
      </c>
      <c r="C184" s="145" t="s">
        <v>3207</v>
      </c>
      <c r="D184" s="144">
        <f>MATCH(C184,{"Jan","Feb","Mar","Apr","May","Jun","Jul","Aug","Sep","Oct","Nov","Dec"},0)</f>
        <v>8</v>
      </c>
    </row>
    <row r="185" spans="1:4" ht="12" customHeight="1">
      <c r="A185" s="96" t="s">
        <v>350</v>
      </c>
      <c r="B185" s="97" t="s">
        <v>351</v>
      </c>
      <c r="C185" s="145" t="s">
        <v>3207</v>
      </c>
      <c r="D185" s="144">
        <f>MATCH(C185,{"Jan","Feb","Mar","Apr","May","Jun","Jul","Aug","Sep","Oct","Nov","Dec"},0)</f>
        <v>8</v>
      </c>
    </row>
    <row r="186" spans="1:4" ht="12" customHeight="1">
      <c r="A186" s="96" t="s">
        <v>352</v>
      </c>
      <c r="B186" s="97" t="s">
        <v>353</v>
      </c>
      <c r="C186" s="145" t="s">
        <v>3202</v>
      </c>
      <c r="D186" s="144">
        <f>MATCH(C186,{"Jan","Feb","Mar","Apr","May","Jun","Jul","Aug","Sep","Oct","Nov","Dec"},0)</f>
        <v>12</v>
      </c>
    </row>
    <row r="187" spans="1:4" ht="12" customHeight="1">
      <c r="A187" s="96" t="s">
        <v>354</v>
      </c>
      <c r="B187" s="97" t="s">
        <v>355</v>
      </c>
      <c r="C187" s="145" t="s">
        <v>3207</v>
      </c>
      <c r="D187" s="144">
        <f>MATCH(C187,{"Jan","Feb","Mar","Apr","May","Jun","Jul","Aug","Sep","Oct","Nov","Dec"},0)</f>
        <v>8</v>
      </c>
    </row>
    <row r="188" spans="1:4" ht="12" customHeight="1">
      <c r="A188" s="96" t="s">
        <v>356</v>
      </c>
      <c r="B188" s="97" t="s">
        <v>357</v>
      </c>
      <c r="C188" s="145" t="s">
        <v>3207</v>
      </c>
      <c r="D188" s="144">
        <f>MATCH(C188,{"Jan","Feb","Mar","Apr","May","Jun","Jul","Aug","Sep","Oct","Nov","Dec"},0)</f>
        <v>8</v>
      </c>
    </row>
    <row r="189" spans="1:4" ht="12" customHeight="1">
      <c r="A189" s="96" t="s">
        <v>358</v>
      </c>
      <c r="B189" s="97" t="s">
        <v>359</v>
      </c>
      <c r="C189" s="145" t="s">
        <v>3207</v>
      </c>
      <c r="D189" s="144">
        <f>MATCH(C189,{"Jan","Feb","Mar","Apr","May","Jun","Jul","Aug","Sep","Oct","Nov","Dec"},0)</f>
        <v>8</v>
      </c>
    </row>
    <row r="190" spans="1:4" ht="12" customHeight="1">
      <c r="A190" s="96" t="s">
        <v>360</v>
      </c>
      <c r="B190" s="97" t="s">
        <v>361</v>
      </c>
      <c r="C190" s="145" t="s">
        <v>3203</v>
      </c>
      <c r="D190" s="144">
        <f>MATCH(C190,{"Jan","Feb","Mar","Apr","May","Jun","Jul","Aug","Sep","Oct","Nov","Dec"},0)</f>
        <v>2</v>
      </c>
    </row>
    <row r="191" spans="1:4" ht="12" customHeight="1">
      <c r="A191" s="96" t="s">
        <v>362</v>
      </c>
      <c r="B191" s="97" t="s">
        <v>363</v>
      </c>
      <c r="C191" s="145" t="s">
        <v>3203</v>
      </c>
      <c r="D191" s="144">
        <f>MATCH(C191,{"Jan","Feb","Mar","Apr","May","Jun","Jul","Aug","Sep","Oct","Nov","Dec"},0)</f>
        <v>2</v>
      </c>
    </row>
    <row r="192" spans="1:4" ht="12" customHeight="1">
      <c r="A192" s="96" t="s">
        <v>364</v>
      </c>
      <c r="B192" s="97" t="s">
        <v>365</v>
      </c>
      <c r="C192" s="145" t="s">
        <v>3203</v>
      </c>
      <c r="D192" s="144">
        <f>MATCH(C192,{"Jan","Feb","Mar","Apr","May","Jun","Jul","Aug","Sep","Oct","Nov","Dec"},0)</f>
        <v>2</v>
      </c>
    </row>
    <row r="193" spans="1:4" ht="12" customHeight="1">
      <c r="A193" s="96" t="s">
        <v>366</v>
      </c>
      <c r="B193" s="97" t="s">
        <v>13</v>
      </c>
      <c r="C193" s="145" t="s">
        <v>3207</v>
      </c>
      <c r="D193" s="144">
        <f>MATCH(C193,{"Jan","Feb","Mar","Apr","May","Jun","Jul","Aug","Sep","Oct","Nov","Dec"},0)</f>
        <v>8</v>
      </c>
    </row>
    <row r="194" spans="1:4" ht="12" customHeight="1">
      <c r="A194" s="96" t="s">
        <v>367</v>
      </c>
      <c r="B194" s="97" t="s">
        <v>530</v>
      </c>
      <c r="C194" s="145" t="s">
        <v>3207</v>
      </c>
      <c r="D194" s="144">
        <f>MATCH(C194,{"Jan","Feb","Mar","Apr","May","Jun","Jul","Aug","Sep","Oct","Nov","Dec"},0)</f>
        <v>8</v>
      </c>
    </row>
    <row r="195" spans="1:4" ht="12" customHeight="1">
      <c r="A195" s="96" t="s">
        <v>368</v>
      </c>
      <c r="B195" s="97" t="s">
        <v>369</v>
      </c>
      <c r="C195" s="145" t="s">
        <v>3206</v>
      </c>
      <c r="D195" s="144">
        <f>MATCH(C195,{"Jan","Feb","Mar","Apr","May","Jun","Jul","Aug","Sep","Oct","Nov","Dec"},0)</f>
        <v>7</v>
      </c>
    </row>
    <row r="196" spans="1:4" ht="12" customHeight="1">
      <c r="A196" s="96" t="s">
        <v>370</v>
      </c>
      <c r="B196" s="97" t="s">
        <v>371</v>
      </c>
      <c r="C196" s="145" t="s">
        <v>3206</v>
      </c>
      <c r="D196" s="144">
        <f>MATCH(C196,{"Jan","Feb","Mar","Apr","May","Jun","Jul","Aug","Sep","Oct","Nov","Dec"},0)</f>
        <v>7</v>
      </c>
    </row>
    <row r="197" spans="1:4" ht="12" customHeight="1">
      <c r="A197" s="96" t="s">
        <v>372</v>
      </c>
      <c r="B197" s="97" t="s">
        <v>373</v>
      </c>
      <c r="C197" s="145" t="s">
        <v>3206</v>
      </c>
      <c r="D197" s="144">
        <f>MATCH(C197,{"Jan","Feb","Mar","Apr","May","Jun","Jul","Aug","Sep","Oct","Nov","Dec"},0)</f>
        <v>7</v>
      </c>
    </row>
    <row r="198" spans="1:4" ht="12" customHeight="1">
      <c r="A198" s="96" t="s">
        <v>374</v>
      </c>
      <c r="B198" s="97" t="s">
        <v>531</v>
      </c>
      <c r="C198" s="145" t="s">
        <v>3207</v>
      </c>
      <c r="D198" s="144">
        <f>MATCH(C198,{"Jan","Feb","Mar","Apr","May","Jun","Jul","Aug","Sep","Oct","Nov","Dec"},0)</f>
        <v>8</v>
      </c>
    </row>
    <row r="199" spans="1:4" ht="12" customHeight="1">
      <c r="A199" s="96" t="s">
        <v>375</v>
      </c>
      <c r="B199" s="97" t="s">
        <v>376</v>
      </c>
      <c r="C199" s="145" t="s">
        <v>3207</v>
      </c>
      <c r="D199" s="144">
        <f>MATCH(C199,{"Jan","Feb","Mar","Apr","May","Jun","Jul","Aug","Sep","Oct","Nov","Dec"},0)</f>
        <v>8</v>
      </c>
    </row>
    <row r="200" spans="1:4" ht="12" customHeight="1">
      <c r="A200" s="96" t="s">
        <v>377</v>
      </c>
      <c r="B200" s="97" t="s">
        <v>532</v>
      </c>
      <c r="C200" s="145" t="s">
        <v>3207</v>
      </c>
      <c r="D200" s="144">
        <f>MATCH(C200,{"Jan","Feb","Mar","Apr","May","Jun","Jul","Aug","Sep","Oct","Nov","Dec"},0)</f>
        <v>8</v>
      </c>
    </row>
    <row r="201" spans="1:4" ht="12" customHeight="1">
      <c r="A201" s="96" t="s">
        <v>378</v>
      </c>
      <c r="B201" s="97" t="s">
        <v>533</v>
      </c>
      <c r="C201" s="145" t="s">
        <v>3207</v>
      </c>
      <c r="D201" s="144">
        <f>MATCH(C201,{"Jan","Feb","Mar","Apr","May","Jun","Jul","Aug","Sep","Oct","Nov","Dec"},0)</f>
        <v>8</v>
      </c>
    </row>
    <row r="202" spans="1:4" ht="12" customHeight="1">
      <c r="A202" s="96" t="s">
        <v>379</v>
      </c>
      <c r="B202" s="97" t="s">
        <v>380</v>
      </c>
      <c r="C202" s="145" t="s">
        <v>3207</v>
      </c>
      <c r="D202" s="144">
        <f>MATCH(C202,{"Jan","Feb","Mar","Apr","May","Jun","Jul","Aug","Sep","Oct","Nov","Dec"},0)</f>
        <v>8</v>
      </c>
    </row>
    <row r="203" spans="1:4" ht="12" customHeight="1">
      <c r="A203" s="96" t="s">
        <v>381</v>
      </c>
      <c r="B203" s="97" t="s">
        <v>534</v>
      </c>
      <c r="C203" s="145" t="s">
        <v>3207</v>
      </c>
      <c r="D203" s="144">
        <f>MATCH(C203,{"Jan","Feb","Mar","Apr","May","Jun","Jul","Aug","Sep","Oct","Nov","Dec"},0)</f>
        <v>8</v>
      </c>
    </row>
    <row r="204" spans="1:4" ht="12" customHeight="1">
      <c r="A204" s="96" t="s">
        <v>382</v>
      </c>
      <c r="B204" s="97" t="s">
        <v>535</v>
      </c>
      <c r="C204" s="145" t="s">
        <v>3207</v>
      </c>
      <c r="D204" s="144">
        <f>MATCH(C204,{"Jan","Feb","Mar","Apr","May","Jun","Jul","Aug","Sep","Oct","Nov","Dec"},0)</f>
        <v>8</v>
      </c>
    </row>
    <row r="205" spans="1:4" ht="12" customHeight="1">
      <c r="A205" s="96" t="s">
        <v>383</v>
      </c>
      <c r="B205" s="97" t="s">
        <v>384</v>
      </c>
      <c r="C205" s="145" t="s">
        <v>3207</v>
      </c>
      <c r="D205" s="144">
        <f>MATCH(C205,{"Jan","Feb","Mar","Apr","May","Jun","Jul","Aug","Sep","Oct","Nov","Dec"},0)</f>
        <v>8</v>
      </c>
    </row>
    <row r="206" spans="1:4" ht="12" customHeight="1">
      <c r="A206" s="96" t="s">
        <v>385</v>
      </c>
      <c r="B206" s="97" t="s">
        <v>386</v>
      </c>
      <c r="C206" s="145" t="s">
        <v>3207</v>
      </c>
      <c r="D206" s="144">
        <f>MATCH(C206,{"Jan","Feb","Mar","Apr","May","Jun","Jul","Aug","Sep","Oct","Nov","Dec"},0)</f>
        <v>8</v>
      </c>
    </row>
    <row r="207" spans="1:4" ht="12" customHeight="1">
      <c r="A207" s="96" t="s">
        <v>387</v>
      </c>
      <c r="B207" s="97" t="s">
        <v>388</v>
      </c>
      <c r="C207" s="145" t="s">
        <v>3207</v>
      </c>
      <c r="D207" s="144">
        <f>MATCH(C207,{"Jan","Feb","Mar","Apr","May","Jun","Jul","Aug","Sep","Oct","Nov","Dec"},0)</f>
        <v>8</v>
      </c>
    </row>
    <row r="208" spans="1:4" ht="12" customHeight="1">
      <c r="A208" s="96" t="s">
        <v>389</v>
      </c>
      <c r="B208" s="97" t="s">
        <v>536</v>
      </c>
      <c r="C208" s="145" t="s">
        <v>3207</v>
      </c>
      <c r="D208" s="144">
        <f>MATCH(C208,{"Jan","Feb","Mar","Apr","May","Jun","Jul","Aug","Sep","Oct","Nov","Dec"},0)</f>
        <v>8</v>
      </c>
    </row>
    <row r="209" spans="1:4" ht="12" customHeight="1">
      <c r="A209" s="96" t="s">
        <v>390</v>
      </c>
      <c r="B209" s="97" t="s">
        <v>391</v>
      </c>
      <c r="C209" s="145" t="s">
        <v>3207</v>
      </c>
      <c r="D209" s="144">
        <f>MATCH(C209,{"Jan","Feb","Mar","Apr","May","Jun","Jul","Aug","Sep","Oct","Nov","Dec"},0)</f>
        <v>8</v>
      </c>
    </row>
    <row r="210" spans="1:4" ht="12" customHeight="1">
      <c r="A210" s="96" t="s">
        <v>392</v>
      </c>
      <c r="B210" s="97" t="s">
        <v>393</v>
      </c>
      <c r="C210" s="145" t="s">
        <v>3207</v>
      </c>
      <c r="D210" s="144">
        <f>MATCH(C210,{"Jan","Feb","Mar","Apr","May","Jun","Jul","Aug","Sep","Oct","Nov","Dec"},0)</f>
        <v>8</v>
      </c>
    </row>
    <row r="211" spans="1:4" ht="12" customHeight="1">
      <c r="A211" s="96" t="s">
        <v>394</v>
      </c>
      <c r="B211" s="97" t="s">
        <v>395</v>
      </c>
      <c r="C211" s="145" t="s">
        <v>3207</v>
      </c>
      <c r="D211" s="144">
        <f>MATCH(C211,{"Jan","Feb","Mar","Apr","May","Jun","Jul","Aug","Sep","Oct","Nov","Dec"},0)</f>
        <v>8</v>
      </c>
    </row>
    <row r="212" spans="1:4" ht="12" customHeight="1">
      <c r="A212" s="96" t="s">
        <v>3111</v>
      </c>
      <c r="B212" s="97" t="s">
        <v>3112</v>
      </c>
      <c r="C212" s="145" t="s">
        <v>3207</v>
      </c>
      <c r="D212" s="144">
        <f>MATCH(C212,{"Jan","Feb","Mar","Apr","May","Jun","Jul","Aug","Sep","Oct","Nov","Dec"},0)</f>
        <v>8</v>
      </c>
    </row>
    <row r="213" spans="1:4" ht="12" customHeight="1">
      <c r="A213" s="96" t="s">
        <v>3113</v>
      </c>
      <c r="B213" s="97" t="s">
        <v>3057</v>
      </c>
      <c r="C213" s="145" t="s">
        <v>3207</v>
      </c>
      <c r="D213" s="144">
        <f>MATCH(C213,{"Jan","Feb","Mar","Apr","May","Jun","Jul","Aug","Sep","Oct","Nov","Dec"},0)</f>
        <v>8</v>
      </c>
    </row>
    <row r="214" spans="1:4" ht="12" customHeight="1">
      <c r="A214" s="96" t="s">
        <v>3114</v>
      </c>
      <c r="B214" s="97" t="s">
        <v>3059</v>
      </c>
      <c r="C214" s="145" t="s">
        <v>3207</v>
      </c>
      <c r="D214" s="144">
        <f>MATCH(C214,{"Jan","Feb","Mar","Apr","May","Jun","Jul","Aug","Sep","Oct","Nov","Dec"},0)</f>
        <v>8</v>
      </c>
    </row>
    <row r="215" spans="1:4" ht="12" customHeight="1">
      <c r="A215" s="96" t="s">
        <v>3115</v>
      </c>
      <c r="B215" s="97" t="s">
        <v>396</v>
      </c>
      <c r="C215" s="145" t="s">
        <v>3207</v>
      </c>
      <c r="D215" s="144">
        <f>MATCH(C215,{"Jan","Feb","Mar","Apr","May","Jun","Jul","Aug","Sep","Oct","Nov","Dec"},0)</f>
        <v>8</v>
      </c>
    </row>
    <row r="216" spans="1:4" ht="12" customHeight="1">
      <c r="A216" s="96" t="s">
        <v>3116</v>
      </c>
      <c r="B216" s="97" t="s">
        <v>3117</v>
      </c>
      <c r="C216" s="145" t="s">
        <v>3207</v>
      </c>
      <c r="D216" s="144">
        <f>MATCH(C216,{"Jan","Feb","Mar","Apr","May","Jun","Jul","Aug","Sep","Oct","Nov","Dec"},0)</f>
        <v>8</v>
      </c>
    </row>
    <row r="217" spans="1:4" ht="12" customHeight="1">
      <c r="A217" s="96" t="s">
        <v>397</v>
      </c>
      <c r="B217" s="97" t="s">
        <v>537</v>
      </c>
      <c r="C217" s="145" t="s">
        <v>3207</v>
      </c>
      <c r="D217" s="144">
        <f>MATCH(C217,{"Jan","Feb","Mar","Apr","May","Jun","Jul","Aug","Sep","Oct","Nov","Dec"},0)</f>
        <v>8</v>
      </c>
    </row>
    <row r="218" spans="1:4" ht="12" customHeight="1">
      <c r="A218" s="96" t="s">
        <v>398</v>
      </c>
      <c r="B218" s="97" t="s">
        <v>538</v>
      </c>
      <c r="C218" s="145" t="s">
        <v>3207</v>
      </c>
      <c r="D218" s="144">
        <f>MATCH(C218,{"Jan","Feb","Mar","Apr","May","Jun","Jul","Aug","Sep","Oct","Nov","Dec"},0)</f>
        <v>8</v>
      </c>
    </row>
    <row r="219" spans="1:4" ht="12" customHeight="1">
      <c r="A219" s="96" t="s">
        <v>399</v>
      </c>
      <c r="B219" s="97" t="s">
        <v>400</v>
      </c>
      <c r="C219" s="145" t="s">
        <v>3207</v>
      </c>
      <c r="D219" s="144">
        <f>MATCH(C219,{"Jan","Feb","Mar","Apr","May","Jun","Jul","Aug","Sep","Oct","Nov","Dec"},0)</f>
        <v>8</v>
      </c>
    </row>
    <row r="220" spans="1:4" ht="12" customHeight="1">
      <c r="A220" s="96" t="s">
        <v>401</v>
      </c>
      <c r="B220" s="97" t="s">
        <v>402</v>
      </c>
      <c r="C220" s="145" t="s">
        <v>3207</v>
      </c>
      <c r="D220" s="144">
        <f>MATCH(C220,{"Jan","Feb","Mar","Apr","May","Jun","Jul","Aug","Sep","Oct","Nov","Dec"},0)</f>
        <v>8</v>
      </c>
    </row>
    <row r="221" spans="1:4" ht="12" customHeight="1">
      <c r="A221" s="96" t="s">
        <v>403</v>
      </c>
      <c r="B221" s="97" t="s">
        <v>269</v>
      </c>
      <c r="C221" s="145" t="s">
        <v>3207</v>
      </c>
      <c r="D221" s="144">
        <f>MATCH(C221,{"Jan","Feb","Mar","Apr","May","Jun","Jul","Aug","Sep","Oct","Nov","Dec"},0)</f>
        <v>8</v>
      </c>
    </row>
    <row r="222" spans="1:4" ht="12" customHeight="1">
      <c r="A222" s="96" t="s">
        <v>404</v>
      </c>
      <c r="B222" s="97" t="s">
        <v>405</v>
      </c>
      <c r="C222" s="145" t="s">
        <v>3207</v>
      </c>
      <c r="D222" s="144">
        <f>MATCH(C222,{"Jan","Feb","Mar","Apr","May","Jun","Jul","Aug","Sep","Oct","Nov","Dec"},0)</f>
        <v>8</v>
      </c>
    </row>
    <row r="223" spans="1:4" ht="12" customHeight="1">
      <c r="A223" s="96" t="s">
        <v>406</v>
      </c>
      <c r="B223" s="97" t="s">
        <v>23</v>
      </c>
      <c r="C223" s="145" t="s">
        <v>3207</v>
      </c>
      <c r="D223" s="144">
        <f>MATCH(C223,{"Jan","Feb","Mar","Apr","May","Jun","Jul","Aug","Sep","Oct","Nov","Dec"},0)</f>
        <v>8</v>
      </c>
    </row>
    <row r="224" spans="1:4" ht="12" customHeight="1">
      <c r="A224" s="96" t="s">
        <v>407</v>
      </c>
      <c r="B224" s="97" t="s">
        <v>22</v>
      </c>
      <c r="C224" s="145" t="s">
        <v>3201</v>
      </c>
      <c r="D224" s="144">
        <f>MATCH(C224,{"Jan","Feb","Mar","Apr","May","Jun","Jul","Aug","Sep","Oct","Nov","Dec"},0)</f>
        <v>10</v>
      </c>
    </row>
    <row r="225" spans="1:4" ht="12" customHeight="1">
      <c r="A225" s="96" t="s">
        <v>408</v>
      </c>
      <c r="B225" s="97" t="s">
        <v>21</v>
      </c>
      <c r="C225" s="145" t="s">
        <v>3207</v>
      </c>
      <c r="D225" s="144">
        <f>MATCH(C225,{"Jan","Feb","Mar","Apr","May","Jun","Jul","Aug","Sep","Oct","Nov","Dec"},0)</f>
        <v>8</v>
      </c>
    </row>
    <row r="226" spans="1:4" ht="12" customHeight="1">
      <c r="A226" s="96" t="s">
        <v>409</v>
      </c>
      <c r="B226" s="97" t="s">
        <v>410</v>
      </c>
      <c r="C226" s="145" t="s">
        <v>3207</v>
      </c>
      <c r="D226" s="144">
        <f>MATCH(C226,{"Jan","Feb","Mar","Apr","May","Jun","Jul","Aug","Sep","Oct","Nov","Dec"},0)</f>
        <v>8</v>
      </c>
    </row>
    <row r="227" spans="1:4" ht="12" customHeight="1">
      <c r="A227" s="96" t="s">
        <v>411</v>
      </c>
      <c r="B227" s="97" t="s">
        <v>412</v>
      </c>
      <c r="C227" s="145" t="s">
        <v>3207</v>
      </c>
      <c r="D227" s="144">
        <f>MATCH(C227,{"Jan","Feb","Mar","Apr","May","Jun","Jul","Aug","Sep","Oct","Nov","Dec"},0)</f>
        <v>8</v>
      </c>
    </row>
    <row r="228" spans="1:4" ht="12" customHeight="1">
      <c r="A228" s="96" t="s">
        <v>413</v>
      </c>
      <c r="B228" s="97" t="s">
        <v>414</v>
      </c>
      <c r="C228" s="145" t="s">
        <v>3207</v>
      </c>
      <c r="D228" s="144">
        <f>MATCH(C228,{"Jan","Feb","Mar","Apr","May","Jun","Jul","Aug","Sep","Oct","Nov","Dec"},0)</f>
        <v>8</v>
      </c>
    </row>
    <row r="229" spans="1:4" ht="12" customHeight="1">
      <c r="A229" s="96" t="s">
        <v>415</v>
      </c>
      <c r="B229" s="97" t="s">
        <v>416</v>
      </c>
      <c r="C229" s="145" t="s">
        <v>3206</v>
      </c>
      <c r="D229" s="144">
        <f>MATCH(C229,{"Jan","Feb","Mar","Apr","May","Jun","Jul","Aug","Sep","Oct","Nov","Dec"},0)</f>
        <v>7</v>
      </c>
    </row>
    <row r="230" spans="1:4" ht="12" customHeight="1">
      <c r="A230" s="96" t="s">
        <v>417</v>
      </c>
      <c r="B230" s="97" t="s">
        <v>418</v>
      </c>
      <c r="C230" s="145" t="s">
        <v>3206</v>
      </c>
      <c r="D230" s="144">
        <f>MATCH(C230,{"Jan","Feb","Mar","Apr","May","Jun","Jul","Aug","Sep","Oct","Nov","Dec"},0)</f>
        <v>7</v>
      </c>
    </row>
    <row r="231" spans="1:4" ht="12" customHeight="1">
      <c r="A231" s="96" t="s">
        <v>419</v>
      </c>
      <c r="B231" s="97" t="s">
        <v>420</v>
      </c>
      <c r="C231" s="145" t="s">
        <v>3207</v>
      </c>
      <c r="D231" s="144">
        <f>MATCH(C231,{"Jan","Feb","Mar","Apr","May","Jun","Jul","Aug","Sep","Oct","Nov","Dec"},0)</f>
        <v>8</v>
      </c>
    </row>
    <row r="232" spans="1:4" ht="12" customHeight="1">
      <c r="A232" s="96" t="s">
        <v>421</v>
      </c>
      <c r="B232" s="97" t="s">
        <v>422</v>
      </c>
      <c r="C232" s="145" t="s">
        <v>3207</v>
      </c>
      <c r="D232" s="144">
        <f>MATCH(C232,{"Jan","Feb","Mar","Apr","May","Jun","Jul","Aug","Sep","Oct","Nov","Dec"},0)</f>
        <v>8</v>
      </c>
    </row>
    <row r="233" spans="1:4" ht="12" customHeight="1">
      <c r="A233" s="96" t="s">
        <v>423</v>
      </c>
      <c r="B233" s="97" t="s">
        <v>424</v>
      </c>
      <c r="C233" s="145" t="s">
        <v>3206</v>
      </c>
      <c r="D233" s="144">
        <f>MATCH(C233,{"Jan","Feb","Mar","Apr","May","Jun","Jul","Aug","Sep","Oct","Nov","Dec"},0)</f>
        <v>7</v>
      </c>
    </row>
    <row r="234" spans="1:4" ht="12" customHeight="1">
      <c r="A234" s="96" t="s">
        <v>425</v>
      </c>
      <c r="B234" s="97" t="s">
        <v>426</v>
      </c>
      <c r="C234" s="145" t="s">
        <v>3206</v>
      </c>
      <c r="D234" s="144">
        <f>MATCH(C234,{"Jan","Feb","Mar","Apr","May","Jun","Jul","Aug","Sep","Oct","Nov","Dec"},0)</f>
        <v>7</v>
      </c>
    </row>
    <row r="235" spans="1:4" ht="12" customHeight="1">
      <c r="A235" s="96" t="s">
        <v>427</v>
      </c>
      <c r="B235" s="97" t="s">
        <v>428</v>
      </c>
      <c r="C235" s="145" t="s">
        <v>3206</v>
      </c>
      <c r="D235" s="144">
        <f>MATCH(C235,{"Jan","Feb","Mar","Apr","May","Jun","Jul","Aug","Sep","Oct","Nov","Dec"},0)</f>
        <v>7</v>
      </c>
    </row>
    <row r="236" spans="1:4" ht="12" customHeight="1">
      <c r="A236" s="96" t="s">
        <v>429</v>
      </c>
      <c r="B236" s="97" t="s">
        <v>430</v>
      </c>
      <c r="C236" s="145" t="s">
        <v>3206</v>
      </c>
      <c r="D236" s="144">
        <f>MATCH(C236,{"Jan","Feb","Mar","Apr","May","Jun","Jul","Aug","Sep","Oct","Nov","Dec"},0)</f>
        <v>7</v>
      </c>
    </row>
    <row r="237" spans="1:4" ht="12" customHeight="1">
      <c r="A237" s="96" t="s">
        <v>432</v>
      </c>
      <c r="B237" s="97" t="s">
        <v>431</v>
      </c>
      <c r="C237" s="145" t="s">
        <v>3206</v>
      </c>
      <c r="D237" s="144">
        <f>MATCH(C237,{"Jan","Feb","Mar","Apr","May","Jun","Jul","Aug","Sep","Oct","Nov","Dec"},0)</f>
        <v>7</v>
      </c>
    </row>
    <row r="238" spans="1:4" ht="12" customHeight="1">
      <c r="A238" s="96" t="s">
        <v>433</v>
      </c>
      <c r="B238" s="97" t="s">
        <v>434</v>
      </c>
      <c r="C238" s="145" t="s">
        <v>3206</v>
      </c>
      <c r="D238" s="144">
        <f>MATCH(C238,{"Jan","Feb","Mar","Apr","May","Jun","Jul","Aug","Sep","Oct","Nov","Dec"},0)</f>
        <v>7</v>
      </c>
    </row>
    <row r="239" spans="1:4" ht="12" customHeight="1">
      <c r="A239" s="96" t="s">
        <v>435</v>
      </c>
      <c r="B239" s="97" t="s">
        <v>436</v>
      </c>
      <c r="C239" s="145" t="s">
        <v>3206</v>
      </c>
      <c r="D239" s="144">
        <f>MATCH(C239,{"Jan","Feb","Mar","Apr","May","Jun","Jul","Aug","Sep","Oct","Nov","Dec"},0)</f>
        <v>7</v>
      </c>
    </row>
    <row r="240" spans="1:4" ht="12" customHeight="1">
      <c r="A240" s="96" t="s">
        <v>437</v>
      </c>
      <c r="B240" s="97" t="s">
        <v>438</v>
      </c>
      <c r="C240" s="145" t="s">
        <v>3206</v>
      </c>
      <c r="D240" s="144">
        <f>MATCH(C240,{"Jan","Feb","Mar","Apr","May","Jun","Jul","Aug","Sep","Oct","Nov","Dec"},0)</f>
        <v>7</v>
      </c>
    </row>
    <row r="241" spans="1:4" ht="12" customHeight="1">
      <c r="A241" s="96" t="s">
        <v>439</v>
      </c>
      <c r="B241" s="97" t="s">
        <v>440</v>
      </c>
      <c r="C241" s="145" t="s">
        <v>3206</v>
      </c>
      <c r="D241" s="144">
        <f>MATCH(C241,{"Jan","Feb","Mar","Apr","May","Jun","Jul","Aug","Sep","Oct","Nov","Dec"},0)</f>
        <v>7</v>
      </c>
    </row>
    <row r="242" spans="1:4" ht="12" customHeight="1">
      <c r="A242" s="96" t="s">
        <v>441</v>
      </c>
      <c r="B242" s="97" t="s">
        <v>442</v>
      </c>
      <c r="C242" s="145" t="s">
        <v>3206</v>
      </c>
      <c r="D242" s="144">
        <f>MATCH(C242,{"Jan","Feb","Mar","Apr","May","Jun","Jul","Aug","Sep","Oct","Nov","Dec"},0)</f>
        <v>7</v>
      </c>
    </row>
    <row r="243" spans="1:4" ht="12" customHeight="1">
      <c r="A243" s="96" t="s">
        <v>443</v>
      </c>
      <c r="B243" s="97" t="s">
        <v>444</v>
      </c>
      <c r="C243" s="145" t="s">
        <v>3206</v>
      </c>
      <c r="D243" s="144">
        <f>MATCH(C243,{"Jan","Feb","Mar","Apr","May","Jun","Jul","Aug","Sep","Oct","Nov","Dec"},0)</f>
        <v>7</v>
      </c>
    </row>
    <row r="244" spans="1:4" ht="12" customHeight="1">
      <c r="A244" s="96" t="s">
        <v>445</v>
      </c>
      <c r="B244" s="97" t="s">
        <v>446</v>
      </c>
      <c r="C244" s="145" t="s">
        <v>3206</v>
      </c>
      <c r="D244" s="144">
        <f>MATCH(C244,{"Jan","Feb","Mar","Apr","May","Jun","Jul","Aug","Sep","Oct","Nov","Dec"},0)</f>
        <v>7</v>
      </c>
    </row>
    <row r="245" spans="1:4" ht="12" customHeight="1">
      <c r="A245" s="96" t="s">
        <v>447</v>
      </c>
      <c r="B245" s="97" t="s">
        <v>448</v>
      </c>
      <c r="C245" s="145" t="s">
        <v>3206</v>
      </c>
      <c r="D245" s="144">
        <f>MATCH(C245,{"Jan","Feb","Mar","Apr","May","Jun","Jul","Aug","Sep","Oct","Nov","Dec"},0)</f>
        <v>7</v>
      </c>
    </row>
    <row r="246" spans="1:4" ht="12" customHeight="1">
      <c r="A246" s="96" t="s">
        <v>452</v>
      </c>
      <c r="B246" s="97" t="s">
        <v>451</v>
      </c>
      <c r="C246" s="145" t="s">
        <v>3206</v>
      </c>
      <c r="D246" s="144">
        <f>MATCH(C246,{"Jan","Feb","Mar","Apr","May","Jun","Jul","Aug","Sep","Oct","Nov","Dec"},0)</f>
        <v>7</v>
      </c>
    </row>
    <row r="247" spans="1:4" ht="12" customHeight="1">
      <c r="A247" s="96" t="s">
        <v>454</v>
      </c>
      <c r="B247" s="97" t="s">
        <v>453</v>
      </c>
      <c r="C247" s="145" t="s">
        <v>3207</v>
      </c>
      <c r="D247" s="144">
        <f>MATCH(C247,{"Jan","Feb","Mar","Apr","May","Jun","Jul","Aug","Sep","Oct","Nov","Dec"},0)</f>
        <v>8</v>
      </c>
    </row>
    <row r="248" spans="1:4" ht="12" customHeight="1">
      <c r="A248" s="96" t="s">
        <v>455</v>
      </c>
      <c r="B248" s="97" t="s">
        <v>456</v>
      </c>
      <c r="C248" s="145" t="s">
        <v>3206</v>
      </c>
      <c r="D248" s="144">
        <f>MATCH(C248,{"Jan","Feb","Mar","Apr","May","Jun","Jul","Aug","Sep","Oct","Nov","Dec"},0)</f>
        <v>7</v>
      </c>
    </row>
    <row r="249" spans="1:4" ht="12" customHeight="1">
      <c r="A249" s="96" t="s">
        <v>457</v>
      </c>
      <c r="B249" s="97" t="s">
        <v>3026</v>
      </c>
      <c r="C249" s="145" t="s">
        <v>3206</v>
      </c>
      <c r="D249" s="144">
        <f>MATCH(C249,{"Jan","Feb","Mar","Apr","May","Jun","Jul","Aug","Sep","Oct","Nov","Dec"},0)</f>
        <v>7</v>
      </c>
    </row>
    <row r="250" spans="1:4" ht="12" customHeight="1">
      <c r="A250" s="96" t="s">
        <v>458</v>
      </c>
      <c r="B250" s="97" t="s">
        <v>459</v>
      </c>
      <c r="C250" s="145" t="s">
        <v>3206</v>
      </c>
      <c r="D250" s="144">
        <f>MATCH(C250,{"Jan","Feb","Mar","Apr","May","Jun","Jul","Aug","Sep","Oct","Nov","Dec"},0)</f>
        <v>7</v>
      </c>
    </row>
    <row r="251" spans="1:4" ht="12" customHeight="1">
      <c r="A251" s="96" t="s">
        <v>549</v>
      </c>
      <c r="B251" s="97" t="s">
        <v>550</v>
      </c>
      <c r="C251" s="145" t="s">
        <v>3206</v>
      </c>
      <c r="D251" s="144">
        <f>MATCH(C251,{"Jan","Feb","Mar","Apr","May","Jun","Jul","Aug","Sep","Oct","Nov","Dec"},0)</f>
        <v>7</v>
      </c>
    </row>
    <row r="252" spans="1:4" ht="12" customHeight="1">
      <c r="A252" s="96" t="s">
        <v>551</v>
      </c>
      <c r="B252" s="97" t="s">
        <v>552</v>
      </c>
      <c r="C252" s="145" t="s">
        <v>3206</v>
      </c>
      <c r="D252" s="144">
        <f>MATCH(C252,{"Jan","Feb","Mar","Apr","May","Jun","Jul","Aug","Sep","Oct","Nov","Dec"},0)</f>
        <v>7</v>
      </c>
    </row>
    <row r="253" spans="1:4" ht="12" customHeight="1">
      <c r="A253" s="96" t="s">
        <v>553</v>
      </c>
      <c r="B253" s="97" t="s">
        <v>554</v>
      </c>
      <c r="C253" s="145" t="s">
        <v>3206</v>
      </c>
      <c r="D253" s="144">
        <f>MATCH(C253,{"Jan","Feb","Mar","Apr","May","Jun","Jul","Aug","Sep","Oct","Nov","Dec"},0)</f>
        <v>7</v>
      </c>
    </row>
    <row r="254" spans="1:4" ht="12" customHeight="1">
      <c r="A254" s="96" t="s">
        <v>555</v>
      </c>
      <c r="B254" s="97" t="s">
        <v>556</v>
      </c>
      <c r="C254" s="145" t="s">
        <v>3206</v>
      </c>
      <c r="D254" s="144">
        <f>MATCH(C254,{"Jan","Feb","Mar","Apr","May","Jun","Jul","Aug","Sep","Oct","Nov","Dec"},0)</f>
        <v>7</v>
      </c>
    </row>
    <row r="255" spans="1:4" ht="12" customHeight="1">
      <c r="A255" s="96" t="s">
        <v>460</v>
      </c>
      <c r="B255" s="97" t="s">
        <v>461</v>
      </c>
      <c r="C255" s="145" t="s">
        <v>3207</v>
      </c>
      <c r="D255" s="144">
        <f>MATCH(C255,{"Jan","Feb","Mar","Apr","May","Jun","Jul","Aug","Sep","Oct","Nov","Dec"},0)</f>
        <v>8</v>
      </c>
    </row>
    <row r="256" spans="1:4" ht="12" customHeight="1">
      <c r="A256" s="96" t="s">
        <v>462</v>
      </c>
      <c r="B256" s="97" t="s">
        <v>463</v>
      </c>
      <c r="C256" s="145" t="s">
        <v>3206</v>
      </c>
      <c r="D256" s="144">
        <f>MATCH(C256,{"Jan","Feb","Mar","Apr","May","Jun","Jul","Aug","Sep","Oct","Nov","Dec"},0)</f>
        <v>7</v>
      </c>
    </row>
    <row r="257" spans="1:4" ht="12" customHeight="1">
      <c r="A257" s="96" t="s">
        <v>464</v>
      </c>
      <c r="B257" s="97" t="s">
        <v>465</v>
      </c>
      <c r="C257" s="145" t="s">
        <v>3204</v>
      </c>
      <c r="D257" s="144">
        <f>MATCH(C257,{"Jan","Feb","Mar","Apr","May","Jun","Jul","Aug","Sep","Oct","Nov","Dec"},0)</f>
        <v>6</v>
      </c>
    </row>
    <row r="258" spans="1:4" ht="12" customHeight="1">
      <c r="A258" s="96" t="s">
        <v>466</v>
      </c>
      <c r="B258" s="97" t="s">
        <v>467</v>
      </c>
      <c r="C258" s="145" t="s">
        <v>3206</v>
      </c>
      <c r="D258" s="144">
        <f>MATCH(C258,{"Jan","Feb","Mar","Apr","May","Jun","Jul","Aug","Sep","Oct","Nov","Dec"},0)</f>
        <v>7</v>
      </c>
    </row>
    <row r="259" spans="1:4" ht="12" customHeight="1">
      <c r="A259" s="96" t="s">
        <v>468</v>
      </c>
      <c r="B259" s="97" t="s">
        <v>469</v>
      </c>
      <c r="C259" s="145" t="s">
        <v>3203</v>
      </c>
      <c r="D259" s="144">
        <f>MATCH(C259,{"Jan","Feb","Mar","Apr","May","Jun","Jul","Aug","Sep","Oct","Nov","Dec"},0)</f>
        <v>2</v>
      </c>
    </row>
    <row r="260" spans="1:4" ht="12" customHeight="1">
      <c r="A260" s="96" t="s">
        <v>470</v>
      </c>
      <c r="B260" s="97" t="s">
        <v>471</v>
      </c>
      <c r="C260" s="145" t="s">
        <v>3206</v>
      </c>
      <c r="D260" s="144">
        <f>MATCH(C260,{"Jan","Feb","Mar","Apr","May","Jun","Jul","Aug","Sep","Oct","Nov","Dec"},0)</f>
        <v>7</v>
      </c>
    </row>
    <row r="261" spans="1:4" ht="12" customHeight="1">
      <c r="A261" s="96" t="s">
        <v>472</v>
      </c>
      <c r="B261" s="97" t="s">
        <v>473</v>
      </c>
      <c r="C261" s="145" t="s">
        <v>3206</v>
      </c>
      <c r="D261" s="144">
        <f>MATCH(C261,{"Jan","Feb","Mar","Apr","May","Jun","Jul","Aug","Sep","Oct","Nov","Dec"},0)</f>
        <v>7</v>
      </c>
    </row>
    <row r="262" spans="1:4" ht="12" customHeight="1">
      <c r="A262" s="96" t="s">
        <v>2996</v>
      </c>
      <c r="B262" s="97" t="s">
        <v>2997</v>
      </c>
      <c r="C262" s="145" t="s">
        <v>546</v>
      </c>
      <c r="D262" s="145" t="s">
        <v>546</v>
      </c>
    </row>
    <row r="263" spans="1:4" ht="12" customHeight="1">
      <c r="A263" s="96" t="s">
        <v>3190</v>
      </c>
      <c r="B263" s="97" t="s">
        <v>3110</v>
      </c>
      <c r="C263" s="145" t="s">
        <v>3207</v>
      </c>
      <c r="D263" s="144">
        <f>MATCH(C263,{"Jan","Feb","Mar","Apr","May","Jun","Jul","Aug","Sep","Oct","Nov","Dec"},0)</f>
        <v>8</v>
      </c>
    </row>
    <row r="264" spans="1:4" ht="12" customHeight="1">
      <c r="A264" s="96" t="s">
        <v>2990</v>
      </c>
      <c r="B264" s="97" t="s">
        <v>2991</v>
      </c>
      <c r="C264" s="145" t="s">
        <v>546</v>
      </c>
      <c r="D264" s="145" t="s">
        <v>546</v>
      </c>
    </row>
    <row r="265" spans="1:4" ht="12" customHeight="1">
      <c r="A265" s="96" t="s">
        <v>475</v>
      </c>
      <c r="B265" s="97" t="s">
        <v>474</v>
      </c>
      <c r="C265" s="145" t="s">
        <v>3207</v>
      </c>
      <c r="D265" s="144">
        <f>MATCH(C265,{"Jan","Feb","Mar","Apr","May","Jun","Jul","Aug","Sep","Oct","Nov","Dec"},0)</f>
        <v>8</v>
      </c>
    </row>
    <row r="266" spans="1:4" ht="12" customHeight="1">
      <c r="A266" s="96" t="s">
        <v>3017</v>
      </c>
      <c r="B266" s="97" t="s">
        <v>3018</v>
      </c>
      <c r="C266" s="145" t="s">
        <v>546</v>
      </c>
      <c r="D266" s="145" t="s">
        <v>546</v>
      </c>
    </row>
    <row r="267" spans="1:4" ht="12" customHeight="1">
      <c r="A267" s="96" t="s">
        <v>2849</v>
      </c>
      <c r="B267" s="97" t="s">
        <v>2850</v>
      </c>
      <c r="C267" s="145" t="s">
        <v>3207</v>
      </c>
      <c r="D267" s="144">
        <f>MATCH(C267,{"Jan","Feb","Mar","Apr","May","Jun","Jul","Aug","Sep","Oct","Nov","Dec"},0)</f>
        <v>8</v>
      </c>
    </row>
    <row r="268" spans="1:4" ht="12" customHeight="1">
      <c r="A268" s="96" t="s">
        <v>2851</v>
      </c>
      <c r="B268" s="97" t="s">
        <v>2852</v>
      </c>
      <c r="C268" s="145" t="s">
        <v>3207</v>
      </c>
      <c r="D268" s="144">
        <f>MATCH(C268,{"Jan","Feb","Mar","Apr","May","Jun","Jul","Aug","Sep","Oct","Nov","Dec"},0)</f>
        <v>8</v>
      </c>
    </row>
    <row r="269" spans="1:4" ht="12" customHeight="1">
      <c r="A269" s="96" t="s">
        <v>2853</v>
      </c>
      <c r="B269" s="97" t="s">
        <v>2854</v>
      </c>
      <c r="C269" s="145" t="s">
        <v>3207</v>
      </c>
      <c r="D269" s="144">
        <f>MATCH(C269,{"Jan","Feb","Mar","Apr","May","Jun","Jul","Aug","Sep","Oct","Nov","Dec"},0)</f>
        <v>8</v>
      </c>
    </row>
    <row r="270" spans="1:4" ht="12" customHeight="1">
      <c r="A270" s="96" t="s">
        <v>557</v>
      </c>
      <c r="B270" s="97" t="s">
        <v>558</v>
      </c>
      <c r="C270" s="145" t="s">
        <v>3201</v>
      </c>
      <c r="D270" s="144">
        <f>MATCH(C270,{"Jan","Feb","Mar","Apr","May","Jun","Jul","Aug","Sep","Oct","Nov","Dec"},0)</f>
        <v>10</v>
      </c>
    </row>
    <row r="271" spans="1:4" ht="12" customHeight="1">
      <c r="A271" s="96" t="s">
        <v>559</v>
      </c>
      <c r="B271" s="97" t="s">
        <v>3197</v>
      </c>
      <c r="C271" s="145" t="s">
        <v>3206</v>
      </c>
      <c r="D271" s="144">
        <f>MATCH(C271,{"Jan","Feb","Mar","Apr","May","Jun","Jul","Aug","Sep","Oct","Nov","Dec"},0)</f>
        <v>7</v>
      </c>
    </row>
    <row r="272" spans="1:4" ht="12" customHeight="1">
      <c r="A272" s="96" t="s">
        <v>560</v>
      </c>
      <c r="B272" s="97" t="s">
        <v>3198</v>
      </c>
      <c r="C272" s="145" t="s">
        <v>3207</v>
      </c>
      <c r="D272" s="144">
        <f>MATCH(C272,{"Jan","Feb","Mar","Apr","May","Jun","Jul","Aug","Sep","Oct","Nov","Dec"},0)</f>
        <v>8</v>
      </c>
    </row>
    <row r="273" spans="1:12" ht="12" customHeight="1">
      <c r="A273" s="96" t="s">
        <v>561</v>
      </c>
      <c r="B273" s="97" t="s">
        <v>3199</v>
      </c>
      <c r="C273" s="145" t="s">
        <v>3207</v>
      </c>
      <c r="D273" s="144">
        <f>MATCH(C273,{"Jan","Feb","Mar","Apr","May","Jun","Jul","Aug","Sep","Oct","Nov","Dec"},0)</f>
        <v>8</v>
      </c>
    </row>
    <row r="274" spans="1:12" ht="12" customHeight="1">
      <c r="A274" s="96" t="s">
        <v>478</v>
      </c>
      <c r="B274" s="97" t="s">
        <v>2855</v>
      </c>
      <c r="C274" s="145" t="s">
        <v>546</v>
      </c>
      <c r="D274" s="145" t="s">
        <v>546</v>
      </c>
    </row>
    <row r="275" spans="1:12" ht="12" customHeight="1">
      <c r="A275" s="96" t="s">
        <v>2992</v>
      </c>
      <c r="B275" s="97" t="s">
        <v>2993</v>
      </c>
      <c r="C275" s="145" t="s">
        <v>546</v>
      </c>
      <c r="D275" s="145" t="s">
        <v>546</v>
      </c>
    </row>
    <row r="276" spans="1:12" ht="12" customHeight="1">
      <c r="A276" s="96"/>
      <c r="B276" s="97"/>
      <c r="D276" s="141"/>
    </row>
    <row r="277" spans="1:12" ht="12" customHeight="1">
      <c r="A277" s="96"/>
      <c r="B277" s="97"/>
      <c r="D277" s="141"/>
    </row>
    <row r="278" spans="1:12" ht="12" customHeight="1">
      <c r="A278" s="96"/>
      <c r="B278" s="97"/>
      <c r="D278" s="141"/>
    </row>
    <row r="279" spans="1:12" ht="12" customHeight="1">
      <c r="A279" s="96"/>
      <c r="B279" s="97"/>
    </row>
    <row r="280" spans="1:12" ht="12" customHeight="1">
      <c r="A280" s="96"/>
      <c r="B280" s="97"/>
    </row>
    <row r="281" spans="1:12" ht="12" customHeight="1">
      <c r="A281" s="96"/>
      <c r="B281" s="97"/>
    </row>
    <row r="282" spans="1:12" ht="12" customHeight="1">
      <c r="A282" s="96"/>
      <c r="B282" s="97"/>
    </row>
    <row r="283" spans="1:12" ht="12" customHeight="1">
      <c r="A283" s="96"/>
      <c r="B283" s="97"/>
    </row>
    <row r="284" spans="1:12" ht="12" customHeight="1">
      <c r="A284" s="96"/>
      <c r="B284" s="97"/>
    </row>
    <row r="285" spans="1:12" ht="12" customHeight="1">
      <c r="A285" s="96"/>
      <c r="B285" s="97"/>
    </row>
    <row r="286" spans="1:12" ht="12" customHeight="1">
      <c r="A286" s="96"/>
      <c r="B286" s="97"/>
    </row>
    <row r="287" spans="1:12" ht="12" customHeight="1">
      <c r="A287" s="96"/>
      <c r="B287" s="97"/>
    </row>
    <row r="288" spans="1:12" s="44" customFormat="1" ht="12" customHeight="1">
      <c r="A288" s="96"/>
      <c r="B288" s="97"/>
      <c r="C288" s="28"/>
      <c r="D288" s="28"/>
      <c r="L288" s="5"/>
    </row>
    <row r="289" spans="1:12" s="44" customFormat="1" ht="12" customHeight="1">
      <c r="A289" s="96"/>
      <c r="B289" s="97"/>
      <c r="C289" s="28"/>
      <c r="D289" s="28"/>
      <c r="L289" s="5"/>
    </row>
    <row r="290" spans="1:12" s="44" customFormat="1" ht="12" customHeight="1">
      <c r="A290" s="96"/>
      <c r="B290" s="97"/>
      <c r="C290" s="28"/>
      <c r="D290" s="28"/>
      <c r="L290" s="5"/>
    </row>
    <row r="291" spans="1:12" s="44" customFormat="1" ht="12" customHeight="1">
      <c r="A291" s="96"/>
      <c r="B291" s="97"/>
      <c r="C291" s="28"/>
      <c r="D291" s="28"/>
      <c r="L291" s="5"/>
    </row>
    <row r="292" spans="1:12" s="44" customFormat="1" ht="12" customHeight="1">
      <c r="A292" s="96"/>
      <c r="B292" s="97"/>
      <c r="C292" s="28"/>
      <c r="D292" s="28"/>
      <c r="L292" s="5"/>
    </row>
    <row r="293" spans="1:12" s="44" customFormat="1" ht="12" customHeight="1">
      <c r="A293" s="96"/>
      <c r="B293" s="97"/>
      <c r="C293" s="28"/>
      <c r="D293" s="28"/>
      <c r="L293" s="5"/>
    </row>
    <row r="294" spans="1:12" s="44" customFormat="1" ht="12" customHeight="1">
      <c r="A294" s="96"/>
      <c r="B294" s="97"/>
      <c r="C294" s="28"/>
      <c r="D294" s="28"/>
      <c r="L294" s="5"/>
    </row>
    <row r="295" spans="1:12" s="44" customFormat="1" ht="12" customHeight="1">
      <c r="A295" s="96"/>
      <c r="B295" s="97"/>
      <c r="C295" s="28"/>
      <c r="D295" s="28"/>
      <c r="L295" s="5"/>
    </row>
    <row r="296" spans="1:12" s="44" customFormat="1" ht="12" customHeight="1">
      <c r="A296" s="96"/>
      <c r="B296" s="97"/>
      <c r="C296" s="28"/>
      <c r="D296" s="28"/>
      <c r="L296" s="5"/>
    </row>
    <row r="297" spans="1:12" s="44" customFormat="1" ht="12" customHeight="1">
      <c r="A297" s="96"/>
      <c r="B297" s="97"/>
      <c r="C297" s="28"/>
      <c r="D297" s="28"/>
      <c r="L297" s="5"/>
    </row>
    <row r="298" spans="1:12" s="44" customFormat="1" ht="12" customHeight="1">
      <c r="A298" s="96"/>
      <c r="B298" s="97"/>
      <c r="C298" s="28"/>
      <c r="D298" s="28"/>
      <c r="L298" s="5"/>
    </row>
    <row r="299" spans="1:12" s="44" customFormat="1" ht="12" customHeight="1">
      <c r="A299" s="96"/>
      <c r="B299" s="97"/>
      <c r="C299" s="28"/>
      <c r="D299" s="28"/>
      <c r="L299" s="5"/>
    </row>
    <row r="300" spans="1:12" s="44" customFormat="1" ht="12" customHeight="1">
      <c r="A300" s="96"/>
      <c r="B300" s="97"/>
      <c r="C300" s="28"/>
      <c r="D300" s="28"/>
      <c r="L300" s="5"/>
    </row>
    <row r="301" spans="1:12" s="44" customFormat="1" ht="12" customHeight="1">
      <c r="A301" s="96"/>
      <c r="B301" s="97"/>
      <c r="C301" s="28"/>
      <c r="D301" s="28"/>
      <c r="L301" s="5"/>
    </row>
    <row r="302" spans="1:12" s="44" customFormat="1" ht="12" customHeight="1">
      <c r="A302" s="96"/>
      <c r="B302" s="97"/>
      <c r="C302" s="28"/>
      <c r="D302" s="28"/>
      <c r="L302" s="5"/>
    </row>
    <row r="303" spans="1:12" s="44" customFormat="1" ht="12" customHeight="1">
      <c r="A303" s="96"/>
      <c r="B303" s="97"/>
      <c r="C303" s="28"/>
      <c r="D303" s="28"/>
      <c r="L303" s="5"/>
    </row>
    <row r="304" spans="1:12" s="44" customFormat="1" ht="12" customHeight="1">
      <c r="A304" s="96"/>
      <c r="B304" s="97"/>
      <c r="C304" s="28"/>
      <c r="D304" s="28"/>
      <c r="L304" s="5"/>
    </row>
    <row r="305" spans="1:12" s="44" customFormat="1" ht="12" customHeight="1">
      <c r="A305" s="96"/>
      <c r="B305" s="97"/>
      <c r="C305" s="28"/>
      <c r="D305" s="28"/>
      <c r="L305" s="5"/>
    </row>
    <row r="306" spans="1:12" s="44" customFormat="1" ht="12" customHeight="1">
      <c r="A306" s="96"/>
      <c r="B306" s="97"/>
      <c r="C306" s="28"/>
      <c r="D306" s="28"/>
      <c r="L306" s="5"/>
    </row>
    <row r="307" spans="1:12" s="44" customFormat="1" ht="12" customHeight="1">
      <c r="A307" s="96"/>
      <c r="B307" s="97"/>
      <c r="C307" s="28"/>
      <c r="D307" s="28"/>
      <c r="L307" s="5"/>
    </row>
    <row r="308" spans="1:12" s="44" customFormat="1" ht="12" customHeight="1">
      <c r="A308" s="96"/>
      <c r="B308" s="97"/>
      <c r="C308" s="28"/>
      <c r="D308" s="28"/>
      <c r="L308" s="5"/>
    </row>
    <row r="309" spans="1:12" s="44" customFormat="1" ht="12" customHeight="1">
      <c r="A309" s="96"/>
      <c r="B309" s="97"/>
      <c r="C309" s="28"/>
      <c r="D309" s="28"/>
      <c r="L309" s="5"/>
    </row>
    <row r="310" spans="1:12" s="44" customFormat="1" ht="12" customHeight="1">
      <c r="A310" s="96"/>
      <c r="B310" s="97"/>
      <c r="C310" s="28"/>
      <c r="D310" s="28"/>
      <c r="L310" s="5"/>
    </row>
    <row r="311" spans="1:12" s="44" customFormat="1" ht="12" customHeight="1">
      <c r="A311" s="96"/>
      <c r="B311" s="97"/>
      <c r="C311" s="28"/>
      <c r="D311" s="28"/>
      <c r="L311" s="5"/>
    </row>
    <row r="312" spans="1:12" s="44" customFormat="1" ht="12" customHeight="1">
      <c r="A312" s="96"/>
      <c r="B312" s="97"/>
      <c r="C312" s="28"/>
      <c r="D312" s="28"/>
      <c r="L312" s="5"/>
    </row>
    <row r="313" spans="1:12" s="44" customFormat="1" ht="12" customHeight="1">
      <c r="A313" s="96"/>
      <c r="B313" s="97"/>
      <c r="C313" s="28"/>
      <c r="D313" s="28"/>
      <c r="L313" s="5"/>
    </row>
    <row r="314" spans="1:12" s="44" customFormat="1" ht="12" customHeight="1">
      <c r="A314" s="96"/>
      <c r="B314" s="97"/>
      <c r="C314" s="28"/>
      <c r="D314" s="28"/>
      <c r="L314" s="5"/>
    </row>
    <row r="315" spans="1:12" s="44" customFormat="1" ht="12" customHeight="1">
      <c r="A315" s="96"/>
      <c r="B315" s="97"/>
      <c r="C315" s="28"/>
      <c r="D315" s="28"/>
      <c r="L315" s="5"/>
    </row>
    <row r="316" spans="1:12" s="29" customFormat="1" ht="12" customHeight="1">
      <c r="A316" s="96"/>
      <c r="B316" s="97"/>
      <c r="C316" s="59"/>
      <c r="D316" s="59"/>
      <c r="L316" s="5"/>
    </row>
    <row r="317" spans="1:12" s="29" customFormat="1" ht="12" customHeight="1">
      <c r="A317" s="96"/>
      <c r="B317" s="97"/>
      <c r="C317" s="59"/>
      <c r="D317" s="59"/>
      <c r="L317" s="5"/>
    </row>
    <row r="318" spans="1:12" ht="12" customHeight="1">
      <c r="A318" s="96"/>
      <c r="B318" s="97"/>
    </row>
    <row r="319" spans="1:12" ht="12" customHeight="1">
      <c r="A319" s="96"/>
      <c r="B319" s="97"/>
    </row>
    <row r="320" spans="1:12" ht="12" customHeight="1">
      <c r="A320" s="96"/>
      <c r="B320" s="97"/>
    </row>
    <row r="321" spans="1:2" ht="12" customHeight="1">
      <c r="A321" s="96"/>
      <c r="B321" s="97"/>
    </row>
    <row r="322" spans="1:2" ht="12" customHeight="1">
      <c r="A322" s="96"/>
      <c r="B322" s="97"/>
    </row>
    <row r="323" spans="1:2" ht="12" customHeight="1">
      <c r="A323" s="96"/>
      <c r="B323" s="97"/>
    </row>
    <row r="324" spans="1:2" ht="12" customHeight="1">
      <c r="A324" s="96"/>
      <c r="B324" s="97"/>
    </row>
    <row r="325" spans="1:2" ht="12" customHeight="1">
      <c r="A325" s="96"/>
      <c r="B325" s="97"/>
    </row>
    <row r="326" spans="1:2" ht="12" customHeight="1">
      <c r="A326" s="96"/>
      <c r="B326" s="97"/>
    </row>
    <row r="327" spans="1:2" ht="12" customHeight="1">
      <c r="A327" s="96"/>
      <c r="B327" s="97"/>
    </row>
    <row r="328" spans="1:2" ht="12" customHeight="1">
      <c r="A328" s="96"/>
      <c r="B328" s="97"/>
    </row>
    <row r="329" spans="1:2" ht="12" customHeight="1">
      <c r="A329" s="96"/>
      <c r="B329" s="97"/>
    </row>
    <row r="330" spans="1:2" ht="12" customHeight="1">
      <c r="A330" s="96"/>
      <c r="B330" s="97"/>
    </row>
    <row r="331" spans="1:2" ht="12" customHeight="1">
      <c r="A331" s="96"/>
      <c r="B331" s="97"/>
    </row>
    <row r="332" spans="1:2" ht="12" customHeight="1">
      <c r="A332" s="96"/>
      <c r="B332" s="97"/>
    </row>
    <row r="333" spans="1:2" ht="12" customHeight="1">
      <c r="A333" s="96"/>
      <c r="B333" s="97"/>
    </row>
    <row r="334" spans="1:2" ht="12" customHeight="1">
      <c r="A334" s="96"/>
      <c r="B334" s="97"/>
    </row>
    <row r="335" spans="1:2" ht="12" customHeight="1">
      <c r="A335" s="96"/>
      <c r="B335" s="97"/>
    </row>
    <row r="336" spans="1:2" ht="12" customHeight="1">
      <c r="A336" s="96"/>
      <c r="B336" s="97"/>
    </row>
    <row r="337" spans="1:2" ht="12" customHeight="1">
      <c r="A337" s="96"/>
      <c r="B337" s="97"/>
    </row>
    <row r="338" spans="1:2" ht="12" customHeight="1">
      <c r="A338" s="96"/>
      <c r="B338" s="97"/>
    </row>
    <row r="339" spans="1:2" ht="12" customHeight="1">
      <c r="A339" s="96"/>
      <c r="B339" s="97"/>
    </row>
    <row r="340" spans="1:2" ht="12" customHeight="1">
      <c r="A340" s="96"/>
      <c r="B340" s="97"/>
    </row>
    <row r="341" spans="1:2" ht="12" customHeight="1">
      <c r="A341" s="96"/>
      <c r="B341" s="97"/>
    </row>
    <row r="342" spans="1:2" ht="12" customHeight="1">
      <c r="A342" s="96"/>
      <c r="B342" s="97"/>
    </row>
    <row r="343" spans="1:2" ht="12" customHeight="1">
      <c r="A343" s="96"/>
      <c r="B343" s="97"/>
    </row>
    <row r="344" spans="1:2" ht="12" customHeight="1">
      <c r="A344" s="96"/>
      <c r="B344" s="97"/>
    </row>
    <row r="345" spans="1:2" ht="12" customHeight="1">
      <c r="A345" s="96"/>
      <c r="B345" s="97"/>
    </row>
    <row r="346" spans="1:2" ht="12" customHeight="1">
      <c r="A346" s="96"/>
      <c r="B346" s="97"/>
    </row>
    <row r="347" spans="1:2" ht="12" customHeight="1">
      <c r="A347" s="96"/>
      <c r="B347" s="97"/>
    </row>
    <row r="348" spans="1:2" ht="12" customHeight="1">
      <c r="A348" s="96"/>
      <c r="B348" s="97"/>
    </row>
    <row r="349" spans="1:2" ht="12" customHeight="1">
      <c r="A349" s="96"/>
      <c r="B349" s="97"/>
    </row>
    <row r="350" spans="1:2" ht="12" customHeight="1">
      <c r="A350" s="96"/>
      <c r="B350" s="97"/>
    </row>
    <row r="351" spans="1:2" ht="12" customHeight="1">
      <c r="A351" s="96"/>
      <c r="B351" s="97"/>
    </row>
    <row r="352" spans="1:2" ht="12" customHeight="1">
      <c r="A352" s="96"/>
      <c r="B352" s="97"/>
    </row>
    <row r="353" spans="1:2" ht="12" customHeight="1">
      <c r="A353" s="96"/>
      <c r="B353" s="97"/>
    </row>
    <row r="354" spans="1:2" ht="12" customHeight="1"/>
    <row r="355" spans="1:2" ht="12" customHeight="1"/>
    <row r="356" spans="1:2" ht="12" customHeight="1"/>
    <row r="357" spans="1:2" ht="12" customHeight="1"/>
    <row r="358" spans="1:2" ht="12" customHeight="1"/>
    <row r="359" spans="1:2" ht="12" customHeight="1"/>
    <row r="360" spans="1:2" ht="12" customHeight="1"/>
    <row r="361" spans="1:2" ht="12" customHeight="1"/>
    <row r="362" spans="1:2" ht="12" customHeight="1"/>
    <row r="363" spans="1:2" ht="12" customHeight="1"/>
    <row r="364" spans="1:2" ht="12" customHeight="1"/>
    <row r="365" spans="1:2" ht="12" customHeight="1"/>
    <row r="366" spans="1:2" ht="12" customHeight="1"/>
    <row r="367" spans="1:2" ht="12" customHeight="1"/>
    <row r="368" spans="1:2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  <row r="1001" ht="12" customHeight="1"/>
    <row r="1002" ht="12" customHeight="1"/>
    <row r="1003" ht="12" customHeight="1"/>
    <row r="1004" ht="12" customHeight="1"/>
    <row r="1005" ht="12" customHeight="1"/>
    <row r="1006" ht="12" customHeight="1"/>
    <row r="1007" ht="12" customHeight="1"/>
    <row r="1008" ht="12" customHeight="1"/>
    <row r="1009" ht="12" customHeight="1"/>
    <row r="1010" ht="12" customHeight="1"/>
    <row r="1011" ht="12" customHeight="1"/>
    <row r="1012" ht="12" customHeight="1"/>
    <row r="1013" ht="12" customHeight="1"/>
    <row r="1014" ht="12" customHeight="1"/>
    <row r="1015" ht="12" customHeight="1"/>
    <row r="1016" ht="12" customHeight="1"/>
    <row r="1017" ht="12" customHeight="1"/>
    <row r="1018" ht="12" customHeight="1"/>
    <row r="1019" ht="12" customHeight="1"/>
    <row r="1020" ht="12" customHeight="1"/>
    <row r="1021" ht="12" customHeight="1"/>
    <row r="1022" ht="12" customHeight="1"/>
    <row r="1023" ht="12" customHeight="1"/>
    <row r="1024" ht="12" customHeight="1"/>
    <row r="1025" ht="12" customHeight="1"/>
    <row r="1026" ht="12" customHeight="1"/>
    <row r="1027" ht="12" customHeight="1"/>
    <row r="1028" ht="12" customHeight="1"/>
    <row r="1029" ht="12" customHeight="1"/>
    <row r="1030" ht="12" customHeight="1"/>
    <row r="1031" ht="12" customHeight="1"/>
    <row r="1032" ht="12" customHeight="1"/>
    <row r="1033" ht="12" customHeight="1"/>
    <row r="1034" ht="12" customHeight="1"/>
    <row r="1035" ht="12" customHeight="1"/>
    <row r="1036" ht="12" customHeight="1"/>
    <row r="1037" ht="12" customHeight="1"/>
    <row r="1038" ht="12" customHeight="1"/>
    <row r="1039" ht="12" customHeight="1"/>
    <row r="1040" ht="12" customHeight="1"/>
    <row r="1041" ht="12" customHeight="1"/>
    <row r="1042" ht="12" customHeight="1"/>
    <row r="1043" ht="12" customHeight="1"/>
    <row r="1044" ht="12" customHeight="1"/>
    <row r="1045" ht="12" customHeight="1"/>
    <row r="1046" ht="12" customHeight="1"/>
    <row r="1047" ht="12" customHeight="1"/>
    <row r="1048" ht="12" customHeight="1"/>
    <row r="1049" ht="12" customHeight="1"/>
    <row r="1050" ht="12" customHeight="1"/>
    <row r="1051" ht="12" customHeight="1"/>
    <row r="1052" ht="12" customHeight="1"/>
    <row r="1053" ht="12" customHeight="1"/>
    <row r="1054" ht="12" customHeight="1"/>
    <row r="1055" ht="12" customHeight="1"/>
    <row r="1056" ht="12" customHeight="1"/>
    <row r="1057" ht="12" customHeight="1"/>
    <row r="1058" ht="12" customHeight="1"/>
    <row r="1059" ht="12" customHeight="1"/>
    <row r="1060" ht="12" customHeight="1"/>
    <row r="1061" ht="12" customHeight="1"/>
    <row r="1062" ht="12" customHeight="1"/>
    <row r="1063" ht="12" customHeight="1"/>
    <row r="1064" ht="12" customHeight="1"/>
    <row r="1065" ht="12" customHeight="1"/>
    <row r="1066" ht="12" customHeight="1"/>
    <row r="1067" ht="12" customHeight="1"/>
    <row r="1068" ht="12" customHeight="1"/>
    <row r="1069" ht="12" customHeight="1"/>
    <row r="1070" ht="12" customHeight="1"/>
    <row r="1071" ht="12" customHeight="1"/>
    <row r="1072" ht="12" customHeight="1"/>
    <row r="1073" ht="12" customHeight="1"/>
    <row r="1074" ht="12" customHeight="1"/>
    <row r="1075" ht="12" customHeight="1"/>
    <row r="1076" ht="12" customHeight="1"/>
    <row r="1077" ht="12" customHeight="1"/>
    <row r="1078" ht="12" customHeight="1"/>
    <row r="1079" ht="12" customHeight="1"/>
    <row r="1080" ht="12" customHeight="1"/>
    <row r="1081" ht="12" customHeight="1"/>
    <row r="1082" ht="12" customHeight="1"/>
    <row r="1083" ht="12" customHeight="1"/>
    <row r="1084" ht="12" customHeight="1"/>
    <row r="1085" ht="12" customHeight="1"/>
    <row r="1086" ht="12" customHeight="1"/>
    <row r="1087" ht="12" customHeight="1"/>
    <row r="1088" ht="12" customHeight="1"/>
    <row r="1089" ht="12" customHeight="1"/>
    <row r="1090" ht="12" customHeight="1"/>
    <row r="1091" ht="12" customHeight="1"/>
    <row r="1092" ht="12" customHeight="1"/>
    <row r="1093" ht="12" customHeight="1"/>
    <row r="1094" ht="12" customHeight="1"/>
    <row r="1095" ht="12" customHeight="1"/>
    <row r="1096" ht="12" customHeight="1"/>
    <row r="1097" ht="12" customHeight="1"/>
    <row r="1098" ht="12" customHeight="1"/>
    <row r="1099" ht="12" customHeight="1"/>
    <row r="1100" ht="12" customHeight="1"/>
    <row r="1101" ht="12" customHeight="1"/>
    <row r="1102" ht="12" customHeight="1"/>
    <row r="1103" ht="12" customHeight="1"/>
    <row r="1104" ht="12" customHeight="1"/>
    <row r="1105" ht="12" customHeight="1"/>
    <row r="1106" ht="12" customHeight="1"/>
    <row r="1107" ht="12" customHeight="1"/>
    <row r="1108" ht="12" customHeight="1"/>
    <row r="1109" ht="12" customHeight="1"/>
    <row r="1110" ht="12" customHeight="1"/>
    <row r="1111" ht="12" customHeight="1"/>
    <row r="1112" ht="12" customHeight="1"/>
    <row r="1113" ht="12" customHeight="1"/>
    <row r="1114" ht="12" customHeight="1"/>
    <row r="1115" ht="12" customHeight="1"/>
    <row r="1116" ht="12" customHeight="1"/>
    <row r="1117" ht="12" customHeight="1"/>
    <row r="1118" ht="12" customHeight="1"/>
    <row r="1119" ht="12" customHeight="1"/>
    <row r="1120" ht="12" customHeight="1"/>
    <row r="1121" ht="12" customHeight="1"/>
    <row r="1122" ht="12" customHeight="1"/>
    <row r="1123" ht="12" customHeight="1"/>
    <row r="1124" ht="12" customHeight="1"/>
    <row r="1125" ht="12" customHeight="1"/>
    <row r="1126" ht="12" customHeight="1"/>
    <row r="1127" ht="12" customHeight="1"/>
    <row r="1128" ht="12" customHeight="1"/>
    <row r="1129" ht="12" customHeight="1"/>
    <row r="1130" ht="12" customHeight="1"/>
    <row r="1131" ht="12" customHeight="1"/>
    <row r="1132" ht="12" customHeight="1"/>
    <row r="1133" ht="12" customHeight="1"/>
    <row r="1134" ht="12" customHeight="1"/>
    <row r="1135" ht="12" customHeight="1"/>
    <row r="1136" ht="12" customHeight="1"/>
    <row r="1137" ht="12" customHeight="1"/>
    <row r="1138" ht="12" customHeight="1"/>
    <row r="1139" ht="12" customHeight="1"/>
    <row r="1140" ht="12" customHeight="1"/>
    <row r="1141" ht="12" customHeight="1"/>
    <row r="1142" ht="12" customHeight="1"/>
    <row r="1143" ht="12" customHeight="1"/>
    <row r="1144" ht="12" customHeight="1"/>
    <row r="1145" ht="12" customHeight="1"/>
    <row r="1146" ht="12" customHeight="1"/>
    <row r="1147" ht="12" customHeight="1"/>
    <row r="1148" ht="12" customHeight="1"/>
    <row r="1149" ht="12" customHeight="1"/>
    <row r="1150" ht="12" customHeight="1"/>
    <row r="1151" ht="12" customHeight="1"/>
    <row r="1152" ht="12" customHeight="1"/>
    <row r="1153" ht="12" customHeight="1"/>
    <row r="1154" ht="12" customHeight="1"/>
    <row r="1155" ht="12" customHeight="1"/>
    <row r="1156" ht="12" customHeight="1"/>
    <row r="1157" ht="12" customHeight="1"/>
    <row r="1158" ht="12" customHeight="1"/>
    <row r="1159" ht="12" customHeight="1"/>
    <row r="1160" ht="12" customHeight="1"/>
    <row r="1161" ht="12" customHeight="1"/>
    <row r="1162" ht="12" customHeight="1"/>
    <row r="1163" ht="12" customHeight="1"/>
    <row r="1164" ht="12" customHeight="1"/>
    <row r="1165" ht="12" customHeight="1"/>
    <row r="1166" ht="12" customHeight="1"/>
    <row r="1167" ht="12" customHeight="1"/>
    <row r="1168" ht="12" customHeight="1"/>
    <row r="1169" ht="12" customHeight="1"/>
    <row r="1170" ht="12" customHeight="1"/>
    <row r="1171" ht="12" customHeight="1"/>
    <row r="1172" ht="12" customHeight="1"/>
    <row r="1173" ht="12" customHeight="1"/>
    <row r="1174" ht="12" customHeight="1"/>
    <row r="1175" ht="12" customHeight="1"/>
    <row r="1176" ht="12" customHeight="1"/>
    <row r="1177" ht="12" customHeight="1"/>
    <row r="1178" ht="12" customHeight="1"/>
    <row r="1179" ht="12" customHeight="1"/>
    <row r="1180" ht="12" customHeight="1"/>
    <row r="1181" ht="12" customHeight="1"/>
    <row r="1182" ht="12" customHeight="1"/>
    <row r="1183" ht="12" customHeight="1"/>
    <row r="1184" ht="12" customHeight="1"/>
    <row r="1185" ht="12" customHeight="1"/>
    <row r="1186" ht="12" customHeight="1"/>
    <row r="1187" ht="12" customHeight="1"/>
    <row r="1188" ht="12" customHeight="1"/>
    <row r="1189" ht="12" customHeight="1"/>
    <row r="1190" ht="12" customHeight="1"/>
    <row r="1191" ht="12" customHeight="1"/>
    <row r="1192" ht="12" customHeight="1"/>
    <row r="1193" ht="12" customHeight="1"/>
    <row r="1194" ht="12" customHeight="1"/>
    <row r="1195" ht="12" customHeight="1"/>
    <row r="1196" ht="12" customHeight="1"/>
    <row r="1197" ht="12" customHeight="1"/>
    <row r="1198" ht="12" customHeight="1"/>
    <row r="1199" ht="12" customHeight="1"/>
    <row r="1200" ht="12" customHeight="1"/>
    <row r="1201" ht="12" customHeight="1"/>
    <row r="1202" ht="12" customHeight="1"/>
    <row r="1203" ht="12" customHeight="1"/>
    <row r="1204" ht="12" customHeight="1"/>
    <row r="1205" ht="12" customHeight="1"/>
    <row r="1206" ht="12" customHeight="1"/>
    <row r="1207" ht="12" customHeight="1"/>
    <row r="1208" ht="12" customHeight="1"/>
    <row r="1209" ht="12" customHeight="1"/>
    <row r="1210" ht="12" customHeight="1"/>
    <row r="1211" ht="12" customHeight="1"/>
    <row r="1212" ht="12" customHeight="1"/>
    <row r="1213" ht="12" customHeight="1"/>
    <row r="1214" ht="12" customHeight="1"/>
    <row r="1215" ht="12" customHeight="1"/>
    <row r="1216" ht="12" customHeight="1"/>
    <row r="1217" ht="12" customHeight="1"/>
    <row r="1218" ht="12" customHeight="1"/>
    <row r="1219" ht="12" customHeight="1"/>
    <row r="1220" ht="12" customHeight="1"/>
    <row r="1221" ht="12" customHeight="1"/>
    <row r="1222" ht="12" customHeight="1"/>
    <row r="1223" ht="12" customHeight="1"/>
    <row r="1224" ht="12" customHeight="1"/>
    <row r="1225" ht="12" customHeight="1"/>
    <row r="1226" ht="12" customHeight="1"/>
    <row r="1227" ht="12" customHeight="1"/>
    <row r="1228" ht="12" customHeight="1"/>
    <row r="1229" ht="12" customHeight="1"/>
    <row r="1230" ht="12" customHeight="1"/>
    <row r="1231" ht="12" customHeight="1"/>
    <row r="1232" ht="12" customHeight="1"/>
    <row r="1233" ht="12" customHeight="1"/>
    <row r="1234" ht="12" customHeight="1"/>
    <row r="1235" ht="12" customHeight="1"/>
    <row r="1236" ht="12" customHeight="1"/>
    <row r="1237" ht="12" customHeight="1"/>
    <row r="1238" ht="12" customHeight="1"/>
    <row r="1239" ht="12" customHeight="1"/>
    <row r="1240" ht="12" customHeight="1"/>
    <row r="1241" ht="12" customHeight="1"/>
    <row r="1242" ht="12" customHeight="1"/>
    <row r="1243" ht="12" customHeight="1"/>
    <row r="1244" ht="12" customHeight="1"/>
    <row r="1245" ht="12" customHeight="1"/>
    <row r="1246" ht="12" customHeight="1"/>
    <row r="1247" ht="12" customHeight="1"/>
    <row r="1248" ht="12" customHeight="1"/>
    <row r="1249" ht="12" customHeight="1"/>
    <row r="1250" ht="12" customHeight="1"/>
    <row r="1251" ht="12" customHeight="1"/>
    <row r="1252" ht="12" customHeight="1"/>
    <row r="1253" ht="12" customHeight="1"/>
    <row r="1254" ht="12" customHeight="1"/>
    <row r="1255" ht="12" customHeight="1"/>
    <row r="1256" ht="12" customHeight="1"/>
    <row r="1257" ht="12" customHeight="1"/>
    <row r="1258" ht="12" customHeight="1"/>
    <row r="1259" ht="12" customHeight="1"/>
    <row r="1260" ht="12" customHeight="1"/>
    <row r="1261" ht="12" customHeight="1"/>
    <row r="1262" ht="12" customHeight="1"/>
    <row r="1263" ht="12" customHeight="1"/>
    <row r="1264" ht="12" customHeight="1"/>
    <row r="1265" ht="12" customHeight="1"/>
    <row r="1266" ht="12" customHeight="1"/>
    <row r="1267" ht="12" customHeight="1"/>
    <row r="1268" ht="12" customHeight="1"/>
    <row r="1269" ht="12" customHeight="1"/>
    <row r="1270" ht="12" customHeight="1"/>
    <row r="1271" ht="12" customHeight="1"/>
    <row r="1272" ht="12" customHeight="1"/>
    <row r="1273" ht="12" customHeight="1"/>
    <row r="1274" ht="12" customHeight="1"/>
    <row r="1275" ht="12" customHeight="1"/>
    <row r="1276" ht="12" customHeight="1"/>
    <row r="1277" ht="12" customHeight="1"/>
    <row r="1278" ht="12" customHeight="1"/>
    <row r="1279" ht="12" customHeight="1"/>
    <row r="1280" ht="12" customHeight="1"/>
    <row r="1281" ht="12" customHeight="1"/>
    <row r="1282" ht="12" customHeight="1"/>
    <row r="1283" ht="12" customHeight="1"/>
    <row r="1284" ht="12" customHeight="1"/>
    <row r="1285" ht="12" customHeight="1"/>
    <row r="1286" ht="12" customHeight="1"/>
    <row r="1287" ht="12" customHeight="1"/>
    <row r="1288" ht="12" customHeight="1"/>
    <row r="1289" ht="12" customHeight="1"/>
    <row r="1290" ht="12" customHeight="1"/>
    <row r="1291" ht="12" customHeight="1"/>
    <row r="1292" ht="12" customHeight="1"/>
    <row r="1293" ht="12" customHeight="1"/>
    <row r="1294" ht="12" customHeight="1"/>
    <row r="1295" ht="12" customHeight="1"/>
    <row r="1296" ht="12" customHeight="1"/>
    <row r="1297" ht="12" customHeight="1"/>
    <row r="1298" ht="12" customHeight="1"/>
    <row r="1299" ht="12" customHeight="1"/>
    <row r="1300" ht="12" customHeight="1"/>
    <row r="1301" ht="12" customHeight="1"/>
    <row r="1302" ht="12" customHeight="1"/>
    <row r="1303" ht="12" customHeight="1"/>
    <row r="1304" ht="12" customHeight="1"/>
    <row r="1305" ht="12" customHeight="1"/>
    <row r="1306" ht="12" customHeight="1"/>
    <row r="1307" ht="12" customHeight="1"/>
    <row r="1308" ht="12" customHeight="1"/>
    <row r="1309" ht="12" customHeight="1"/>
    <row r="1310" ht="12" customHeight="1"/>
    <row r="1311" ht="12" customHeight="1"/>
    <row r="1312" ht="12" customHeight="1"/>
    <row r="1313" ht="12" customHeight="1"/>
    <row r="1314" ht="12" customHeight="1"/>
    <row r="1315" ht="12" customHeight="1"/>
    <row r="1316" ht="12" customHeight="1"/>
    <row r="1317" ht="12" customHeight="1"/>
    <row r="1318" ht="12" customHeight="1"/>
    <row r="1319" ht="12" customHeight="1"/>
    <row r="1320" ht="12" customHeight="1"/>
    <row r="1321" ht="12" customHeight="1"/>
    <row r="1322" ht="12" customHeight="1"/>
    <row r="1323" ht="12" customHeight="1"/>
    <row r="1324" ht="12" customHeight="1"/>
    <row r="1325" ht="12" customHeight="1"/>
    <row r="1326" ht="12" customHeight="1"/>
    <row r="1327" ht="12" customHeight="1"/>
    <row r="1328" ht="12" customHeight="1"/>
    <row r="1329" ht="12" customHeight="1"/>
    <row r="1330" ht="12" customHeight="1"/>
    <row r="1331" ht="12" customHeight="1"/>
    <row r="1332" ht="12" customHeight="1"/>
    <row r="1333" ht="12" customHeight="1"/>
    <row r="1334" ht="12" customHeight="1"/>
    <row r="1335" ht="12" customHeight="1"/>
    <row r="1336" ht="12" customHeight="1"/>
    <row r="1337" ht="12" customHeight="1"/>
    <row r="1338" ht="12" customHeight="1"/>
    <row r="1339" ht="12" customHeight="1"/>
    <row r="1340" ht="12" customHeight="1"/>
    <row r="1341" ht="12" customHeight="1"/>
    <row r="1342" ht="12" customHeight="1"/>
    <row r="1343" ht="12" customHeight="1"/>
    <row r="1344" ht="12" customHeight="1"/>
    <row r="1345" ht="12" customHeight="1"/>
    <row r="1346" ht="12" customHeight="1"/>
    <row r="1347" ht="12" customHeight="1"/>
    <row r="1348" ht="12" customHeight="1"/>
    <row r="1349" ht="12" customHeight="1"/>
    <row r="1350" ht="12" customHeight="1"/>
    <row r="1351" ht="12" customHeight="1"/>
    <row r="1352" ht="12" customHeight="1"/>
    <row r="1353" ht="12" customHeight="1"/>
    <row r="1354" ht="12" customHeight="1"/>
    <row r="1355" ht="12" customHeight="1"/>
    <row r="1356" ht="12" customHeight="1"/>
    <row r="1357" ht="12" customHeight="1"/>
    <row r="1358" ht="12" customHeight="1"/>
    <row r="1359" ht="12" customHeight="1"/>
    <row r="1360" ht="12" customHeight="1"/>
    <row r="1361" ht="12" customHeight="1"/>
    <row r="1362" ht="12" customHeight="1"/>
    <row r="1363" ht="12" customHeight="1"/>
    <row r="1364" ht="12" customHeight="1"/>
    <row r="1365" ht="12" customHeight="1"/>
    <row r="1366" ht="12" customHeight="1"/>
    <row r="1367" ht="12" customHeight="1"/>
    <row r="1368" ht="12" customHeight="1"/>
    <row r="1369" ht="12" customHeight="1"/>
    <row r="1370" ht="12" customHeight="1"/>
    <row r="1371" ht="12" customHeight="1"/>
    <row r="1372" ht="12" customHeight="1"/>
    <row r="1373" ht="12" customHeight="1"/>
    <row r="1374" ht="12" customHeight="1"/>
    <row r="1375" ht="12" customHeight="1"/>
    <row r="1376" ht="12" customHeight="1"/>
    <row r="1377" ht="12" customHeight="1"/>
    <row r="1378" ht="12" customHeight="1"/>
    <row r="1379" ht="12" customHeight="1"/>
    <row r="1380" ht="12" customHeight="1"/>
    <row r="1381" ht="12" customHeight="1"/>
    <row r="1382" ht="12" customHeight="1"/>
    <row r="1383" ht="12" customHeight="1"/>
    <row r="1384" ht="12" customHeight="1"/>
    <row r="1385" ht="12" customHeight="1"/>
    <row r="1386" ht="12" customHeight="1"/>
    <row r="1387" ht="12" customHeight="1"/>
    <row r="1388" ht="12" customHeight="1"/>
    <row r="1389" ht="12" customHeight="1"/>
    <row r="1390" ht="12" customHeight="1"/>
    <row r="1391" ht="12" customHeight="1"/>
    <row r="1392" ht="12" customHeight="1"/>
    <row r="1393" ht="12" customHeight="1"/>
    <row r="1394" ht="12" customHeight="1"/>
    <row r="1395" ht="12" customHeight="1"/>
    <row r="1396" ht="12" customHeight="1"/>
    <row r="1397" ht="12" customHeight="1"/>
    <row r="1398" ht="12" customHeight="1"/>
    <row r="1399" ht="12" customHeight="1"/>
    <row r="1400" ht="12" customHeight="1"/>
    <row r="1401" ht="12" customHeight="1"/>
    <row r="1402" ht="12" customHeight="1"/>
    <row r="1403" ht="12" customHeight="1"/>
    <row r="1404" ht="12" customHeight="1"/>
    <row r="1405" ht="12" customHeight="1"/>
    <row r="1406" ht="12" customHeight="1"/>
    <row r="1407" ht="12" customHeight="1"/>
    <row r="1408" ht="12" customHeight="1"/>
    <row r="1409" ht="12" customHeight="1"/>
    <row r="1410" ht="12" customHeight="1"/>
    <row r="1411" ht="12" customHeight="1"/>
    <row r="1412" ht="12" customHeight="1"/>
    <row r="1413" ht="12" customHeight="1"/>
    <row r="1414" ht="12" customHeight="1"/>
    <row r="1415" ht="12" customHeight="1"/>
    <row r="1416" ht="12" customHeight="1"/>
    <row r="1417" ht="12" customHeight="1"/>
    <row r="1418" ht="12" customHeight="1"/>
    <row r="1419" ht="12" customHeight="1"/>
    <row r="1420" ht="12" customHeight="1"/>
    <row r="1421" ht="12" customHeight="1"/>
    <row r="1422" ht="12" customHeight="1"/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00C34-3DC1-45E6-A113-F1896939F479}">
  <sheetPr>
    <tabColor rgb="FF92D050"/>
  </sheetPr>
  <dimension ref="A1:Z7525"/>
  <sheetViews>
    <sheetView showGridLines="0" zoomScaleNormal="100" workbookViewId="0">
      <selection activeCell="K24" sqref="K24"/>
    </sheetView>
  </sheetViews>
  <sheetFormatPr defaultColWidth="9.140625" defaultRowHeight="12.75"/>
  <cols>
    <col min="1" max="1" width="8.7109375" style="5" customWidth="1"/>
    <col min="2" max="2" width="60.7109375" style="5" customWidth="1"/>
    <col min="3" max="3" width="12.7109375" style="29" customWidth="1"/>
    <col min="4" max="4" width="12.7109375" style="28" customWidth="1"/>
    <col min="5" max="6" width="12.7109375" style="62" customWidth="1"/>
    <col min="7" max="8" width="12.7109375" style="44" customWidth="1"/>
    <col min="9" max="12" width="20.7109375" style="5" customWidth="1"/>
    <col min="13" max="14" width="9.140625" style="5"/>
    <col min="15" max="26" width="2.7109375" style="5" customWidth="1"/>
    <col min="27" max="16384" width="9.140625" style="5"/>
  </cols>
  <sheetData>
    <row r="1" spans="1:13">
      <c r="A1" s="19" t="s">
        <v>539</v>
      </c>
      <c r="B1" s="19" t="s">
        <v>540</v>
      </c>
      <c r="C1" s="21" t="s">
        <v>1</v>
      </c>
      <c r="D1" s="66" t="s">
        <v>541</v>
      </c>
      <c r="E1" s="21" t="s">
        <v>542</v>
      </c>
      <c r="F1" s="21" t="s">
        <v>543</v>
      </c>
      <c r="G1" s="21"/>
      <c r="H1" s="4"/>
      <c r="I1" s="67"/>
      <c r="J1" s="5" t="s">
        <v>3028</v>
      </c>
    </row>
    <row r="2" spans="1:13">
      <c r="A2" s="10" t="s">
        <v>580</v>
      </c>
      <c r="B2" s="112" t="s">
        <v>3077</v>
      </c>
      <c r="C2" s="78">
        <v>6012</v>
      </c>
      <c r="D2" s="5"/>
      <c r="E2" s="29" cm="1">
        <f t="array" ref="E2">_xlfn.IFS(C2=":",":",C2&gt;=N$19,1,C2&gt;=N$20,2,C2&gt;=N$21,3,C2&gt;=N$22,4,C2&gt;=N$23,5,C2&lt;N$23,6)</f>
        <v>3</v>
      </c>
      <c r="F2" s="5"/>
      <c r="G2" s="8"/>
      <c r="H2" s="26"/>
      <c r="J2" s="5" t="s">
        <v>3029</v>
      </c>
    </row>
    <row r="3" spans="1:13" ht="12" customHeight="1">
      <c r="A3" s="10" t="s">
        <v>581</v>
      </c>
      <c r="B3" s="112" t="s">
        <v>582</v>
      </c>
      <c r="C3" s="78">
        <v>2942</v>
      </c>
      <c r="D3" s="5"/>
      <c r="E3" s="29" cm="1">
        <f t="array" ref="E3">_xlfn.IFS(C3=":",":",C3&gt;=N$19,1,C3&gt;=N$20,2,C3&gt;=N$21,3,C3&gt;=N$22,4,C3&gt;=N$23,5,C3&lt;N$23,6)</f>
        <v>4</v>
      </c>
      <c r="F3" s="5"/>
      <c r="G3" s="8"/>
      <c r="H3" s="26"/>
      <c r="I3" s="6" t="s">
        <v>3135</v>
      </c>
    </row>
    <row r="4" spans="1:13" ht="12" customHeight="1">
      <c r="A4" s="10" t="s">
        <v>583</v>
      </c>
      <c r="B4" s="112" t="s">
        <v>584</v>
      </c>
      <c r="C4" s="78">
        <v>1460</v>
      </c>
      <c r="D4" s="5"/>
      <c r="E4" s="29" cm="1">
        <f t="array" ref="E4">_xlfn.IFS(C4=":",":",C4&gt;=N$19,1,C4&gt;=N$20,2,C4&gt;=N$21,3,C4&gt;=N$22,4,C4&gt;=N$23,5,C4&lt;N$23,6)</f>
        <v>5</v>
      </c>
      <c r="F4" s="5"/>
      <c r="G4" s="8"/>
      <c r="H4" s="26"/>
      <c r="I4" s="6" t="s">
        <v>28</v>
      </c>
    </row>
    <row r="5" spans="1:13" s="31" customFormat="1" ht="12" customHeight="1">
      <c r="A5" s="10" t="s">
        <v>585</v>
      </c>
      <c r="B5" s="112" t="s">
        <v>586</v>
      </c>
      <c r="C5" s="78">
        <v>4195</v>
      </c>
      <c r="D5" s="5"/>
      <c r="E5" s="29" cm="1">
        <f t="array" ref="E5">_xlfn.IFS(C5=":",":",C5&gt;=N$19,1,C5&gt;=N$20,2,C5&gt;=N$21,3,C5&gt;=N$22,4,C5&gt;=N$23,5,C5&lt;N$23,6)</f>
        <v>3</v>
      </c>
      <c r="F5" s="5"/>
      <c r="G5" s="8"/>
      <c r="H5" s="40"/>
      <c r="I5" s="32"/>
      <c r="J5" s="5"/>
    </row>
    <row r="6" spans="1:13" ht="15.75">
      <c r="A6" s="10" t="s">
        <v>587</v>
      </c>
      <c r="B6" s="112" t="s">
        <v>588</v>
      </c>
      <c r="C6" s="78">
        <v>3551</v>
      </c>
      <c r="D6" s="5"/>
      <c r="E6" s="29" cm="1">
        <f t="array" ref="E6">_xlfn.IFS(C6=":",":",C6&gt;=N$19,1,C6&gt;=N$20,2,C6&gt;=N$21,3,C6&gt;=N$22,4,C6&gt;=N$23,5,C6&lt;N$23,6)</f>
        <v>3</v>
      </c>
      <c r="F6" s="5"/>
      <c r="G6" s="8"/>
      <c r="H6" s="40"/>
      <c r="I6" s="1" t="s">
        <v>3233</v>
      </c>
    </row>
    <row r="7" spans="1:13" ht="14.25">
      <c r="A7" s="10" t="s">
        <v>589</v>
      </c>
      <c r="B7" s="112" t="s">
        <v>590</v>
      </c>
      <c r="C7" s="78">
        <v>2839</v>
      </c>
      <c r="D7" s="5"/>
      <c r="E7" s="29" cm="1">
        <f t="array" ref="E7">_xlfn.IFS(C7=":",":",C7&gt;=N$19,1,C7&gt;=N$20,2,C7&gt;=N$21,3,C7&gt;=N$22,4,C7&gt;=N$23,5,C7&lt;N$23,6)</f>
        <v>4</v>
      </c>
      <c r="F7" s="5"/>
      <c r="G7" s="8"/>
      <c r="H7" s="26"/>
      <c r="I7" s="84" t="s">
        <v>3158</v>
      </c>
    </row>
    <row r="8" spans="1:13" ht="12" customHeight="1">
      <c r="A8" s="10" t="s">
        <v>591</v>
      </c>
      <c r="B8" s="112" t="s">
        <v>592</v>
      </c>
      <c r="C8" s="78">
        <v>12812</v>
      </c>
      <c r="D8" s="5"/>
      <c r="E8" s="29" cm="1">
        <f t="array" ref="E8">_xlfn.IFS(C8=":",":",C8&gt;=N$19,1,C8&gt;=N$20,2,C8&gt;=N$21,3,C8&gt;=N$22,4,C8&gt;=N$23,5,C8&lt;N$23,6)</f>
        <v>2</v>
      </c>
      <c r="F8" s="5"/>
      <c r="G8" s="8"/>
      <c r="H8" s="26"/>
      <c r="I8" s="32"/>
      <c r="K8" s="33"/>
    </row>
    <row r="9" spans="1:13" ht="12" customHeight="1">
      <c r="A9" s="10" t="s">
        <v>593</v>
      </c>
      <c r="B9" s="112" t="s">
        <v>594</v>
      </c>
      <c r="C9" s="78">
        <v>812</v>
      </c>
      <c r="D9" s="5"/>
      <c r="E9" s="29" cm="1">
        <f t="array" ref="E9">_xlfn.IFS(C9=":",":",C9&gt;=N$19,1,C9&gt;=N$20,2,C9&gt;=N$21,3,C9&gt;=N$22,4,C9&gt;=N$23,5,C9&lt;N$23,6)</f>
        <v>6</v>
      </c>
      <c r="F9" s="5"/>
      <c r="G9" s="8"/>
      <c r="H9" s="26"/>
      <c r="I9" s="33"/>
      <c r="K9" s="71"/>
    </row>
    <row r="10" spans="1:13" ht="12" customHeight="1">
      <c r="A10" s="10" t="s">
        <v>595</v>
      </c>
      <c r="B10" s="112" t="s">
        <v>596</v>
      </c>
      <c r="C10" s="78">
        <v>413</v>
      </c>
      <c r="D10" s="5"/>
      <c r="E10" s="29" cm="1">
        <f t="array" ref="E10">_xlfn.IFS(C10=":",":",C10&gt;=N$19,1,C10&gt;=N$20,2,C10&gt;=N$21,3,C10&gt;=N$22,4,C10&gt;=N$23,5,C10&lt;N$23,6)</f>
        <v>6</v>
      </c>
      <c r="F10" s="5"/>
      <c r="G10" s="8"/>
      <c r="H10" s="26"/>
      <c r="I10" s="52"/>
      <c r="K10" s="72"/>
    </row>
    <row r="11" spans="1:13" ht="12" customHeight="1">
      <c r="A11" s="10" t="s">
        <v>597</v>
      </c>
      <c r="B11" s="112" t="s">
        <v>598</v>
      </c>
      <c r="C11" s="78">
        <v>1101</v>
      </c>
      <c r="D11" s="5"/>
      <c r="E11" s="29" cm="1">
        <f t="array" ref="E11">_xlfn.IFS(C11=":",":",C11&gt;=N$19,1,C11&gt;=N$20,2,C11&gt;=N$21,3,C11&gt;=N$22,4,C11&gt;=N$23,5,C11&lt;N$23,6)</f>
        <v>5</v>
      </c>
      <c r="F11" s="5"/>
      <c r="G11" s="8"/>
      <c r="H11" s="26"/>
      <c r="K11" s="33"/>
    </row>
    <row r="12" spans="1:13" ht="12" customHeight="1">
      <c r="A12" s="10" t="s">
        <v>599</v>
      </c>
      <c r="B12" s="112" t="s">
        <v>600</v>
      </c>
      <c r="C12" s="78">
        <v>3376</v>
      </c>
      <c r="D12" s="5"/>
      <c r="E12" s="29" cm="1">
        <f t="array" ref="E12">_xlfn.IFS(C12=":",":",C12&gt;=N$19,1,C12&gt;=N$20,2,C12&gt;=N$21,3,C12&gt;=N$22,4,C12&gt;=N$23,5,C12&lt;N$23,6)</f>
        <v>4</v>
      </c>
      <c r="F12" s="5"/>
      <c r="G12" s="8"/>
      <c r="H12" s="26"/>
      <c r="K12" s="71"/>
    </row>
    <row r="13" spans="1:13" ht="12" customHeight="1">
      <c r="A13" s="10" t="s">
        <v>601</v>
      </c>
      <c r="B13" s="112" t="s">
        <v>602</v>
      </c>
      <c r="C13" s="78">
        <v>2199</v>
      </c>
      <c r="D13" s="68"/>
      <c r="E13" s="29" cm="1">
        <f t="array" ref="E13">_xlfn.IFS(C13=":",":",C13&gt;=N$19,1,C13&gt;=N$20,2,C13&gt;=N$21,3,C13&gt;=N$22,4,C13&gt;=N$23,5,C13&lt;N$23,6)</f>
        <v>4</v>
      </c>
      <c r="F13" s="60"/>
      <c r="G13" s="8"/>
      <c r="H13" s="26"/>
      <c r="K13" s="72"/>
    </row>
    <row r="14" spans="1:13" ht="12" customHeight="1">
      <c r="A14" s="10" t="s">
        <v>603</v>
      </c>
      <c r="B14" s="112" t="s">
        <v>604</v>
      </c>
      <c r="C14" s="78">
        <v>1331</v>
      </c>
      <c r="D14" s="68"/>
      <c r="E14" s="29" cm="1">
        <f t="array" ref="E14">_xlfn.IFS(C14=":",":",C14&gt;=N$19,1,C14&gt;=N$20,2,C14&gt;=N$21,3,C14&gt;=N$22,4,C14&gt;=N$23,5,C14&lt;N$23,6)</f>
        <v>5</v>
      </c>
      <c r="F14" s="60"/>
      <c r="G14" s="8"/>
      <c r="H14" s="26"/>
      <c r="J14" s="38"/>
      <c r="K14" s="38"/>
    </row>
    <row r="15" spans="1:13" ht="12" customHeight="1">
      <c r="A15" s="10" t="s">
        <v>605</v>
      </c>
      <c r="B15" s="112" t="s">
        <v>606</v>
      </c>
      <c r="C15" s="78">
        <v>2311</v>
      </c>
      <c r="D15" s="68"/>
      <c r="E15" s="29" cm="1">
        <f t="array" ref="E15">_xlfn.IFS(C15=":",":",C15&gt;=N$19,1,C15&gt;=N$20,2,C15&gt;=N$21,3,C15&gt;=N$22,4,C15&gt;=N$23,5,C15&lt;N$23,6)</f>
        <v>4</v>
      </c>
      <c r="F15" s="60"/>
      <c r="G15" s="8"/>
      <c r="H15" s="26"/>
      <c r="J15" s="30"/>
      <c r="K15" s="49"/>
      <c r="L15" s="30" t="s">
        <v>3040</v>
      </c>
      <c r="M15" s="93">
        <v>2</v>
      </c>
    </row>
    <row r="16" spans="1:13" ht="12" customHeight="1">
      <c r="A16" s="10" t="s">
        <v>607</v>
      </c>
      <c r="B16" s="112" t="s">
        <v>608</v>
      </c>
      <c r="C16" s="78">
        <v>1688</v>
      </c>
      <c r="D16" s="68"/>
      <c r="E16" s="29" cm="1">
        <f t="array" ref="E16">_xlfn.IFS(C16=":",":",C16&gt;=N$19,1,C16&gt;=N$20,2,C16&gt;=N$21,3,C16&gt;=N$22,4,C16&gt;=N$23,5,C16&lt;N$23,6)</f>
        <v>5</v>
      </c>
      <c r="F16" s="60"/>
      <c r="G16" s="8"/>
      <c r="H16" s="26"/>
      <c r="J16" s="37"/>
      <c r="K16" s="38"/>
      <c r="L16" s="30" t="s">
        <v>3041</v>
      </c>
      <c r="M16" s="93" cm="1">
        <f t="array" ref="M16">ROW(A1) + MIN(IF(A:A={"SE","SE3","SE33","SE332"}, ROW(A:A))) - 1</f>
        <v>1166</v>
      </c>
    </row>
    <row r="17" spans="1:15" ht="12" customHeight="1">
      <c r="A17" s="10" t="s">
        <v>609</v>
      </c>
      <c r="B17" s="112" t="s">
        <v>610</v>
      </c>
      <c r="C17" s="78">
        <v>13566</v>
      </c>
      <c r="D17" s="68"/>
      <c r="E17" s="29" cm="1">
        <f t="array" ref="E17">_xlfn.IFS(C17=":",":",C17&gt;=N$19,1,C17&gt;=N$20,2,C17&gt;=N$21,3,C17&gt;=N$22,4,C17&gt;=N$23,5,C17&lt;N$23,6)</f>
        <v>2</v>
      </c>
      <c r="F17" s="60"/>
      <c r="H17" s="26"/>
      <c r="I17" s="5" t="s">
        <v>3132</v>
      </c>
      <c r="J17" s="39"/>
      <c r="K17" s="49"/>
    </row>
    <row r="18" spans="1:15" ht="12" customHeight="1">
      <c r="A18" s="10" t="s">
        <v>611</v>
      </c>
      <c r="B18" s="112" t="s">
        <v>612</v>
      </c>
      <c r="C18" s="78">
        <v>3774</v>
      </c>
      <c r="D18" s="68"/>
      <c r="E18" s="29" cm="1">
        <f t="array" ref="E18">_xlfn.IFS(C18=":",":",C18&gt;=N$19,1,C18&gt;=N$20,2,C18&gt;=N$21,3,C18&gt;=N$22,4,C18&gt;=N$23,5,C18&lt;N$23,6)</f>
        <v>3</v>
      </c>
      <c r="F18" s="60"/>
      <c r="G18" s="8"/>
      <c r="H18" s="41" t="s">
        <v>544</v>
      </c>
      <c r="I18" s="5" t="str">
        <f>"≥"&amp;" "&amp;TEXT(N19, "# ##0")</f>
        <v>≥ 15 000</v>
      </c>
      <c r="J18" s="146">
        <v>1</v>
      </c>
      <c r="K18" s="5" t="s">
        <v>3217</v>
      </c>
      <c r="L18" s="87">
        <f ca="1">PERCENTILE(INDIRECT("C" &amp; M15 &amp; ":C" &amp; M16), 1)</f>
        <v>162722</v>
      </c>
      <c r="M18" s="30" t="s">
        <v>2809</v>
      </c>
    </row>
    <row r="19" spans="1:15" ht="12" customHeight="1">
      <c r="A19" s="10" t="s">
        <v>613</v>
      </c>
      <c r="B19" s="112" t="s">
        <v>614</v>
      </c>
      <c r="C19" s="78">
        <v>7697</v>
      </c>
      <c r="D19" s="68"/>
      <c r="E19" s="29" cm="1">
        <f t="array" ref="E19">_xlfn.IFS(C19=":",":",C19&gt;=N$19,1,C19&gt;=N$20,2,C19&gt;=N$21,3,C19&gt;=N$22,4,C19&gt;=N$23,5,C19&lt;N$23,6)</f>
        <v>2</v>
      </c>
      <c r="F19" s="60"/>
      <c r="G19" s="8"/>
      <c r="H19" s="26"/>
      <c r="I19" s="5" t="str">
        <f>TEXT(N20, "# ##0")&amp;" – &lt; "&amp;TEXT(N19, "# ##0")</f>
        <v>7 500 – &lt; 15 000</v>
      </c>
      <c r="J19" s="147">
        <v>2</v>
      </c>
      <c r="K19" s="5" t="s">
        <v>3218</v>
      </c>
      <c r="L19" s="87">
        <f ca="1">PERCENTILE(INDIRECT("C" &amp; M15 &amp; ":C" &amp; M16), 0.9)</f>
        <v>16214.399999999998</v>
      </c>
      <c r="M19" s="47" t="s">
        <v>2810</v>
      </c>
      <c r="N19" s="75">
        <v>15000</v>
      </c>
      <c r="O19" s="35" t="s">
        <v>3223</v>
      </c>
    </row>
    <row r="20" spans="1:15" ht="12" customHeight="1">
      <c r="A20" s="10" t="s">
        <v>615</v>
      </c>
      <c r="B20" s="112" t="s">
        <v>616</v>
      </c>
      <c r="C20" s="78">
        <v>1353</v>
      </c>
      <c r="D20" s="68"/>
      <c r="E20" s="29" cm="1">
        <f t="array" ref="E20">_xlfn.IFS(C20=":",":",C20&gt;=N$19,1,C20&gt;=N$20,2,C20&gt;=N$21,3,C20&gt;=N$22,4,C20&gt;=N$23,5,C20&lt;N$23,6)</f>
        <v>5</v>
      </c>
      <c r="F20" s="60"/>
      <c r="G20" s="8"/>
      <c r="H20" s="26"/>
      <c r="I20" s="5" t="str">
        <f t="shared" ref="I20:I22" si="0">TEXT(N21, "# ##0")&amp;" – &lt; "&amp;TEXT(N20, "# ##0")</f>
        <v>3 500 – &lt; 7 500</v>
      </c>
      <c r="J20" s="148">
        <v>3</v>
      </c>
      <c r="K20" s="5" t="s">
        <v>3219</v>
      </c>
      <c r="L20" s="87">
        <f ca="1">PERCENTILE(INDIRECT("C" &amp; M15 &amp; ":C" &amp; M16), 0.75)</f>
        <v>7624</v>
      </c>
      <c r="M20" s="47" t="s">
        <v>2811</v>
      </c>
      <c r="N20" s="75">
        <v>7500</v>
      </c>
    </row>
    <row r="21" spans="1:15" ht="12" customHeight="1">
      <c r="A21" s="10" t="s">
        <v>617</v>
      </c>
      <c r="B21" s="112" t="s">
        <v>618</v>
      </c>
      <c r="C21" s="78">
        <v>21831</v>
      </c>
      <c r="D21" s="68"/>
      <c r="E21" s="29" cm="1">
        <f t="array" ref="E21">_xlfn.IFS(C21=":",":",C21&gt;=N$19,1,C21&gt;=N$20,2,C21&gt;=N$21,3,C21&gt;=N$22,4,C21&gt;=N$23,5,C21&lt;N$23,6)</f>
        <v>1</v>
      </c>
      <c r="F21" s="60"/>
      <c r="G21" s="8"/>
      <c r="H21" s="26"/>
      <c r="I21" s="5" t="str">
        <f t="shared" si="0"/>
        <v>2 000 – &lt; 3 500</v>
      </c>
      <c r="J21" s="149">
        <v>4</v>
      </c>
      <c r="K21" s="5" t="s">
        <v>3220</v>
      </c>
      <c r="L21" s="87">
        <f ca="1">PERCENTILE(INDIRECT("C" &amp; M15 &amp; ":C" &amp; M16), 0.5)</f>
        <v>3515</v>
      </c>
      <c r="M21" s="47" t="s">
        <v>2812</v>
      </c>
      <c r="N21" s="75">
        <v>3500</v>
      </c>
    </row>
    <row r="22" spans="1:15" ht="12" customHeight="1">
      <c r="A22" s="10" t="s">
        <v>619</v>
      </c>
      <c r="B22" s="112" t="s">
        <v>620</v>
      </c>
      <c r="C22" s="78">
        <v>904</v>
      </c>
      <c r="D22" s="68"/>
      <c r="E22" s="29" cm="1">
        <f t="array" ref="E22">_xlfn.IFS(C22=":",":",C22&gt;=N$19,1,C22&gt;=N$20,2,C22&gt;=N$21,3,C22&gt;=N$22,4,C22&gt;=N$23,5,C22&lt;N$23,6)</f>
        <v>6</v>
      </c>
      <c r="F22" s="60"/>
      <c r="G22" s="8"/>
      <c r="H22" s="26"/>
      <c r="I22" s="5" t="str">
        <f t="shared" si="0"/>
        <v>1 000 – &lt; 2 000</v>
      </c>
      <c r="J22" s="150">
        <v>5</v>
      </c>
      <c r="K22" s="5" t="s">
        <v>3221</v>
      </c>
      <c r="L22" s="87">
        <f ca="1">PERCENTILE(INDIRECT("C" &amp; M15 &amp; ":C" &amp; M16), 0.25)</f>
        <v>1815</v>
      </c>
      <c r="M22" s="47" t="s">
        <v>2813</v>
      </c>
      <c r="N22" s="75">
        <v>2000</v>
      </c>
    </row>
    <row r="23" spans="1:15" ht="12" customHeight="1">
      <c r="A23" s="10" t="s">
        <v>621</v>
      </c>
      <c r="B23" s="112" t="s">
        <v>622</v>
      </c>
      <c r="C23" s="78">
        <v>802</v>
      </c>
      <c r="D23" s="68"/>
      <c r="E23" s="29" cm="1">
        <f t="array" ref="E23">_xlfn.IFS(C23=":",":",C23&gt;=N$19,1,C23&gt;=N$20,2,C23&gt;=N$21,3,C23&gt;=N$22,4,C23&gt;=N$23,5,C23&lt;N$23,6)</f>
        <v>6</v>
      </c>
      <c r="F23" s="60"/>
      <c r="G23" s="8"/>
      <c r="H23" s="5"/>
      <c r="I23" s="5" t="str">
        <f>"&lt;"&amp;" "&amp;TEXT(N23, "# ##0")</f>
        <v>&lt; 1 000</v>
      </c>
      <c r="J23" s="151">
        <v>6</v>
      </c>
      <c r="K23" s="5" t="s">
        <v>3222</v>
      </c>
      <c r="L23" s="87">
        <f ca="1">PERCENTILE(INDIRECT("C" &amp; M15 &amp; ":C" &amp; M16), 0.1)</f>
        <v>944.40000000000009</v>
      </c>
      <c r="M23" s="47" t="s">
        <v>2814</v>
      </c>
      <c r="N23" s="75">
        <v>1000</v>
      </c>
    </row>
    <row r="24" spans="1:15" ht="12" customHeight="1">
      <c r="A24" s="10" t="s">
        <v>623</v>
      </c>
      <c r="B24" s="112" t="s">
        <v>624</v>
      </c>
      <c r="C24" s="78">
        <v>51709</v>
      </c>
      <c r="D24" s="68"/>
      <c r="E24" s="29" cm="1">
        <f t="array" ref="E24">_xlfn.IFS(C24=":",":",C24&gt;=N$19,1,C24&gt;=N$20,2,C24&gt;=N$21,3,C24&gt;=N$22,4,C24&gt;=N$23,5,C24&lt;N$23,6)</f>
        <v>1</v>
      </c>
      <c r="F24" s="60"/>
      <c r="G24" s="8"/>
      <c r="H24" s="5"/>
      <c r="I24" s="5" t="s">
        <v>545</v>
      </c>
      <c r="J24" s="152" t="s">
        <v>546</v>
      </c>
      <c r="L24" s="87">
        <f ca="1">PERCENTILE(INDIRECT("C" &amp; M15 &amp; ":C" &amp; M16), 0)</f>
        <v>19</v>
      </c>
      <c r="M24" s="30" t="s">
        <v>2815</v>
      </c>
      <c r="N24" s="26"/>
    </row>
    <row r="25" spans="1:15" ht="12" customHeight="1">
      <c r="A25" s="10" t="s">
        <v>625</v>
      </c>
      <c r="B25" s="112" t="s">
        <v>626</v>
      </c>
      <c r="C25" s="78">
        <v>1401</v>
      </c>
      <c r="D25" s="68"/>
      <c r="E25" s="29" cm="1">
        <f t="array" ref="E25">_xlfn.IFS(C25=":",":",C25&gt;=N$19,1,C25&gt;=N$20,2,C25&gt;=N$21,3,C25&gt;=N$22,4,C25&gt;=N$23,5,C25&lt;N$23,6)</f>
        <v>5</v>
      </c>
      <c r="F25" s="60"/>
      <c r="G25" s="8"/>
      <c r="H25" s="5"/>
      <c r="L25" s="38"/>
    </row>
    <row r="26" spans="1:15" ht="12" customHeight="1">
      <c r="A26" s="10" t="s">
        <v>627</v>
      </c>
      <c r="B26" s="112" t="s">
        <v>628</v>
      </c>
      <c r="C26" s="78">
        <v>806</v>
      </c>
      <c r="D26" s="68"/>
      <c r="E26" s="29" cm="1">
        <f t="array" ref="E26">_xlfn.IFS(C26=":",":",C26&gt;=N$19,1,C26&gt;=N$20,2,C26&gt;=N$21,3,C26&gt;=N$22,4,C26&gt;=N$23,5,C26&lt;N$23,6)</f>
        <v>6</v>
      </c>
      <c r="F26" s="60"/>
      <c r="G26" s="8"/>
      <c r="L26" s="38"/>
    </row>
    <row r="27" spans="1:15" ht="12" customHeight="1">
      <c r="A27" s="10" t="s">
        <v>629</v>
      </c>
      <c r="B27" s="112" t="s">
        <v>630</v>
      </c>
      <c r="C27" s="78">
        <v>731</v>
      </c>
      <c r="D27" s="68"/>
      <c r="E27" s="29" cm="1">
        <f t="array" ref="E27">_xlfn.IFS(C27=":",":",C27&gt;=N$19,1,C27&gt;=N$20,2,C27&gt;=N$21,3,C27&gt;=N$22,4,C27&gt;=N$23,5,C27&lt;N$23,6)</f>
        <v>6</v>
      </c>
      <c r="F27" s="60"/>
      <c r="G27" s="8"/>
      <c r="L27" s="38"/>
    </row>
    <row r="28" spans="1:15" ht="12" customHeight="1">
      <c r="A28" s="10" t="s">
        <v>631</v>
      </c>
      <c r="B28" s="112" t="s">
        <v>632</v>
      </c>
      <c r="C28" s="78">
        <v>710</v>
      </c>
      <c r="D28" s="68"/>
      <c r="E28" s="29" cm="1">
        <f t="array" ref="E28">_xlfn.IFS(C28=":",":",C28&gt;=N$19,1,C28&gt;=N$20,2,C28&gt;=N$21,3,C28&gt;=N$22,4,C28&gt;=N$23,5,C28&lt;N$23,6)</f>
        <v>6</v>
      </c>
      <c r="F28" s="60"/>
      <c r="G28" s="8"/>
      <c r="L28" s="52"/>
    </row>
    <row r="29" spans="1:15" ht="12" customHeight="1">
      <c r="A29" s="10" t="s">
        <v>633</v>
      </c>
      <c r="B29" s="112" t="s">
        <v>634</v>
      </c>
      <c r="C29" s="78">
        <v>933</v>
      </c>
      <c r="D29" s="68"/>
      <c r="E29" s="29" cm="1">
        <f t="array" ref="E29">_xlfn.IFS(C29=":",":",C29&gt;=N$19,1,C29&gt;=N$20,2,C29&gt;=N$21,3,C29&gt;=N$22,4,C29&gt;=N$23,5,C29&lt;N$23,6)</f>
        <v>6</v>
      </c>
      <c r="F29" s="60"/>
      <c r="G29" s="8"/>
      <c r="L29" s="52"/>
    </row>
    <row r="30" spans="1:15" ht="12" customHeight="1">
      <c r="A30" s="10" t="s">
        <v>635</v>
      </c>
      <c r="B30" s="112" t="s">
        <v>636</v>
      </c>
      <c r="C30" s="78">
        <v>870</v>
      </c>
      <c r="D30" s="68"/>
      <c r="E30" s="29" cm="1">
        <f t="array" ref="E30">_xlfn.IFS(C30=":",":",C30&gt;=N$19,1,C30&gt;=N$20,2,C30&gt;=N$21,3,C30&gt;=N$22,4,C30&gt;=N$23,5,C30&lt;N$23,6)</f>
        <v>6</v>
      </c>
      <c r="F30" s="60"/>
      <c r="G30" s="8"/>
      <c r="L30" s="73"/>
    </row>
    <row r="31" spans="1:15" ht="12" customHeight="1">
      <c r="A31" s="10" t="s">
        <v>637</v>
      </c>
      <c r="B31" s="112" t="s">
        <v>638</v>
      </c>
      <c r="C31" s="78">
        <v>349</v>
      </c>
      <c r="D31" s="68"/>
      <c r="E31" s="29" cm="1">
        <f t="array" ref="E31">_xlfn.IFS(C31=":",":",C31&gt;=N$19,1,C31&gt;=N$20,2,C31&gt;=N$21,3,C31&gt;=N$22,4,C31&gt;=N$23,5,C31&lt;N$23,6)</f>
        <v>6</v>
      </c>
      <c r="F31" s="60"/>
      <c r="G31" s="8"/>
      <c r="K31" s="55"/>
      <c r="L31" s="73"/>
    </row>
    <row r="32" spans="1:15" ht="12" customHeight="1">
      <c r="A32" s="10" t="s">
        <v>639</v>
      </c>
      <c r="B32" s="112" t="s">
        <v>640</v>
      </c>
      <c r="C32" s="78">
        <v>4053</v>
      </c>
      <c r="D32" s="68"/>
      <c r="E32" s="29" cm="1">
        <f t="array" ref="E32">_xlfn.IFS(C32=":",":",C32&gt;=N$19,1,C32&gt;=N$20,2,C32&gt;=N$21,3,C32&gt;=N$22,4,C32&gt;=N$23,5,C32&lt;N$23,6)</f>
        <v>3</v>
      </c>
      <c r="F32" s="60"/>
      <c r="G32" s="8"/>
      <c r="K32" s="73"/>
      <c r="L32" s="73"/>
    </row>
    <row r="33" spans="1:13" ht="12" customHeight="1">
      <c r="A33" s="10" t="s">
        <v>641</v>
      </c>
      <c r="B33" s="112" t="s">
        <v>642</v>
      </c>
      <c r="C33" s="78">
        <v>1459</v>
      </c>
      <c r="D33" s="68"/>
      <c r="E33" s="29" cm="1">
        <f t="array" ref="E33">_xlfn.IFS(C33=":",":",C33&gt;=N$19,1,C33&gt;=N$20,2,C33&gt;=N$21,3,C33&gt;=N$22,4,C33&gt;=N$23,5,C33&lt;N$23,6)</f>
        <v>5</v>
      </c>
      <c r="F33" s="60"/>
      <c r="G33" s="8"/>
      <c r="K33" s="73"/>
      <c r="L33" s="73"/>
    </row>
    <row r="34" spans="1:13" ht="12" customHeight="1">
      <c r="A34" s="10" t="s">
        <v>643</v>
      </c>
      <c r="B34" s="112" t="s">
        <v>644</v>
      </c>
      <c r="C34" s="78">
        <v>1273</v>
      </c>
      <c r="D34" s="68"/>
      <c r="E34" s="29" cm="1">
        <f t="array" ref="E34">_xlfn.IFS(C34=":",":",C34&gt;=N$19,1,C34&gt;=N$20,2,C34&gt;=N$21,3,C34&gt;=N$22,4,C34&gt;=N$23,5,C34&lt;N$23,6)</f>
        <v>5</v>
      </c>
      <c r="F34" s="60"/>
      <c r="G34" s="8"/>
      <c r="H34" s="31" t="s">
        <v>547</v>
      </c>
      <c r="I34" s="50"/>
      <c r="K34" s="73"/>
      <c r="L34" s="73"/>
    </row>
    <row r="35" spans="1:13" ht="12" customHeight="1">
      <c r="A35" s="10" t="s">
        <v>645</v>
      </c>
      <c r="B35" s="112" t="s">
        <v>646</v>
      </c>
      <c r="C35" s="78">
        <v>540</v>
      </c>
      <c r="D35" s="68"/>
      <c r="E35" s="29" cm="1">
        <f t="array" ref="E35">_xlfn.IFS(C35=":",":",C35&gt;=N$19,1,C35&gt;=N$20,2,C35&gt;=N$21,3,C35&gt;=N$22,4,C35&gt;=N$23,5,C35&lt;N$23,6)</f>
        <v>6</v>
      </c>
      <c r="F35" s="60"/>
      <c r="G35" s="8"/>
      <c r="H35" s="51"/>
      <c r="I35" s="5" t="s">
        <v>3227</v>
      </c>
      <c r="K35" s="26"/>
      <c r="L35" s="26"/>
    </row>
    <row r="36" spans="1:13" ht="12" customHeight="1">
      <c r="A36" s="10" t="s">
        <v>647</v>
      </c>
      <c r="B36" s="112" t="s">
        <v>3011</v>
      </c>
      <c r="C36" s="78">
        <v>5614</v>
      </c>
      <c r="D36" s="68"/>
      <c r="E36" s="29" cm="1">
        <f t="array" ref="E36">_xlfn.IFS(C36=":",":",C36&gt;=N$19,1,C36&gt;=N$20,2,C36&gt;=N$21,3,C36&gt;=N$22,4,C36&gt;=N$23,5,C36&lt;N$23,6)</f>
        <v>3</v>
      </c>
      <c r="F36" s="60"/>
      <c r="G36" s="8"/>
      <c r="H36" s="51"/>
      <c r="K36" s="26"/>
      <c r="L36" s="26"/>
      <c r="M36" s="35"/>
    </row>
    <row r="37" spans="1:13" ht="12" customHeight="1">
      <c r="A37" s="10" t="s">
        <v>648</v>
      </c>
      <c r="B37" s="112" t="s">
        <v>3012</v>
      </c>
      <c r="C37" s="78">
        <v>6771</v>
      </c>
      <c r="D37" s="68"/>
      <c r="E37" s="29" cm="1">
        <f t="array" ref="E37">_xlfn.IFS(C37=":",":",C37&gt;=N$19,1,C37&gt;=N$20,2,C37&gt;=N$21,3,C37&gt;=N$22,4,C37&gt;=N$23,5,C37&lt;N$23,6)</f>
        <v>3</v>
      </c>
      <c r="F37" s="60"/>
      <c r="G37" s="8"/>
      <c r="H37" s="26"/>
      <c r="I37" s="52"/>
      <c r="K37" s="26"/>
      <c r="L37" s="26"/>
    </row>
    <row r="38" spans="1:13" ht="12" customHeight="1">
      <c r="A38" s="10" t="s">
        <v>649</v>
      </c>
      <c r="B38" s="112" t="s">
        <v>650</v>
      </c>
      <c r="C38" s="78">
        <v>1856</v>
      </c>
      <c r="D38" s="68"/>
      <c r="E38" s="29" cm="1">
        <f t="array" ref="E38">_xlfn.IFS(C38=":",":",C38&gt;=N$19,1,C38&gt;=N$20,2,C38&gt;=N$21,3,C38&gt;=N$22,4,C38&gt;=N$23,5,C38&lt;N$23,6)</f>
        <v>5</v>
      </c>
      <c r="F38" s="60"/>
      <c r="G38" s="8"/>
      <c r="H38" s="41" t="s">
        <v>548</v>
      </c>
      <c r="K38" s="26"/>
      <c r="L38" s="26"/>
    </row>
    <row r="39" spans="1:13" ht="12" customHeight="1">
      <c r="A39" s="10" t="s">
        <v>651</v>
      </c>
      <c r="B39" s="112" t="s">
        <v>652</v>
      </c>
      <c r="C39" s="78">
        <v>18219</v>
      </c>
      <c r="D39" s="68"/>
      <c r="E39" s="29" cm="1">
        <f t="array" ref="E39">_xlfn.IFS(C39=":",":",C39&gt;=N$19,1,C39&gt;=N$20,2,C39&gt;=N$21,3,C39&gt;=N$22,4,C39&gt;=N$23,5,C39&lt;N$23,6)</f>
        <v>1</v>
      </c>
      <c r="F39" s="60"/>
      <c r="G39" s="8"/>
      <c r="H39" s="26"/>
      <c r="I39" s="79" t="s">
        <v>3129</v>
      </c>
      <c r="K39" s="26"/>
      <c r="L39" s="26"/>
    </row>
    <row r="40" spans="1:13" ht="12" customHeight="1">
      <c r="A40" s="10" t="s">
        <v>653</v>
      </c>
      <c r="B40" s="112" t="s">
        <v>654</v>
      </c>
      <c r="C40" s="78">
        <v>15470</v>
      </c>
      <c r="D40" s="68"/>
      <c r="E40" s="29" cm="1">
        <f t="array" ref="E40">_xlfn.IFS(C40=":",":",C40&gt;=N$19,1,C40&gt;=N$20,2,C40&gt;=N$21,3,C40&gt;=N$22,4,C40&gt;=N$23,5,C40&lt;N$23,6)</f>
        <v>1</v>
      </c>
      <c r="F40" s="60"/>
      <c r="H40" s="26"/>
      <c r="K40" s="26"/>
      <c r="L40" s="26"/>
    </row>
    <row r="41" spans="1:13" ht="12" customHeight="1">
      <c r="A41" s="10" t="s">
        <v>655</v>
      </c>
      <c r="B41" s="112" t="s">
        <v>656</v>
      </c>
      <c r="C41" s="78">
        <v>13452</v>
      </c>
      <c r="D41" s="68"/>
      <c r="E41" s="29" cm="1">
        <f t="array" ref="E41">_xlfn.IFS(C41=":",":",C41&gt;=N$19,1,C41&gt;=N$20,2,C41&gt;=N$21,3,C41&gt;=N$22,4,C41&gt;=N$23,5,C41&lt;N$23,6)</f>
        <v>2</v>
      </c>
      <c r="F41" s="60"/>
      <c r="G41" s="8"/>
      <c r="H41" s="54" t="s">
        <v>3000</v>
      </c>
      <c r="I41" s="13"/>
      <c r="K41" s="26"/>
      <c r="L41" s="26"/>
    </row>
    <row r="42" spans="1:13" ht="12" customHeight="1">
      <c r="A42" s="10" t="s">
        <v>657</v>
      </c>
      <c r="B42" s="112" t="s">
        <v>658</v>
      </c>
      <c r="C42" s="78">
        <v>4238</v>
      </c>
      <c r="D42" s="68"/>
      <c r="E42" s="29" cm="1">
        <f t="array" ref="E42">_xlfn.IFS(C42=":",":",C42&gt;=N$19,1,C42&gt;=N$20,2,C42&gt;=N$21,3,C42&gt;=N$22,4,C42&gt;=N$23,5,C42&lt;N$23,6)</f>
        <v>3</v>
      </c>
      <c r="F42" s="60"/>
      <c r="G42" s="8"/>
      <c r="H42" s="80" t="s">
        <v>2818</v>
      </c>
      <c r="I42" s="123" t="s">
        <v>3159</v>
      </c>
      <c r="K42" s="26"/>
      <c r="L42" s="26"/>
    </row>
    <row r="43" spans="1:13" ht="12" customHeight="1">
      <c r="A43" s="10" t="s">
        <v>659</v>
      </c>
      <c r="B43" s="112" t="s">
        <v>660</v>
      </c>
      <c r="C43" s="78">
        <v>8233</v>
      </c>
      <c r="D43" s="68"/>
      <c r="E43" s="29" cm="1">
        <f t="array" ref="E43">_xlfn.IFS(C43=":",":",C43&gt;=N$19,1,C43&gt;=N$20,2,C43&gt;=N$21,3,C43&gt;=N$22,4,C43&gt;=N$23,5,C43&lt;N$23,6)</f>
        <v>2</v>
      </c>
      <c r="F43" s="60"/>
      <c r="G43" s="8"/>
      <c r="H43" s="44" t="s">
        <v>3033</v>
      </c>
      <c r="I43" s="123" t="s">
        <v>3160</v>
      </c>
      <c r="J43" s="26"/>
      <c r="K43" s="26"/>
      <c r="L43" s="26"/>
    </row>
    <row r="44" spans="1:13" ht="12" customHeight="1">
      <c r="A44" s="10" t="s">
        <v>661</v>
      </c>
      <c r="B44" s="112" t="s">
        <v>662</v>
      </c>
      <c r="C44" s="78">
        <v>1452</v>
      </c>
      <c r="D44" s="68"/>
      <c r="E44" s="29" cm="1">
        <f t="array" ref="E44">_xlfn.IFS(C44=":",":",C44&gt;=N$19,1,C44&gt;=N$20,2,C44&gt;=N$21,3,C44&gt;=N$22,4,C44&gt;=N$23,5,C44&lt;N$23,6)</f>
        <v>5</v>
      </c>
      <c r="F44" s="60"/>
      <c r="G44" s="8"/>
      <c r="J44" s="26"/>
      <c r="K44" s="26"/>
      <c r="L44" s="26"/>
    </row>
    <row r="45" spans="1:13" ht="12" customHeight="1">
      <c r="A45" s="10" t="s">
        <v>663</v>
      </c>
      <c r="B45" s="112" t="s">
        <v>664</v>
      </c>
      <c r="C45" s="78">
        <v>2272</v>
      </c>
      <c r="D45" s="68"/>
      <c r="E45" s="29" cm="1">
        <f t="array" ref="E45">_xlfn.IFS(C45=":",":",C45&gt;=N$19,1,C45&gt;=N$20,2,C45&gt;=N$21,3,C45&gt;=N$22,4,C45&gt;=N$23,5,C45&lt;N$23,6)</f>
        <v>4</v>
      </c>
      <c r="F45" s="60"/>
      <c r="G45" s="8"/>
      <c r="I45" s="26"/>
      <c r="J45" s="26"/>
      <c r="K45" s="26"/>
      <c r="L45" s="26"/>
    </row>
    <row r="46" spans="1:13" ht="12" customHeight="1">
      <c r="A46" s="10" t="s">
        <v>665</v>
      </c>
      <c r="B46" s="113" t="s">
        <v>666</v>
      </c>
      <c r="C46" s="78">
        <v>930</v>
      </c>
      <c r="D46" s="68"/>
      <c r="E46" s="29" cm="1">
        <f t="array" ref="E46">_xlfn.IFS(C46=":",":",C46&gt;=N$19,1,C46&gt;=N$20,2,C46&gt;=N$21,3,C46&gt;=N$22,4,C46&gt;=N$23,5,C46&lt;N$23,6)</f>
        <v>6</v>
      </c>
      <c r="F46" s="60"/>
      <c r="G46" s="8"/>
      <c r="I46" s="26"/>
      <c r="J46" s="26"/>
      <c r="K46" s="26"/>
      <c r="L46" s="26"/>
    </row>
    <row r="47" spans="1:13" ht="12" customHeight="1">
      <c r="A47" s="10" t="s">
        <v>667</v>
      </c>
      <c r="B47" s="113" t="s">
        <v>668</v>
      </c>
      <c r="C47" s="78">
        <v>860</v>
      </c>
      <c r="D47" s="68"/>
      <c r="E47" s="29" cm="1">
        <f t="array" ref="E47">_xlfn.IFS(C47=":",":",C47&gt;=N$19,1,C47&gt;=N$20,2,C47&gt;=N$21,3,C47&gt;=N$22,4,C47&gt;=N$23,5,C47&lt;N$23,6)</f>
        <v>6</v>
      </c>
      <c r="F47" s="60"/>
      <c r="G47" s="8"/>
      <c r="I47" s="26"/>
      <c r="J47" s="26"/>
      <c r="K47" s="26"/>
      <c r="L47" s="26"/>
    </row>
    <row r="48" spans="1:13" ht="12" customHeight="1">
      <c r="A48" s="10" t="s">
        <v>669</v>
      </c>
      <c r="B48" s="113" t="s">
        <v>670</v>
      </c>
      <c r="C48" s="78">
        <v>852</v>
      </c>
      <c r="D48" s="68"/>
      <c r="E48" s="29" cm="1">
        <f t="array" ref="E48">_xlfn.IFS(C48=":",":",C48&gt;=N$19,1,C48&gt;=N$20,2,C48&gt;=N$21,3,C48&gt;=N$22,4,C48&gt;=N$23,5,C48&lt;N$23,6)</f>
        <v>6</v>
      </c>
      <c r="F48" s="60"/>
      <c r="G48" s="8"/>
      <c r="I48" s="26"/>
      <c r="J48" s="26"/>
      <c r="K48" s="26"/>
    </row>
    <row r="49" spans="1:12" ht="12" customHeight="1">
      <c r="A49" s="10" t="s">
        <v>671</v>
      </c>
      <c r="B49" s="113" t="s">
        <v>672</v>
      </c>
      <c r="C49" s="78">
        <v>588</v>
      </c>
      <c r="D49" s="68"/>
      <c r="E49" s="29" cm="1">
        <f t="array" ref="E49">_xlfn.IFS(C49=":",":",C49&gt;=N$19,1,C49&gt;=N$20,2,C49&gt;=N$21,3,C49&gt;=N$22,4,C49&gt;=N$23,5,C49&lt;N$23,6)</f>
        <v>6</v>
      </c>
      <c r="F49" s="60"/>
      <c r="G49" s="8"/>
      <c r="I49" s="26"/>
      <c r="J49" s="26"/>
      <c r="K49" s="26"/>
    </row>
    <row r="50" spans="1:12" ht="12" customHeight="1">
      <c r="A50" s="10" t="s">
        <v>673</v>
      </c>
      <c r="B50" s="113" t="s">
        <v>674</v>
      </c>
      <c r="C50" s="78">
        <v>2415</v>
      </c>
      <c r="D50" s="68"/>
      <c r="E50" s="29" cm="1">
        <f t="array" ref="E50">_xlfn.IFS(C50=":",":",C50&gt;=N$19,1,C50&gt;=N$20,2,C50&gt;=N$21,3,C50&gt;=N$22,4,C50&gt;=N$23,5,C50&lt;N$23,6)</f>
        <v>4</v>
      </c>
      <c r="F50" s="60"/>
      <c r="G50" s="8"/>
      <c r="I50" s="26"/>
      <c r="J50" s="26"/>
      <c r="K50" s="26"/>
    </row>
    <row r="51" spans="1:12" ht="12" customHeight="1">
      <c r="A51" s="10" t="s">
        <v>675</v>
      </c>
      <c r="B51" s="113" t="s">
        <v>676</v>
      </c>
      <c r="C51" s="78">
        <v>1532</v>
      </c>
      <c r="D51" s="68"/>
      <c r="E51" s="29" cm="1">
        <f t="array" ref="E51">_xlfn.IFS(C51=":",":",C51&gt;=N$19,1,C51&gt;=N$20,2,C51&gt;=N$21,3,C51&gt;=N$22,4,C51&gt;=N$23,5,C51&lt;N$23,6)</f>
        <v>5</v>
      </c>
      <c r="F51" s="60"/>
      <c r="G51" s="8"/>
      <c r="I51" s="26"/>
      <c r="J51" s="26"/>
      <c r="K51" s="26"/>
      <c r="L51" s="26"/>
    </row>
    <row r="52" spans="1:12" ht="12" customHeight="1">
      <c r="A52" s="10" t="s">
        <v>677</v>
      </c>
      <c r="B52" s="113" t="s">
        <v>678</v>
      </c>
      <c r="C52" s="78">
        <v>1857</v>
      </c>
      <c r="D52" s="68"/>
      <c r="E52" s="29" cm="1">
        <f t="array" ref="E52">_xlfn.IFS(C52=":",":",C52&gt;=N$19,1,C52&gt;=N$20,2,C52&gt;=N$21,3,C52&gt;=N$22,4,C52&gt;=N$23,5,C52&lt;N$23,6)</f>
        <v>5</v>
      </c>
      <c r="F52" s="60"/>
      <c r="G52" s="8"/>
      <c r="H52" s="31" t="s">
        <v>3076</v>
      </c>
      <c r="I52" s="5" t="s">
        <v>3161</v>
      </c>
      <c r="J52" s="26"/>
      <c r="K52" s="26"/>
      <c r="L52" s="26"/>
    </row>
    <row r="53" spans="1:12" ht="12" customHeight="1">
      <c r="A53" s="10" t="s">
        <v>679</v>
      </c>
      <c r="B53" s="113" t="s">
        <v>680</v>
      </c>
      <c r="C53" s="78">
        <v>814</v>
      </c>
      <c r="D53" s="68"/>
      <c r="E53" s="29" cm="1">
        <f t="array" ref="E53">_xlfn.IFS(C53=":",":",C53&gt;=N$19,1,C53&gt;=N$20,2,C53&gt;=N$21,3,C53&gt;=N$22,4,C53&gt;=N$23,5,C53&lt;N$23,6)</f>
        <v>6</v>
      </c>
      <c r="F53" s="60"/>
      <c r="G53" s="8"/>
      <c r="H53" s="105" t="s">
        <v>3124</v>
      </c>
      <c r="I53" s="5" t="s">
        <v>3125</v>
      </c>
      <c r="J53" s="26"/>
      <c r="K53" s="26"/>
      <c r="L53" s="26"/>
    </row>
    <row r="54" spans="1:12" ht="12" customHeight="1">
      <c r="A54" s="10" t="s">
        <v>681</v>
      </c>
      <c r="B54" s="113" t="s">
        <v>682</v>
      </c>
      <c r="C54" s="78">
        <v>450</v>
      </c>
      <c r="D54" s="68"/>
      <c r="E54" s="29" cm="1">
        <f t="array" ref="E54">_xlfn.IFS(C54=":",":",C54&gt;=N$19,1,C54&gt;=N$20,2,C54&gt;=N$21,3,C54&gt;=N$22,4,C54&gt;=N$23,5,C54&lt;N$23,6)</f>
        <v>6</v>
      </c>
      <c r="F54" s="60"/>
      <c r="G54" s="8"/>
      <c r="H54" s="26"/>
      <c r="I54" s="26"/>
      <c r="J54" s="26"/>
      <c r="K54" s="26"/>
      <c r="L54" s="26"/>
    </row>
    <row r="55" spans="1:12" ht="12" customHeight="1">
      <c r="A55" s="10" t="s">
        <v>683</v>
      </c>
      <c r="B55" s="113" t="s">
        <v>684</v>
      </c>
      <c r="C55" s="78">
        <v>378</v>
      </c>
      <c r="D55" s="68"/>
      <c r="E55" s="29" cm="1">
        <f t="array" ref="E55">_xlfn.IFS(C55=":",":",C55&gt;=N$19,1,C55&gt;=N$20,2,C55&gt;=N$21,3,C55&gt;=N$22,4,C55&gt;=N$23,5,C55&lt;N$23,6)</f>
        <v>6</v>
      </c>
      <c r="F55" s="60"/>
      <c r="G55" s="8"/>
      <c r="H55" s="26"/>
      <c r="I55" s="26"/>
      <c r="J55" s="26"/>
      <c r="K55" s="26"/>
      <c r="L55" s="26"/>
    </row>
    <row r="56" spans="1:12" ht="12" customHeight="1">
      <c r="A56" s="10" t="s">
        <v>685</v>
      </c>
      <c r="B56" s="113" t="s">
        <v>686</v>
      </c>
      <c r="C56" s="78">
        <v>10110</v>
      </c>
      <c r="D56" s="68"/>
      <c r="E56" s="29" cm="1">
        <f t="array" ref="E56">_xlfn.IFS(C56=":",":",C56&gt;=N$19,1,C56&gt;=N$20,2,C56&gt;=N$21,3,C56&gt;=N$22,4,C56&gt;=N$23,5,C56&lt;N$23,6)</f>
        <v>2</v>
      </c>
      <c r="F56" s="60"/>
      <c r="G56" s="8"/>
      <c r="H56" s="26"/>
      <c r="I56" s="26"/>
      <c r="J56" s="26"/>
      <c r="K56" s="26"/>
      <c r="L56" s="26"/>
    </row>
    <row r="57" spans="1:12" ht="12" customHeight="1">
      <c r="A57" s="10" t="s">
        <v>687</v>
      </c>
      <c r="B57" s="113" t="s">
        <v>688</v>
      </c>
      <c r="C57" s="78">
        <v>10272</v>
      </c>
      <c r="D57" s="68"/>
      <c r="E57" s="29" cm="1">
        <f t="array" ref="E57">_xlfn.IFS(C57=":",":",C57&gt;=N$19,1,C57&gt;=N$20,2,C57&gt;=N$21,3,C57&gt;=N$22,4,C57&gt;=N$23,5,C57&lt;N$23,6)</f>
        <v>2</v>
      </c>
      <c r="F57" s="60"/>
      <c r="G57" s="8"/>
      <c r="H57" s="26"/>
    </row>
    <row r="58" spans="1:12" ht="12" customHeight="1">
      <c r="A58" s="10" t="s">
        <v>689</v>
      </c>
      <c r="B58" s="113" t="s">
        <v>690</v>
      </c>
      <c r="C58" s="78">
        <v>489</v>
      </c>
      <c r="D58" s="68"/>
      <c r="E58" s="29" cm="1">
        <f t="array" ref="E58">_xlfn.IFS(C58=":",":",C58&gt;=N$19,1,C58&gt;=N$20,2,C58&gt;=N$21,3,C58&gt;=N$22,4,C58&gt;=N$23,5,C58&lt;N$23,6)</f>
        <v>6</v>
      </c>
      <c r="F58" s="60"/>
      <c r="G58" s="8"/>
      <c r="H58" s="26"/>
    </row>
    <row r="59" spans="1:12" ht="12" customHeight="1">
      <c r="A59" s="10" t="s">
        <v>691</v>
      </c>
      <c r="B59" s="113" t="s">
        <v>692</v>
      </c>
      <c r="C59" s="78">
        <v>332</v>
      </c>
      <c r="D59" s="68"/>
      <c r="E59" s="29" cm="1">
        <f t="array" ref="E59">_xlfn.IFS(C59=":",":",C59&gt;=N$19,1,C59&gt;=N$20,2,C59&gt;=N$21,3,C59&gt;=N$22,4,C59&gt;=N$23,5,C59&lt;N$23,6)</f>
        <v>6</v>
      </c>
      <c r="F59" s="60"/>
      <c r="G59" s="8"/>
      <c r="H59" s="5"/>
    </row>
    <row r="60" spans="1:12" ht="12" customHeight="1">
      <c r="A60" s="10" t="s">
        <v>693</v>
      </c>
      <c r="B60" s="113" t="s">
        <v>694</v>
      </c>
      <c r="C60" s="78">
        <v>24173</v>
      </c>
      <c r="D60" s="68"/>
      <c r="E60" s="29" cm="1">
        <f t="array" ref="E60">_xlfn.IFS(C60=":",":",C60&gt;=N$19,1,C60&gt;=N$20,2,C60&gt;=N$21,3,C60&gt;=N$22,4,C60&gt;=N$23,5,C60&lt;N$23,6)</f>
        <v>1</v>
      </c>
      <c r="F60" s="60"/>
      <c r="G60" s="8"/>
      <c r="H60" s="2" t="s">
        <v>2844</v>
      </c>
    </row>
    <row r="61" spans="1:12" ht="12" customHeight="1">
      <c r="A61" s="10" t="s">
        <v>695</v>
      </c>
      <c r="B61" s="113" t="s">
        <v>696</v>
      </c>
      <c r="C61" s="78">
        <v>522</v>
      </c>
      <c r="D61" s="68"/>
      <c r="E61" s="29" cm="1">
        <f t="array" ref="E61">_xlfn.IFS(C61=":",":",C61&gt;=N$19,1,C61&gt;=N$20,2,C61&gt;=N$21,3,C61&gt;=N$22,4,C61&gt;=N$23,5,C61&lt;N$23,6)</f>
        <v>6</v>
      </c>
      <c r="F61" s="60"/>
      <c r="G61" s="8"/>
      <c r="H61" s="18" t="s">
        <v>3043</v>
      </c>
    </row>
    <row r="62" spans="1:12" ht="12" customHeight="1">
      <c r="A62" s="10" t="s">
        <v>697</v>
      </c>
      <c r="B62" s="113" t="s">
        <v>698</v>
      </c>
      <c r="C62" s="78">
        <v>354</v>
      </c>
      <c r="D62" s="68"/>
      <c r="E62" s="29" cm="1">
        <f t="array" ref="E62">_xlfn.IFS(C62=":",":",C62&gt;=N$19,1,C62&gt;=N$20,2,C62&gt;=N$21,3,C62&gt;=N$22,4,C62&gt;=N$23,5,C62&lt;N$23,6)</f>
        <v>6</v>
      </c>
      <c r="F62" s="60"/>
      <c r="G62" s="8"/>
      <c r="H62" s="7" t="s">
        <v>2995</v>
      </c>
      <c r="I62" s="56"/>
      <c r="J62" s="56"/>
    </row>
    <row r="63" spans="1:12" ht="12" customHeight="1">
      <c r="A63" s="10" t="s">
        <v>699</v>
      </c>
      <c r="B63" s="113" t="s">
        <v>700</v>
      </c>
      <c r="C63" s="78">
        <v>2110</v>
      </c>
      <c r="D63" s="68"/>
      <c r="E63" s="29" cm="1">
        <f t="array" ref="E63">_xlfn.IFS(C63=":",":",C63&gt;=N$19,1,C63&gt;=N$20,2,C63&gt;=N$21,3,C63&gt;=N$22,4,C63&gt;=N$23,5,C63&lt;N$23,6)</f>
        <v>4</v>
      </c>
      <c r="F63" s="60"/>
      <c r="G63" s="8"/>
      <c r="H63" s="7" t="s">
        <v>3009</v>
      </c>
      <c r="I63" s="56"/>
      <c r="J63" s="56"/>
    </row>
    <row r="64" spans="1:12" ht="12" customHeight="1">
      <c r="A64" s="10" t="s">
        <v>701</v>
      </c>
      <c r="B64" s="113" t="s">
        <v>702</v>
      </c>
      <c r="C64" s="78">
        <v>1733</v>
      </c>
      <c r="D64" s="68"/>
      <c r="E64" s="29" cm="1">
        <f t="array" ref="E64">_xlfn.IFS(C64=":",":",C64&gt;=N$19,1,C64&gt;=N$20,2,C64&gt;=N$21,3,C64&gt;=N$22,4,C64&gt;=N$23,5,C64&lt;N$23,6)</f>
        <v>5</v>
      </c>
      <c r="F64" s="60"/>
      <c r="G64" s="8"/>
      <c r="H64" s="44" t="s">
        <v>3136</v>
      </c>
    </row>
    <row r="65" spans="1:8" ht="12" customHeight="1">
      <c r="A65" s="10" t="s">
        <v>703</v>
      </c>
      <c r="B65" s="113" t="s">
        <v>704</v>
      </c>
      <c r="C65" s="78">
        <v>2965</v>
      </c>
      <c r="D65" s="68"/>
      <c r="E65" s="29" cm="1">
        <f t="array" ref="E65">_xlfn.IFS(C65=":",":",C65&gt;=N$19,1,C65&gt;=N$20,2,C65&gt;=N$21,3,C65&gt;=N$22,4,C65&gt;=N$23,5,C65&lt;N$23,6)</f>
        <v>4</v>
      </c>
      <c r="F65" s="60"/>
      <c r="G65" s="8"/>
      <c r="H65" s="115" t="s">
        <v>3131</v>
      </c>
    </row>
    <row r="66" spans="1:8" ht="12" customHeight="1">
      <c r="A66" s="10" t="s">
        <v>705</v>
      </c>
      <c r="B66" s="113" t="s">
        <v>706</v>
      </c>
      <c r="C66" s="78">
        <v>5931</v>
      </c>
      <c r="D66" s="68"/>
      <c r="E66" s="29" cm="1">
        <f t="array" ref="E66">_xlfn.IFS(C66=":",":",C66&gt;=N$19,1,C66&gt;=N$20,2,C66&gt;=N$21,3,C66&gt;=N$22,4,C66&gt;=N$23,5,C66&lt;N$23,6)</f>
        <v>3</v>
      </c>
      <c r="F66" s="60"/>
      <c r="G66" s="8"/>
    </row>
    <row r="67" spans="1:8" ht="12" customHeight="1">
      <c r="A67" s="10" t="s">
        <v>707</v>
      </c>
      <c r="B67" s="113" t="s">
        <v>708</v>
      </c>
      <c r="C67" s="78">
        <v>320</v>
      </c>
      <c r="D67" s="68"/>
      <c r="E67" s="29" cm="1">
        <f t="array" ref="E67">_xlfn.IFS(C67=":",":",C67&gt;=N$19,1,C67&gt;=N$20,2,C67&gt;=N$21,3,C67&gt;=N$22,4,C67&gt;=N$23,5,C67&lt;N$23,6)</f>
        <v>6</v>
      </c>
      <c r="F67" s="60"/>
      <c r="G67" s="8"/>
      <c r="H67" s="26"/>
    </row>
    <row r="68" spans="1:8" ht="12" customHeight="1">
      <c r="A68" s="10" t="s">
        <v>709</v>
      </c>
      <c r="B68" s="113" t="s">
        <v>710</v>
      </c>
      <c r="C68" s="78">
        <v>2068</v>
      </c>
      <c r="D68" s="68"/>
      <c r="E68" s="29" cm="1">
        <f t="array" ref="E68">_xlfn.IFS(C68=":",":",C68&gt;=N$19,1,C68&gt;=N$20,2,C68&gt;=N$21,3,C68&gt;=N$22,4,C68&gt;=N$23,5,C68&lt;N$23,6)</f>
        <v>4</v>
      </c>
      <c r="F68" s="60"/>
      <c r="G68" s="8"/>
      <c r="H68" s="26"/>
    </row>
    <row r="69" spans="1:8" ht="12" customHeight="1">
      <c r="A69" s="10" t="s">
        <v>711</v>
      </c>
      <c r="B69" s="113" t="s">
        <v>712</v>
      </c>
      <c r="C69" s="78">
        <v>2123</v>
      </c>
      <c r="D69" s="68"/>
      <c r="E69" s="29" cm="1">
        <f t="array" ref="E69">_xlfn.IFS(C69=":",":",C69&gt;=N$19,1,C69&gt;=N$20,2,C69&gt;=N$21,3,C69&gt;=N$22,4,C69&gt;=N$23,5,C69&lt;N$23,6)</f>
        <v>4</v>
      </c>
      <c r="F69" s="60"/>
      <c r="G69" s="8"/>
      <c r="H69" s="26"/>
    </row>
    <row r="70" spans="1:8" ht="12" customHeight="1">
      <c r="A70" s="10" t="s">
        <v>713</v>
      </c>
      <c r="B70" s="113" t="s">
        <v>714</v>
      </c>
      <c r="C70" s="78">
        <v>1150</v>
      </c>
      <c r="D70" s="68"/>
      <c r="E70" s="29" cm="1">
        <f t="array" ref="E70">_xlfn.IFS(C70=":",":",C70&gt;=N$19,1,C70&gt;=N$20,2,C70&gt;=N$21,3,C70&gt;=N$22,4,C70&gt;=N$23,5,C70&lt;N$23,6)</f>
        <v>5</v>
      </c>
      <c r="F70" s="60"/>
      <c r="G70" s="8"/>
      <c r="H70" s="26"/>
    </row>
    <row r="71" spans="1:8" ht="12" customHeight="1">
      <c r="A71" s="10" t="s">
        <v>715</v>
      </c>
      <c r="B71" s="113" t="s">
        <v>716</v>
      </c>
      <c r="C71" s="78">
        <v>4381</v>
      </c>
      <c r="D71" s="70"/>
      <c r="E71" s="29" cm="1">
        <f t="array" ref="E71">_xlfn.IFS(C71=":",":",C71&gt;=N$19,1,C71&gt;=N$20,2,C71&gt;=N$21,3,C71&gt;=N$22,4,C71&gt;=N$23,5,C71&lt;N$23,6)</f>
        <v>3</v>
      </c>
      <c r="F71" s="60"/>
      <c r="G71" s="8"/>
      <c r="H71" s="26"/>
    </row>
    <row r="72" spans="1:8" ht="12" customHeight="1">
      <c r="A72" s="10" t="s">
        <v>717</v>
      </c>
      <c r="B72" s="113" t="s">
        <v>718</v>
      </c>
      <c r="C72" s="78">
        <v>8111</v>
      </c>
      <c r="D72" s="70"/>
      <c r="E72" s="29" cm="1">
        <f t="array" ref="E72">_xlfn.IFS(C72=":",":",C72&gt;=N$19,1,C72&gt;=N$20,2,C72&gt;=N$21,3,C72&gt;=N$22,4,C72&gt;=N$23,5,C72&lt;N$23,6)</f>
        <v>2</v>
      </c>
      <c r="F72" s="60"/>
      <c r="G72" s="8"/>
      <c r="H72" s="26"/>
    </row>
    <row r="73" spans="1:8" ht="12" customHeight="1">
      <c r="A73" s="10" t="s">
        <v>719</v>
      </c>
      <c r="B73" s="113" t="s">
        <v>720</v>
      </c>
      <c r="C73" s="78">
        <v>761</v>
      </c>
      <c r="D73" s="70"/>
      <c r="E73" s="29" cm="1">
        <f t="array" ref="E73">_xlfn.IFS(C73=":",":",C73&gt;=N$19,1,C73&gt;=N$20,2,C73&gt;=N$21,3,C73&gt;=N$22,4,C73&gt;=N$23,5,C73&lt;N$23,6)</f>
        <v>6</v>
      </c>
      <c r="F73" s="60"/>
      <c r="G73" s="8"/>
      <c r="H73" s="26"/>
    </row>
    <row r="74" spans="1:8" ht="12" customHeight="1">
      <c r="A74" s="10" t="s">
        <v>721</v>
      </c>
      <c r="B74" s="112" t="s">
        <v>2856</v>
      </c>
      <c r="C74" s="78">
        <v>13691</v>
      </c>
      <c r="D74" s="68"/>
      <c r="E74" s="29" cm="1">
        <f t="array" ref="E74">_xlfn.IFS(C74=":",":",C74&gt;=N$19,1,C74&gt;=N$20,2,C74&gt;=N$21,3,C74&gt;=N$22,4,C74&gt;=N$23,5,C74&lt;N$23,6)</f>
        <v>2</v>
      </c>
      <c r="F74" s="60"/>
      <c r="G74" s="8"/>
      <c r="H74" s="26"/>
    </row>
    <row r="75" spans="1:8" ht="12" customHeight="1">
      <c r="A75" s="10" t="s">
        <v>722</v>
      </c>
      <c r="B75" s="112" t="s">
        <v>2857</v>
      </c>
      <c r="C75" s="78">
        <v>2218</v>
      </c>
      <c r="D75" s="68"/>
      <c r="E75" s="29" cm="1">
        <f t="array" ref="E75">_xlfn.IFS(C75=":",":",C75&gt;=N$19,1,C75&gt;=N$20,2,C75&gt;=N$21,3,C75&gt;=N$22,4,C75&gt;=N$23,5,C75&lt;N$23,6)</f>
        <v>4</v>
      </c>
      <c r="F75" s="60"/>
      <c r="G75" s="8"/>
      <c r="H75" s="26"/>
    </row>
    <row r="76" spans="1:8" ht="12" customHeight="1">
      <c r="A76" s="10" t="s">
        <v>723</v>
      </c>
      <c r="B76" s="112" t="s">
        <v>2858</v>
      </c>
      <c r="C76" s="78">
        <v>7160</v>
      </c>
      <c r="D76" s="68"/>
      <c r="E76" s="29" cm="1">
        <f t="array" ref="E76">_xlfn.IFS(C76=":",":",C76&gt;=N$19,1,C76&gt;=N$20,2,C76&gt;=N$21,3,C76&gt;=N$22,4,C76&gt;=N$23,5,C76&lt;N$23,6)</f>
        <v>3</v>
      </c>
      <c r="F76" s="60"/>
      <c r="G76" s="8"/>
      <c r="H76" s="26"/>
    </row>
    <row r="77" spans="1:8" ht="12" customHeight="1">
      <c r="A77" s="10" t="s">
        <v>724</v>
      </c>
      <c r="B77" s="112" t="s">
        <v>2859</v>
      </c>
      <c r="C77" s="78">
        <v>3642</v>
      </c>
      <c r="D77" s="68"/>
      <c r="E77" s="29" cm="1">
        <f t="array" ref="E77">_xlfn.IFS(C77=":",":",C77&gt;=N$19,1,C77&gt;=N$20,2,C77&gt;=N$21,3,C77&gt;=N$22,4,C77&gt;=N$23,5,C77&lt;N$23,6)</f>
        <v>3</v>
      </c>
      <c r="F77" s="60"/>
      <c r="G77" s="8"/>
      <c r="H77" s="26"/>
    </row>
    <row r="78" spans="1:8" ht="12" customHeight="1">
      <c r="A78" s="10" t="s">
        <v>725</v>
      </c>
      <c r="B78" s="112" t="s">
        <v>726</v>
      </c>
      <c r="C78" s="78">
        <v>17736</v>
      </c>
      <c r="D78" s="68"/>
      <c r="E78" s="29" cm="1">
        <f t="array" ref="E78">_xlfn.IFS(C78=":",":",C78&gt;=N$19,1,C78&gt;=N$20,2,C78&gt;=N$21,3,C78&gt;=N$22,4,C78&gt;=N$23,5,C78&lt;N$23,6)</f>
        <v>1</v>
      </c>
      <c r="F78" s="60"/>
      <c r="G78" s="8"/>
      <c r="H78" s="26"/>
    </row>
    <row r="79" spans="1:8" ht="12" customHeight="1">
      <c r="A79" s="10" t="s">
        <v>727</v>
      </c>
      <c r="B79" s="112" t="s">
        <v>728</v>
      </c>
      <c r="C79" s="78">
        <v>1968</v>
      </c>
      <c r="D79" s="68"/>
      <c r="E79" s="29" cm="1">
        <f t="array" ref="E79">_xlfn.IFS(C79=":",":",C79&gt;=N$19,1,C79&gt;=N$20,2,C79&gt;=N$21,3,C79&gt;=N$22,4,C79&gt;=N$23,5,C79&lt;N$23,6)</f>
        <v>5</v>
      </c>
      <c r="F79" s="60"/>
      <c r="G79" s="8"/>
      <c r="H79" s="26"/>
    </row>
    <row r="80" spans="1:8" ht="12" customHeight="1">
      <c r="A80" s="10" t="s">
        <v>729</v>
      </c>
      <c r="B80" s="112" t="s">
        <v>730</v>
      </c>
      <c r="C80" s="78">
        <v>7500</v>
      </c>
      <c r="D80" s="68"/>
      <c r="E80" s="29" cm="1">
        <f t="array" ref="E80">_xlfn.IFS(C80=":",":",C80&gt;=N$19,1,C80&gt;=N$20,2,C80&gt;=N$21,3,C80&gt;=N$22,4,C80&gt;=N$23,5,C80&lt;N$23,6)</f>
        <v>2</v>
      </c>
      <c r="F80" s="60"/>
      <c r="G80" s="8"/>
      <c r="H80" s="26"/>
    </row>
    <row r="81" spans="1:8" ht="12" customHeight="1">
      <c r="A81" s="10" t="s">
        <v>731</v>
      </c>
      <c r="B81" s="112" t="s">
        <v>732</v>
      </c>
      <c r="C81" s="78">
        <v>8367</v>
      </c>
      <c r="D81" s="68"/>
      <c r="E81" s="29" cm="1">
        <f t="array" ref="E81">_xlfn.IFS(C81=":",":",C81&gt;=N$19,1,C81&gt;=N$20,2,C81&gt;=N$21,3,C81&gt;=N$22,4,C81&gt;=N$23,5,C81&lt;N$23,6)</f>
        <v>2</v>
      </c>
      <c r="F81" s="60"/>
      <c r="G81" s="8"/>
      <c r="H81" s="26"/>
    </row>
    <row r="82" spans="1:8" ht="12" customHeight="1">
      <c r="A82" s="10" t="s">
        <v>733</v>
      </c>
      <c r="B82" s="112" t="s">
        <v>734</v>
      </c>
      <c r="C82" s="78">
        <v>2599</v>
      </c>
      <c r="D82" s="68"/>
      <c r="E82" s="29" cm="1">
        <f t="array" ref="E82">_xlfn.IFS(C82=":",":",C82&gt;=N$19,1,C82&gt;=N$20,2,C82&gt;=N$21,3,C82&gt;=N$22,4,C82&gt;=N$23,5,C82&lt;N$23,6)</f>
        <v>4</v>
      </c>
      <c r="F82" s="60"/>
      <c r="G82" s="8"/>
      <c r="H82" s="26"/>
    </row>
    <row r="83" spans="1:8" ht="12" customHeight="1">
      <c r="A83" s="10" t="s">
        <v>735</v>
      </c>
      <c r="B83" s="112" t="s">
        <v>2860</v>
      </c>
      <c r="C83" s="78">
        <v>3143</v>
      </c>
      <c r="D83" s="68"/>
      <c r="E83" s="29" cm="1">
        <f t="array" ref="E83">_xlfn.IFS(C83=":",":",C83&gt;=N$19,1,C83&gt;=N$20,2,C83&gt;=N$21,3,C83&gt;=N$22,4,C83&gt;=N$23,5,C83&lt;N$23,6)</f>
        <v>4</v>
      </c>
      <c r="F83" s="60"/>
      <c r="G83" s="8"/>
      <c r="H83" s="26"/>
    </row>
    <row r="84" spans="1:8" ht="12" customHeight="1">
      <c r="A84" s="10" t="s">
        <v>736</v>
      </c>
      <c r="B84" s="112" t="s">
        <v>737</v>
      </c>
      <c r="C84" s="78">
        <v>3530</v>
      </c>
      <c r="D84" s="68"/>
      <c r="E84" s="29" cm="1">
        <f t="array" ref="E84">_xlfn.IFS(C84=":",":",C84&gt;=N$19,1,C84&gt;=N$20,2,C84&gt;=N$21,3,C84&gt;=N$22,4,C84&gt;=N$23,5,C84&lt;N$23,6)</f>
        <v>3</v>
      </c>
      <c r="F84" s="60"/>
      <c r="G84" s="8"/>
      <c r="H84" s="26"/>
    </row>
    <row r="85" spans="1:8" ht="12" customHeight="1">
      <c r="A85" s="10" t="s">
        <v>738</v>
      </c>
      <c r="B85" s="112" t="s">
        <v>739</v>
      </c>
      <c r="C85" s="78">
        <v>3495</v>
      </c>
      <c r="D85" s="68"/>
      <c r="E85" s="29" cm="1">
        <f t="array" ref="E85">_xlfn.IFS(C85=":",":",C85&gt;=N$19,1,C85&gt;=N$20,2,C85&gt;=N$21,3,C85&gt;=N$22,4,C85&gt;=N$23,5,C85&lt;N$23,6)</f>
        <v>4</v>
      </c>
      <c r="F85" s="60"/>
      <c r="G85" s="8"/>
      <c r="H85" s="26"/>
    </row>
    <row r="86" spans="1:8" ht="12" customHeight="1">
      <c r="A86" s="10" t="s">
        <v>740</v>
      </c>
      <c r="B86" s="112" t="s">
        <v>741</v>
      </c>
      <c r="C86" s="78">
        <v>3838</v>
      </c>
      <c r="D86" s="68"/>
      <c r="E86" s="29" cm="1">
        <f t="array" ref="E86">_xlfn.IFS(C86=":",":",C86&gt;=N$19,1,C86&gt;=N$20,2,C86&gt;=N$21,3,C86&gt;=N$22,4,C86&gt;=N$23,5,C86&lt;N$23,6)</f>
        <v>3</v>
      </c>
      <c r="F86" s="60"/>
      <c r="G86" s="8"/>
      <c r="H86" s="26"/>
    </row>
    <row r="87" spans="1:8" ht="12" customHeight="1">
      <c r="A87" s="10" t="s">
        <v>742</v>
      </c>
      <c r="B87" s="112" t="s">
        <v>743</v>
      </c>
      <c r="C87" s="78">
        <v>2305</v>
      </c>
      <c r="D87" s="68"/>
      <c r="E87" s="29" cm="1">
        <f t="array" ref="E87">_xlfn.IFS(C87=":",":",C87&gt;=N$19,1,C87&gt;=N$20,2,C87&gt;=N$21,3,C87&gt;=N$22,4,C87&gt;=N$23,5,C87&lt;N$23,6)</f>
        <v>4</v>
      </c>
      <c r="F87" s="60"/>
      <c r="G87" s="8"/>
      <c r="H87" s="26"/>
    </row>
    <row r="88" spans="1:8" ht="12" customHeight="1">
      <c r="A88" s="10" t="s">
        <v>744</v>
      </c>
      <c r="B88" s="112" t="s">
        <v>745</v>
      </c>
      <c r="C88" s="78">
        <v>15295</v>
      </c>
      <c r="D88" s="68"/>
      <c r="E88" s="29" cm="1">
        <f t="array" ref="E88">_xlfn.IFS(C88=":",":",C88&gt;=N$19,1,C88&gt;=N$20,2,C88&gt;=N$21,3,C88&gt;=N$22,4,C88&gt;=N$23,5,C88&lt;N$23,6)</f>
        <v>1</v>
      </c>
      <c r="F88" s="60"/>
      <c r="G88" s="8"/>
      <c r="H88" s="26"/>
    </row>
    <row r="89" spans="1:8" ht="12" customHeight="1">
      <c r="A89" s="10" t="s">
        <v>746</v>
      </c>
      <c r="B89" s="112" t="s">
        <v>747</v>
      </c>
      <c r="C89" s="78">
        <v>1384</v>
      </c>
      <c r="D89" s="68"/>
      <c r="E89" s="29" cm="1">
        <f t="array" ref="E89">_xlfn.IFS(C89=":",":",C89&gt;=N$19,1,C89&gt;=N$20,2,C89&gt;=N$21,3,C89&gt;=N$22,4,C89&gt;=N$23,5,C89&lt;N$23,6)</f>
        <v>5</v>
      </c>
      <c r="F89" s="60"/>
      <c r="G89" s="8"/>
      <c r="H89" s="26"/>
    </row>
    <row r="90" spans="1:8" ht="12" customHeight="1">
      <c r="A90" s="10" t="s">
        <v>748</v>
      </c>
      <c r="B90" s="112" t="s">
        <v>749</v>
      </c>
      <c r="C90" s="78">
        <v>2937</v>
      </c>
      <c r="D90" s="68"/>
      <c r="E90" s="29" cm="1">
        <f t="array" ref="E90">_xlfn.IFS(C90=":",":",C90&gt;=N$19,1,C90&gt;=N$20,2,C90&gt;=N$21,3,C90&gt;=N$22,4,C90&gt;=N$23,5,C90&lt;N$23,6)</f>
        <v>4</v>
      </c>
      <c r="F90" s="60"/>
      <c r="G90" s="8"/>
      <c r="H90" s="26"/>
    </row>
    <row r="91" spans="1:8" ht="12" customHeight="1">
      <c r="A91" s="10" t="s">
        <v>750</v>
      </c>
      <c r="B91" s="112" t="s">
        <v>751</v>
      </c>
      <c r="C91" s="78">
        <v>21875</v>
      </c>
      <c r="D91" s="68"/>
      <c r="E91" s="29" cm="1">
        <f t="array" ref="E91">_xlfn.IFS(C91=":",":",C91&gt;=N$19,1,C91&gt;=N$20,2,C91&gt;=N$21,3,C91&gt;=N$22,4,C91&gt;=N$23,5,C91&lt;N$23,6)</f>
        <v>1</v>
      </c>
      <c r="F91" s="60"/>
      <c r="G91" s="8"/>
      <c r="H91" s="26"/>
    </row>
    <row r="92" spans="1:8" ht="12" customHeight="1">
      <c r="A92" s="10" t="s">
        <v>752</v>
      </c>
      <c r="B92" s="112" t="s">
        <v>753</v>
      </c>
      <c r="C92" s="78">
        <v>1740</v>
      </c>
      <c r="D92" s="68"/>
      <c r="E92" s="29" cm="1">
        <f t="array" ref="E92">_xlfn.IFS(C92=":",":",C92&gt;=N$19,1,C92&gt;=N$20,2,C92&gt;=N$21,3,C92&gt;=N$22,4,C92&gt;=N$23,5,C92&lt;N$23,6)</f>
        <v>5</v>
      </c>
      <c r="F92" s="60"/>
      <c r="G92" s="8"/>
      <c r="H92" s="26"/>
    </row>
    <row r="93" spans="1:8" ht="12" customHeight="1">
      <c r="A93" s="10" t="s">
        <v>754</v>
      </c>
      <c r="B93" s="112" t="s">
        <v>755</v>
      </c>
      <c r="C93" s="78">
        <v>4809</v>
      </c>
      <c r="D93" s="68"/>
      <c r="E93" s="29" cm="1">
        <f t="array" ref="E93">_xlfn.IFS(C93=":",":",C93&gt;=N$19,1,C93&gt;=N$20,2,C93&gt;=N$21,3,C93&gt;=N$22,4,C93&gt;=N$23,5,C93&lt;N$23,6)</f>
        <v>3</v>
      </c>
      <c r="F93" s="60"/>
      <c r="G93" s="8"/>
      <c r="H93" s="26"/>
    </row>
    <row r="94" spans="1:8" ht="12" customHeight="1">
      <c r="A94" s="10" t="s">
        <v>756</v>
      </c>
      <c r="B94" s="112" t="s">
        <v>757</v>
      </c>
      <c r="C94" s="78">
        <v>5438</v>
      </c>
      <c r="D94" s="70"/>
      <c r="E94" s="29" cm="1">
        <f t="array" ref="E94">_xlfn.IFS(C94=":",":",C94&gt;=N$19,1,C94&gt;=N$20,2,C94&gt;=N$21,3,C94&gt;=N$22,4,C94&gt;=N$23,5,C94&lt;N$23,6)</f>
        <v>3</v>
      </c>
      <c r="F94" s="60"/>
      <c r="G94" s="8"/>
      <c r="H94" s="26"/>
    </row>
    <row r="95" spans="1:8" ht="12" customHeight="1">
      <c r="A95" s="10" t="s">
        <v>758</v>
      </c>
      <c r="B95" s="112" t="s">
        <v>759</v>
      </c>
      <c r="C95" s="78">
        <v>10837</v>
      </c>
      <c r="D95" s="70"/>
      <c r="E95" s="29" cm="1">
        <f t="array" ref="E95">_xlfn.IFS(C95=":",":",C95&gt;=N$19,1,C95&gt;=N$20,2,C95&gt;=N$21,3,C95&gt;=N$22,4,C95&gt;=N$23,5,C95&lt;N$23,6)</f>
        <v>2</v>
      </c>
      <c r="F95" s="60"/>
      <c r="G95" s="8"/>
      <c r="H95" s="26"/>
    </row>
    <row r="96" spans="1:8" ht="12" customHeight="1">
      <c r="A96" s="10" t="s">
        <v>760</v>
      </c>
      <c r="B96" s="112" t="s">
        <v>761</v>
      </c>
      <c r="C96" s="78">
        <v>5082</v>
      </c>
      <c r="D96" s="70"/>
      <c r="E96" s="29" cm="1">
        <f t="array" ref="E96">_xlfn.IFS(C96=":",":",C96&gt;=N$19,1,C96&gt;=N$20,2,C96&gt;=N$21,3,C96&gt;=N$22,4,C96&gt;=N$23,5,C96&lt;N$23,6)</f>
        <v>3</v>
      </c>
      <c r="F96" s="60"/>
      <c r="G96" s="8"/>
      <c r="H96" s="26"/>
    </row>
    <row r="97" spans="1:8" ht="12" customHeight="1">
      <c r="A97" s="10" t="s">
        <v>762</v>
      </c>
      <c r="B97" s="112" t="s">
        <v>763</v>
      </c>
      <c r="C97" s="78">
        <v>3957</v>
      </c>
      <c r="D97" s="70"/>
      <c r="E97" s="29" cm="1">
        <f t="array" ref="E97">_xlfn.IFS(C97=":",":",C97&gt;=N$19,1,C97&gt;=N$20,2,C97&gt;=N$21,3,C97&gt;=N$22,4,C97&gt;=N$23,5,C97&lt;N$23,6)</f>
        <v>3</v>
      </c>
      <c r="F97" s="60"/>
      <c r="G97" s="8"/>
      <c r="H97" s="26"/>
    </row>
    <row r="98" spans="1:8" ht="12" customHeight="1">
      <c r="A98" s="10" t="s">
        <v>764</v>
      </c>
      <c r="B98" s="112" t="s">
        <v>83</v>
      </c>
      <c r="C98" s="78">
        <v>8505</v>
      </c>
      <c r="D98" s="68"/>
      <c r="E98" s="29" cm="1">
        <f t="array" ref="E98">_xlfn.IFS(C98=":",":",C98&gt;=N$19,1,C98&gt;=N$20,2,C98&gt;=N$21,3,C98&gt;=N$22,4,C98&gt;=N$23,5,C98&lt;N$23,6)</f>
        <v>2</v>
      </c>
      <c r="F98" s="60"/>
      <c r="G98" s="8"/>
      <c r="H98" s="26"/>
    </row>
    <row r="99" spans="1:8" ht="12" customHeight="1">
      <c r="A99" s="10" t="s">
        <v>765</v>
      </c>
      <c r="B99" s="112" t="s">
        <v>766</v>
      </c>
      <c r="C99" s="78">
        <v>7312</v>
      </c>
      <c r="D99" s="68"/>
      <c r="E99" s="29" cm="1">
        <f t="array" ref="E99">_xlfn.IFS(C99=":",":",C99&gt;=N$19,1,C99&gt;=N$20,2,C99&gt;=N$21,3,C99&gt;=N$22,4,C99&gt;=N$23,5,C99&lt;N$23,6)</f>
        <v>3</v>
      </c>
      <c r="F99" s="60"/>
      <c r="G99" s="8"/>
      <c r="H99" s="26"/>
    </row>
    <row r="100" spans="1:8" ht="12" customHeight="1">
      <c r="A100" s="10" t="s">
        <v>767</v>
      </c>
      <c r="B100" s="112" t="s">
        <v>768</v>
      </c>
      <c r="C100" s="78">
        <v>2729</v>
      </c>
      <c r="D100" s="68"/>
      <c r="E100" s="29" cm="1">
        <f t="array" ref="E100">_xlfn.IFS(C100=":",":",C100&gt;=N$19,1,C100&gt;=N$20,2,C100&gt;=N$21,3,C100&gt;=N$22,4,C100&gt;=N$23,5,C100&lt;N$23,6)</f>
        <v>4</v>
      </c>
      <c r="F100" s="60"/>
      <c r="G100" s="8"/>
      <c r="H100" s="26"/>
    </row>
    <row r="101" spans="1:8" ht="12" customHeight="1">
      <c r="A101" s="10" t="s">
        <v>769</v>
      </c>
      <c r="B101" s="112" t="s">
        <v>770</v>
      </c>
      <c r="C101" s="78">
        <v>2832</v>
      </c>
      <c r="D101" s="68"/>
      <c r="E101" s="29" cm="1">
        <f t="array" ref="E101">_xlfn.IFS(C101=":",":",C101&gt;=N$19,1,C101&gt;=N$20,2,C101&gt;=N$21,3,C101&gt;=N$22,4,C101&gt;=N$23,5,C101&lt;N$23,6)</f>
        <v>4</v>
      </c>
      <c r="F101" s="60"/>
      <c r="G101" s="8"/>
      <c r="H101" s="26"/>
    </row>
    <row r="102" spans="1:8" ht="12" customHeight="1">
      <c r="A102" s="10" t="s">
        <v>771</v>
      </c>
      <c r="B102" s="112" t="s">
        <v>772</v>
      </c>
      <c r="C102" s="78">
        <v>1907</v>
      </c>
      <c r="D102" s="68"/>
      <c r="E102" s="29" cm="1">
        <f t="array" ref="E102">_xlfn.IFS(C102=":",":",C102&gt;=N$19,1,C102&gt;=N$20,2,C102&gt;=N$21,3,C102&gt;=N$22,4,C102&gt;=N$23,5,C102&lt;N$23,6)</f>
        <v>5</v>
      </c>
      <c r="F102" s="60"/>
      <c r="G102" s="8"/>
      <c r="H102" s="26"/>
    </row>
    <row r="103" spans="1:8" ht="12" customHeight="1">
      <c r="A103" s="10" t="s">
        <v>773</v>
      </c>
      <c r="B103" s="112" t="s">
        <v>774</v>
      </c>
      <c r="C103" s="78">
        <v>1809</v>
      </c>
      <c r="D103" s="68"/>
      <c r="E103" s="29" cm="1">
        <f t="array" ref="E103">_xlfn.IFS(C103=":",":",C103&gt;=N$19,1,C103&gt;=N$20,2,C103&gt;=N$21,3,C103&gt;=N$22,4,C103&gt;=N$23,5,C103&lt;N$23,6)</f>
        <v>5</v>
      </c>
      <c r="F103" s="60"/>
      <c r="G103" s="8"/>
      <c r="H103" s="26"/>
    </row>
    <row r="104" spans="1:8" ht="12" customHeight="1">
      <c r="A104" s="10" t="s">
        <v>775</v>
      </c>
      <c r="B104" s="112" t="s">
        <v>776</v>
      </c>
      <c r="C104" s="78">
        <v>1535</v>
      </c>
      <c r="D104" s="68"/>
      <c r="E104" s="29" cm="1">
        <f t="array" ref="E104">_xlfn.IFS(C104=":",":",C104&gt;=N$19,1,C104&gt;=N$20,2,C104&gt;=N$21,3,C104&gt;=N$22,4,C104&gt;=N$23,5,C104&lt;N$23,6)</f>
        <v>5</v>
      </c>
      <c r="F104" s="60"/>
      <c r="G104" s="8"/>
      <c r="H104" s="26"/>
    </row>
    <row r="105" spans="1:8" ht="12" customHeight="1">
      <c r="A105" s="10" t="s">
        <v>777</v>
      </c>
      <c r="B105" s="112" t="s">
        <v>778</v>
      </c>
      <c r="C105" s="78">
        <v>4344</v>
      </c>
      <c r="D105" s="68"/>
      <c r="E105" s="29" cm="1">
        <f t="array" ref="E105">_xlfn.IFS(C105=":",":",C105&gt;=N$19,1,C105&gt;=N$20,2,C105&gt;=N$21,3,C105&gt;=N$22,4,C105&gt;=N$23,5,C105&lt;N$23,6)</f>
        <v>3</v>
      </c>
      <c r="F105" s="60"/>
      <c r="G105" s="8"/>
      <c r="H105" s="26"/>
    </row>
    <row r="106" spans="1:8" ht="12" customHeight="1">
      <c r="A106" s="10" t="s">
        <v>779</v>
      </c>
      <c r="B106" s="112" t="s">
        <v>780</v>
      </c>
      <c r="C106" s="78">
        <v>2542</v>
      </c>
      <c r="D106" s="43"/>
      <c r="E106" s="29" cm="1">
        <f t="array" ref="E106">_xlfn.IFS(C106=":",":",C106&gt;=N$19,1,C106&gt;=N$20,2,C106&gt;=N$21,3,C106&gt;=N$22,4,C106&gt;=N$23,5,C106&lt;N$23,6)</f>
        <v>4</v>
      </c>
      <c r="F106" s="60"/>
      <c r="G106" s="8"/>
      <c r="H106" s="26"/>
    </row>
    <row r="107" spans="1:8" ht="12" customHeight="1">
      <c r="A107" s="10" t="s">
        <v>781</v>
      </c>
      <c r="B107" s="112" t="s">
        <v>782</v>
      </c>
      <c r="C107" s="81">
        <v>3356</v>
      </c>
      <c r="D107" s="68"/>
      <c r="E107" s="29" cm="1">
        <f t="array" ref="E107">_xlfn.IFS(C107=":",":",C107&gt;=N$19,1,C107&gt;=N$20,2,C107&gt;=N$21,3,C107&gt;=N$22,4,C107&gt;=N$23,5,C107&lt;N$23,6)</f>
        <v>4</v>
      </c>
      <c r="F107" s="60"/>
      <c r="G107" s="8"/>
      <c r="H107" s="26"/>
    </row>
    <row r="108" spans="1:8" ht="12" customHeight="1">
      <c r="A108" s="10" t="s">
        <v>783</v>
      </c>
      <c r="B108" s="112" t="s">
        <v>784</v>
      </c>
      <c r="C108" s="78">
        <v>2914</v>
      </c>
      <c r="D108" s="68"/>
      <c r="E108" s="29" cm="1">
        <f t="array" ref="E108">_xlfn.IFS(C108=":",":",C108&gt;=N$19,1,C108&gt;=N$20,2,C108&gt;=N$21,3,C108&gt;=N$22,4,C108&gt;=N$23,5,C108&lt;N$23,6)</f>
        <v>4</v>
      </c>
      <c r="F108" s="60"/>
      <c r="G108" s="8"/>
      <c r="H108" s="26"/>
    </row>
    <row r="109" spans="1:8" ht="12" customHeight="1">
      <c r="A109" s="10" t="s">
        <v>785</v>
      </c>
      <c r="B109" s="112" t="s">
        <v>786</v>
      </c>
      <c r="C109" s="81">
        <v>4541</v>
      </c>
      <c r="D109" s="68"/>
      <c r="E109" s="29" cm="1">
        <f t="array" ref="E109">_xlfn.IFS(C109=":",":",C109&gt;=N$19,1,C109&gt;=N$20,2,C109&gt;=N$21,3,C109&gt;=N$22,4,C109&gt;=N$23,5,C109&lt;N$23,6)</f>
        <v>3</v>
      </c>
      <c r="F109" s="60"/>
      <c r="G109" s="8"/>
      <c r="H109" s="26"/>
    </row>
    <row r="110" spans="1:8" ht="12" customHeight="1">
      <c r="A110" s="10" t="s">
        <v>787</v>
      </c>
      <c r="B110" s="112" t="s">
        <v>788</v>
      </c>
      <c r="C110" s="81">
        <v>1822</v>
      </c>
      <c r="D110" s="70"/>
      <c r="E110" s="29" cm="1">
        <f t="array" ref="E110">_xlfn.IFS(C110=":",":",C110&gt;=N$19,1,C110&gt;=N$20,2,C110&gt;=N$21,3,C110&gt;=N$22,4,C110&gt;=N$23,5,C110&lt;N$23,6)</f>
        <v>5</v>
      </c>
      <c r="F110" s="60"/>
      <c r="G110" s="8"/>
      <c r="H110" s="26"/>
    </row>
    <row r="111" spans="1:8" ht="12" customHeight="1">
      <c r="A111" s="10" t="s">
        <v>789</v>
      </c>
      <c r="B111" s="112" t="s">
        <v>790</v>
      </c>
      <c r="C111" s="78">
        <v>2256</v>
      </c>
      <c r="D111" s="70"/>
      <c r="E111" s="29" cm="1">
        <f t="array" ref="E111">_xlfn.IFS(C111=":",":",C111&gt;=N$19,1,C111&gt;=N$20,2,C111&gt;=N$21,3,C111&gt;=N$22,4,C111&gt;=N$23,5,C111&lt;N$23,6)</f>
        <v>4</v>
      </c>
      <c r="F111" s="60"/>
      <c r="G111" s="8"/>
      <c r="H111" s="26"/>
    </row>
    <row r="112" spans="1:8" ht="12" customHeight="1">
      <c r="A112" s="10" t="s">
        <v>791</v>
      </c>
      <c r="B112" s="112" t="s">
        <v>792</v>
      </c>
      <c r="C112" s="78">
        <v>12300</v>
      </c>
      <c r="D112" s="70"/>
      <c r="E112" s="29" cm="1">
        <f t="array" ref="E112">_xlfn.IFS(C112=":",":",C112&gt;=N$19,1,C112&gt;=N$20,2,C112&gt;=N$21,3,C112&gt;=N$22,4,C112&gt;=N$23,5,C112&lt;N$23,6)</f>
        <v>2</v>
      </c>
      <c r="F112" s="60"/>
      <c r="G112" s="8"/>
      <c r="H112" s="26"/>
    </row>
    <row r="113" spans="1:8" ht="12" customHeight="1">
      <c r="A113" s="10" t="s">
        <v>793</v>
      </c>
      <c r="B113" s="112" t="s">
        <v>794</v>
      </c>
      <c r="C113" s="78">
        <v>4149</v>
      </c>
      <c r="D113" s="70"/>
      <c r="E113" s="29" cm="1">
        <f t="array" ref="E113">_xlfn.IFS(C113=":",":",C113&gt;=N$19,1,C113&gt;=N$20,2,C113&gt;=N$21,3,C113&gt;=N$22,4,C113&gt;=N$23,5,C113&lt;N$23,6)</f>
        <v>3</v>
      </c>
      <c r="F113" s="60"/>
      <c r="G113" s="8"/>
      <c r="H113" s="26"/>
    </row>
    <row r="114" spans="1:8" ht="12" customHeight="1">
      <c r="A114" s="10" t="s">
        <v>795</v>
      </c>
      <c r="B114" s="112" t="s">
        <v>796</v>
      </c>
      <c r="C114" s="78">
        <v>1538</v>
      </c>
      <c r="D114" s="70"/>
      <c r="E114" s="29" cm="1">
        <f t="array" ref="E114">_xlfn.IFS(C114=":",":",C114&gt;=N$19,1,C114&gt;=N$20,2,C114&gt;=N$21,3,C114&gt;=N$22,4,C114&gt;=N$23,5,C114&lt;N$23,6)</f>
        <v>5</v>
      </c>
      <c r="F114" s="60"/>
      <c r="G114" s="8"/>
      <c r="H114" s="26"/>
    </row>
    <row r="115" spans="1:8" ht="12" customHeight="1">
      <c r="A115" s="10" t="s">
        <v>797</v>
      </c>
      <c r="B115" s="112" t="s">
        <v>798</v>
      </c>
      <c r="C115" s="78">
        <v>2530</v>
      </c>
      <c r="D115" s="70"/>
      <c r="E115" s="29" cm="1">
        <f t="array" ref="E115">_xlfn.IFS(C115=":",":",C115&gt;=N$19,1,C115&gt;=N$20,2,C115&gt;=N$21,3,C115&gt;=N$22,4,C115&gt;=N$23,5,C115&lt;N$23,6)</f>
        <v>4</v>
      </c>
      <c r="F115" s="60"/>
      <c r="G115" s="8"/>
      <c r="H115" s="26"/>
    </row>
    <row r="116" spans="1:8" ht="12" customHeight="1">
      <c r="A116" s="10" t="s">
        <v>799</v>
      </c>
      <c r="B116" s="112" t="s">
        <v>800</v>
      </c>
      <c r="C116" s="78">
        <v>11163</v>
      </c>
      <c r="D116" s="70"/>
      <c r="E116" s="29" cm="1">
        <f t="array" ref="E116">_xlfn.IFS(C116=":",":",C116&gt;=N$19,1,C116&gt;=N$20,2,C116&gt;=N$21,3,C116&gt;=N$22,4,C116&gt;=N$23,5,C116&lt;N$23,6)</f>
        <v>2</v>
      </c>
      <c r="F116" s="60"/>
      <c r="G116" s="8"/>
      <c r="H116" s="26"/>
    </row>
    <row r="117" spans="1:8" ht="12" customHeight="1">
      <c r="A117" s="10" t="s">
        <v>801</v>
      </c>
      <c r="B117" s="112" t="s">
        <v>802</v>
      </c>
      <c r="C117" s="78">
        <v>4776</v>
      </c>
      <c r="D117" s="70"/>
      <c r="E117" s="29" cm="1">
        <f t="array" ref="E117">_xlfn.IFS(C117=":",":",C117&gt;=N$19,1,C117&gt;=N$20,2,C117&gt;=N$21,3,C117&gt;=N$22,4,C117&gt;=N$23,5,C117&lt;N$23,6)</f>
        <v>3</v>
      </c>
      <c r="F117" s="60"/>
      <c r="G117" s="8"/>
      <c r="H117" s="26"/>
    </row>
    <row r="118" spans="1:8" ht="12" customHeight="1">
      <c r="A118" s="10" t="s">
        <v>803</v>
      </c>
      <c r="B118" s="112" t="s">
        <v>804</v>
      </c>
      <c r="C118" s="78">
        <v>2343</v>
      </c>
      <c r="D118" s="70"/>
      <c r="E118" s="29" cm="1">
        <f t="array" ref="E118">_xlfn.IFS(C118=":",":",C118&gt;=N$19,1,C118&gt;=N$20,2,C118&gt;=N$21,3,C118&gt;=N$22,4,C118&gt;=N$23,5,C118&lt;N$23,6)</f>
        <v>4</v>
      </c>
      <c r="F118" s="60"/>
      <c r="G118" s="8"/>
      <c r="H118" s="26"/>
    </row>
    <row r="119" spans="1:8" ht="12" customHeight="1">
      <c r="A119" s="10" t="s">
        <v>805</v>
      </c>
      <c r="B119" s="112" t="s">
        <v>806</v>
      </c>
      <c r="C119" s="78">
        <v>2358</v>
      </c>
      <c r="D119" s="70"/>
      <c r="E119" s="29" cm="1">
        <f t="array" ref="E119">_xlfn.IFS(C119=":",":",C119&gt;=N$19,1,C119&gt;=N$20,2,C119&gt;=N$21,3,C119&gt;=N$22,4,C119&gt;=N$23,5,C119&lt;N$23,6)</f>
        <v>4</v>
      </c>
      <c r="F119" s="60"/>
      <c r="G119" s="8"/>
      <c r="H119" s="26"/>
    </row>
    <row r="120" spans="1:8" ht="12" customHeight="1">
      <c r="A120" s="10" t="s">
        <v>807</v>
      </c>
      <c r="B120" s="112" t="s">
        <v>808</v>
      </c>
      <c r="C120" s="78">
        <v>1882</v>
      </c>
      <c r="D120" s="70"/>
      <c r="E120" s="29" cm="1">
        <f t="array" ref="E120">_xlfn.IFS(C120=":",":",C120&gt;=N$19,1,C120&gt;=N$20,2,C120&gt;=N$21,3,C120&gt;=N$22,4,C120&gt;=N$23,5,C120&lt;N$23,6)</f>
        <v>5</v>
      </c>
      <c r="F120" s="60"/>
      <c r="G120" s="8"/>
      <c r="H120" s="26"/>
    </row>
    <row r="121" spans="1:8" ht="12" customHeight="1">
      <c r="A121" s="10" t="s">
        <v>809</v>
      </c>
      <c r="B121" s="112" t="s">
        <v>810</v>
      </c>
      <c r="C121" s="78">
        <v>5803</v>
      </c>
      <c r="D121" s="70"/>
      <c r="E121" s="29" cm="1">
        <f t="array" ref="E121">_xlfn.IFS(C121=":",":",C121&gt;=N$19,1,C121&gt;=N$20,2,C121&gt;=N$21,3,C121&gt;=N$22,4,C121&gt;=N$23,5,C121&lt;N$23,6)</f>
        <v>3</v>
      </c>
      <c r="F121" s="60"/>
      <c r="G121" s="8"/>
      <c r="H121" s="26"/>
    </row>
    <row r="122" spans="1:8" ht="12" customHeight="1">
      <c r="A122" s="10" t="s">
        <v>811</v>
      </c>
      <c r="B122" s="112" t="s">
        <v>812</v>
      </c>
      <c r="C122" s="78">
        <v>1054</v>
      </c>
      <c r="D122" s="70"/>
      <c r="E122" s="29" cm="1">
        <f t="array" ref="E122">_xlfn.IFS(C122=":",":",C122&gt;=N$19,1,C122&gt;=N$20,2,C122&gt;=N$21,3,C122&gt;=N$22,4,C122&gt;=N$23,5,C122&lt;N$23,6)</f>
        <v>5</v>
      </c>
      <c r="F122" s="60"/>
      <c r="G122" s="8"/>
      <c r="H122" s="26"/>
    </row>
    <row r="123" spans="1:8" ht="12" customHeight="1">
      <c r="A123" s="10" t="s">
        <v>813</v>
      </c>
      <c r="B123" s="112" t="s">
        <v>814</v>
      </c>
      <c r="C123" s="78">
        <v>11483</v>
      </c>
      <c r="D123" s="70"/>
      <c r="E123" s="29" cm="1">
        <f t="array" ref="E123">_xlfn.IFS(C123=":",":",C123&gt;=N$19,1,C123&gt;=N$20,2,C123&gt;=N$21,3,C123&gt;=N$22,4,C123&gt;=N$23,5,C123&lt;N$23,6)</f>
        <v>2</v>
      </c>
      <c r="F123" s="60"/>
      <c r="G123" s="8"/>
      <c r="H123" s="26"/>
    </row>
    <row r="124" spans="1:8" ht="12" customHeight="1">
      <c r="A124" s="10" t="s">
        <v>815</v>
      </c>
      <c r="B124" s="112" t="s">
        <v>816</v>
      </c>
      <c r="C124" s="78">
        <v>9195</v>
      </c>
      <c r="D124" s="70"/>
      <c r="E124" s="29" cm="1">
        <f t="array" ref="E124">_xlfn.IFS(C124=":",":",C124&gt;=N$19,1,C124&gt;=N$20,2,C124&gt;=N$21,3,C124&gt;=N$22,4,C124&gt;=N$23,5,C124&lt;N$23,6)</f>
        <v>2</v>
      </c>
      <c r="F124" s="60"/>
      <c r="G124" s="8"/>
      <c r="H124" s="26"/>
    </row>
    <row r="125" spans="1:8" ht="12" customHeight="1">
      <c r="A125" s="10" t="s">
        <v>817</v>
      </c>
      <c r="B125" s="112" t="s">
        <v>818</v>
      </c>
      <c r="C125" s="78">
        <v>14664</v>
      </c>
      <c r="D125" s="70"/>
      <c r="E125" s="29" cm="1">
        <f t="array" ref="E125">_xlfn.IFS(C125=":",":",C125&gt;=N$19,1,C125&gt;=N$20,2,C125&gt;=N$21,3,C125&gt;=N$22,4,C125&gt;=N$23,5,C125&lt;N$23,6)</f>
        <v>2</v>
      </c>
      <c r="F125" s="60"/>
      <c r="G125" s="8"/>
      <c r="H125" s="26"/>
    </row>
    <row r="126" spans="1:8" ht="12" customHeight="1">
      <c r="A126" s="10" t="s">
        <v>819</v>
      </c>
      <c r="B126" s="112" t="s">
        <v>820</v>
      </c>
      <c r="C126" s="78">
        <v>4042</v>
      </c>
      <c r="D126" s="70"/>
      <c r="E126" s="29" cm="1">
        <f t="array" ref="E126">_xlfn.IFS(C126=":",":",C126&gt;=N$19,1,C126&gt;=N$20,2,C126&gt;=N$21,3,C126&gt;=N$22,4,C126&gt;=N$23,5,C126&lt;N$23,6)</f>
        <v>3</v>
      </c>
      <c r="F126" s="60"/>
      <c r="G126" s="8"/>
      <c r="H126" s="26"/>
    </row>
    <row r="127" spans="1:8" ht="12" customHeight="1">
      <c r="A127" s="10" t="s">
        <v>821</v>
      </c>
      <c r="B127" s="112" t="s">
        <v>822</v>
      </c>
      <c r="C127" s="78">
        <v>9817</v>
      </c>
      <c r="D127" s="70"/>
      <c r="E127" s="29" cm="1">
        <f t="array" ref="E127">_xlfn.IFS(C127=":",":",C127&gt;=N$19,1,C127&gt;=N$20,2,C127&gt;=N$21,3,C127&gt;=N$22,4,C127&gt;=N$23,5,C127&lt;N$23,6)</f>
        <v>2</v>
      </c>
      <c r="F127" s="60"/>
      <c r="G127" s="8"/>
      <c r="H127" s="26"/>
    </row>
    <row r="128" spans="1:8" ht="12" customHeight="1">
      <c r="A128" s="10" t="s">
        <v>823</v>
      </c>
      <c r="B128" s="112" t="s">
        <v>824</v>
      </c>
      <c r="C128" s="78">
        <v>1964</v>
      </c>
      <c r="D128" s="70"/>
      <c r="E128" s="29" cm="1">
        <f t="array" ref="E128">_xlfn.IFS(C128=":",":",C128&gt;=N$19,1,C128&gt;=N$20,2,C128&gt;=N$21,3,C128&gt;=N$22,4,C128&gt;=N$23,5,C128&lt;N$23,6)</f>
        <v>5</v>
      </c>
      <c r="F128" s="60"/>
      <c r="G128" s="8"/>
      <c r="H128" s="26"/>
    </row>
    <row r="129" spans="1:8" ht="12" customHeight="1">
      <c r="A129" s="10" t="s">
        <v>825</v>
      </c>
      <c r="B129" s="112" t="s">
        <v>826</v>
      </c>
      <c r="C129" s="78">
        <v>4429</v>
      </c>
      <c r="D129" s="70"/>
      <c r="E129" s="29" cm="1">
        <f t="array" ref="E129">_xlfn.IFS(C129=":",":",C129&gt;=N$19,1,C129&gt;=N$20,2,C129&gt;=N$21,3,C129&gt;=N$22,4,C129&gt;=N$23,5,C129&lt;N$23,6)</f>
        <v>3</v>
      </c>
      <c r="F129" s="60"/>
      <c r="G129" s="8"/>
      <c r="H129" s="26"/>
    </row>
    <row r="130" spans="1:8" ht="12" customHeight="1">
      <c r="A130" s="10" t="s">
        <v>827</v>
      </c>
      <c r="B130" s="112" t="s">
        <v>828</v>
      </c>
      <c r="C130" s="78">
        <v>2352</v>
      </c>
      <c r="D130" s="70"/>
      <c r="E130" s="29" cm="1">
        <f t="array" ref="E130">_xlfn.IFS(C130=":",":",C130&gt;=N$19,1,C130&gt;=N$20,2,C130&gt;=N$21,3,C130&gt;=N$22,4,C130&gt;=N$23,5,C130&lt;N$23,6)</f>
        <v>4</v>
      </c>
      <c r="F130" s="60"/>
      <c r="G130" s="8"/>
      <c r="H130" s="26"/>
    </row>
    <row r="131" spans="1:8" ht="12" customHeight="1">
      <c r="A131" s="10" t="s">
        <v>829</v>
      </c>
      <c r="B131" s="112" t="s">
        <v>830</v>
      </c>
      <c r="C131" s="78">
        <v>8971</v>
      </c>
      <c r="D131" s="70"/>
      <c r="E131" s="29" cm="1">
        <f t="array" ref="E131">_xlfn.IFS(C131=":",":",C131&gt;=N$19,1,C131&gt;=N$20,2,C131&gt;=N$21,3,C131&gt;=N$22,4,C131&gt;=N$23,5,C131&lt;N$23,6)</f>
        <v>2</v>
      </c>
      <c r="F131" s="60"/>
      <c r="G131" s="8"/>
      <c r="H131" s="26"/>
    </row>
    <row r="132" spans="1:8" ht="12" customHeight="1">
      <c r="A132" s="10" t="s">
        <v>831</v>
      </c>
      <c r="B132" s="112" t="s">
        <v>832</v>
      </c>
      <c r="C132" s="78">
        <v>5260</v>
      </c>
      <c r="D132" s="70"/>
      <c r="E132" s="29" cm="1">
        <f t="array" ref="E132">_xlfn.IFS(C132=":",":",C132&gt;=N$19,1,C132&gt;=N$20,2,C132&gt;=N$21,3,C132&gt;=N$22,4,C132&gt;=N$23,5,C132&lt;N$23,6)</f>
        <v>3</v>
      </c>
      <c r="F132" s="60"/>
      <c r="G132" s="8"/>
      <c r="H132" s="26"/>
    </row>
    <row r="133" spans="1:8" ht="12" customHeight="1">
      <c r="A133" s="10" t="s">
        <v>833</v>
      </c>
      <c r="B133" s="112" t="s">
        <v>834</v>
      </c>
      <c r="C133" s="78">
        <v>5092</v>
      </c>
      <c r="D133" s="68"/>
      <c r="E133" s="29" cm="1">
        <f t="array" ref="E133">_xlfn.IFS(C133=":",":",C133&gt;=N$19,1,C133&gt;=N$20,2,C133&gt;=N$21,3,C133&gt;=N$22,4,C133&gt;=N$23,5,C133&lt;N$23,6)</f>
        <v>3</v>
      </c>
      <c r="F133" s="60"/>
      <c r="G133" s="8"/>
      <c r="H133" s="26"/>
    </row>
    <row r="134" spans="1:8" ht="12" customHeight="1">
      <c r="A134" s="10" t="s">
        <v>835</v>
      </c>
      <c r="B134" s="112" t="s">
        <v>836</v>
      </c>
      <c r="C134" s="78">
        <v>3134</v>
      </c>
      <c r="D134" s="68"/>
      <c r="E134" s="29" cm="1">
        <f t="array" ref="E134">_xlfn.IFS(C134=":",":",C134&gt;=N$19,1,C134&gt;=N$20,2,C134&gt;=N$21,3,C134&gt;=N$22,4,C134&gt;=N$23,5,C134&lt;N$23,6)</f>
        <v>4</v>
      </c>
      <c r="F134" s="60"/>
      <c r="G134" s="8"/>
      <c r="H134" s="26"/>
    </row>
    <row r="135" spans="1:8" ht="12" customHeight="1">
      <c r="A135" s="10" t="s">
        <v>837</v>
      </c>
      <c r="B135" s="112" t="s">
        <v>838</v>
      </c>
      <c r="C135" s="78">
        <v>1876</v>
      </c>
      <c r="D135" s="68"/>
      <c r="E135" s="29" cm="1">
        <f t="array" ref="E135">_xlfn.IFS(C135=":",":",C135&gt;=N$19,1,C135&gt;=N$20,2,C135&gt;=N$21,3,C135&gt;=N$22,4,C135&gt;=N$23,5,C135&lt;N$23,6)</f>
        <v>5</v>
      </c>
      <c r="F135" s="60"/>
      <c r="G135" s="8"/>
      <c r="H135" s="26"/>
    </row>
    <row r="136" spans="1:8" ht="12" customHeight="1">
      <c r="A136" s="10" t="s">
        <v>839</v>
      </c>
      <c r="B136" s="112" t="s">
        <v>840</v>
      </c>
      <c r="C136" s="78">
        <v>1275</v>
      </c>
      <c r="D136" s="68"/>
      <c r="E136" s="29" cm="1">
        <f t="array" ref="E136">_xlfn.IFS(C136=":",":",C136&gt;=N$19,1,C136&gt;=N$20,2,C136&gt;=N$21,3,C136&gt;=N$22,4,C136&gt;=N$23,5,C136&lt;N$23,6)</f>
        <v>5</v>
      </c>
      <c r="F136" s="60"/>
      <c r="G136" s="8"/>
      <c r="H136" s="26"/>
    </row>
    <row r="137" spans="1:8" ht="12" customHeight="1">
      <c r="A137" s="10" t="s">
        <v>841</v>
      </c>
      <c r="B137" s="112" t="s">
        <v>842</v>
      </c>
      <c r="C137" s="78">
        <v>6749</v>
      </c>
      <c r="D137" s="68"/>
      <c r="E137" s="29" cm="1">
        <f t="array" ref="E137">_xlfn.IFS(C137=":",":",C137&gt;=N$19,1,C137&gt;=N$20,2,C137&gt;=N$21,3,C137&gt;=N$22,4,C137&gt;=N$23,5,C137&lt;N$23,6)</f>
        <v>3</v>
      </c>
      <c r="F137" s="60"/>
      <c r="G137" s="8"/>
      <c r="H137" s="26"/>
    </row>
    <row r="138" spans="1:8" ht="12" customHeight="1">
      <c r="A138" s="10" t="s">
        <v>843</v>
      </c>
      <c r="B138" s="112" t="s">
        <v>844</v>
      </c>
      <c r="C138" s="78">
        <v>2987</v>
      </c>
      <c r="D138" s="68"/>
      <c r="E138" s="29" cm="1">
        <f t="array" ref="E138">_xlfn.IFS(C138=":",":",C138&gt;=N$19,1,C138&gt;=N$20,2,C138&gt;=N$21,3,C138&gt;=N$22,4,C138&gt;=N$23,5,C138&lt;N$23,6)</f>
        <v>4</v>
      </c>
      <c r="F138" s="60"/>
      <c r="G138" s="8"/>
      <c r="H138" s="26"/>
    </row>
    <row r="139" spans="1:8" ht="12" customHeight="1">
      <c r="A139" s="10" t="s">
        <v>845</v>
      </c>
      <c r="B139" s="112" t="s">
        <v>846</v>
      </c>
      <c r="C139" s="78">
        <v>2389</v>
      </c>
      <c r="D139" s="68"/>
      <c r="E139" s="29" cm="1">
        <f t="array" ref="E139">_xlfn.IFS(C139=":",":",C139&gt;=N$19,1,C139&gt;=N$20,2,C139&gt;=N$21,3,C139&gt;=N$22,4,C139&gt;=N$23,5,C139&lt;N$23,6)</f>
        <v>4</v>
      </c>
      <c r="F139" s="60"/>
      <c r="G139" s="8"/>
      <c r="H139" s="26"/>
    </row>
    <row r="140" spans="1:8" ht="12" customHeight="1">
      <c r="A140" s="10" t="s">
        <v>847</v>
      </c>
      <c r="B140" s="112" t="s">
        <v>848</v>
      </c>
      <c r="C140" s="78">
        <v>13400</v>
      </c>
      <c r="D140" s="68"/>
      <c r="E140" s="29" cm="1">
        <f t="array" ref="E140">_xlfn.IFS(C140=":",":",C140&gt;=N$19,1,C140&gt;=N$20,2,C140&gt;=N$21,3,C140&gt;=N$22,4,C140&gt;=N$23,5,C140&lt;N$23,6)</f>
        <v>2</v>
      </c>
      <c r="F140" s="60"/>
      <c r="G140" s="8"/>
      <c r="H140" s="26"/>
    </row>
    <row r="141" spans="1:8" ht="12" customHeight="1">
      <c r="A141" s="10" t="s">
        <v>849</v>
      </c>
      <c r="B141" s="112" t="s">
        <v>850</v>
      </c>
      <c r="C141" s="78">
        <v>9231</v>
      </c>
      <c r="D141" s="68"/>
      <c r="E141" s="29" cm="1">
        <f t="array" ref="E141">_xlfn.IFS(C141=":",":",C141&gt;=N$19,1,C141&gt;=N$20,2,C141&gt;=N$21,3,C141&gt;=N$22,4,C141&gt;=N$23,5,C141&lt;N$23,6)</f>
        <v>2</v>
      </c>
      <c r="F141" s="60"/>
      <c r="G141" s="8"/>
      <c r="H141" s="26"/>
    </row>
    <row r="142" spans="1:8" ht="12" customHeight="1">
      <c r="A142" s="10" t="s">
        <v>851</v>
      </c>
      <c r="B142" s="112" t="s">
        <v>852</v>
      </c>
      <c r="C142" s="78">
        <v>3361</v>
      </c>
      <c r="D142" s="68"/>
      <c r="E142" s="29" cm="1">
        <f t="array" ref="E142">_xlfn.IFS(C142=":",":",C142&gt;=N$19,1,C142&gt;=N$20,2,C142&gt;=N$21,3,C142&gt;=N$22,4,C142&gt;=N$23,5,C142&lt;N$23,6)</f>
        <v>4</v>
      </c>
      <c r="F142" s="60"/>
      <c r="G142" s="8"/>
      <c r="H142" s="26"/>
    </row>
    <row r="143" spans="1:8" ht="12" customHeight="1">
      <c r="A143" s="10" t="s">
        <v>853</v>
      </c>
      <c r="B143" s="112" t="s">
        <v>854</v>
      </c>
      <c r="C143" s="78">
        <v>4764</v>
      </c>
      <c r="D143" s="68"/>
      <c r="E143" s="29" cm="1">
        <f t="array" ref="E143">_xlfn.IFS(C143=":",":",C143&gt;=N$19,1,C143&gt;=N$20,2,C143&gt;=N$21,3,C143&gt;=N$22,4,C143&gt;=N$23,5,C143&lt;N$23,6)</f>
        <v>3</v>
      </c>
      <c r="F143" s="60"/>
      <c r="G143" s="8"/>
      <c r="H143" s="26"/>
    </row>
    <row r="144" spans="1:8" ht="12" customHeight="1">
      <c r="A144" s="10" t="s">
        <v>855</v>
      </c>
      <c r="B144" s="112" t="s">
        <v>856</v>
      </c>
      <c r="C144" s="78">
        <v>13225</v>
      </c>
      <c r="D144" s="68"/>
      <c r="E144" s="29" cm="1">
        <f t="array" ref="E144">_xlfn.IFS(C144=":",":",C144&gt;=N$19,1,C144&gt;=N$20,2,C144&gt;=N$21,3,C144&gt;=N$22,4,C144&gt;=N$23,5,C144&lt;N$23,6)</f>
        <v>2</v>
      </c>
      <c r="F144" s="60"/>
      <c r="G144" s="8"/>
      <c r="H144" s="26"/>
    </row>
    <row r="145" spans="1:8" ht="12" customHeight="1">
      <c r="A145" s="10" t="s">
        <v>857</v>
      </c>
      <c r="B145" s="112" t="s">
        <v>858</v>
      </c>
      <c r="C145" s="78">
        <v>4955</v>
      </c>
      <c r="D145" s="68"/>
      <c r="E145" s="29" cm="1">
        <f t="array" ref="E145">_xlfn.IFS(C145=":",":",C145&gt;=N$19,1,C145&gt;=N$20,2,C145&gt;=N$21,3,C145&gt;=N$22,4,C145&gt;=N$23,5,C145&lt;N$23,6)</f>
        <v>3</v>
      </c>
      <c r="F145" s="60"/>
      <c r="G145" s="8"/>
      <c r="H145" s="26"/>
    </row>
    <row r="146" spans="1:8" ht="12" customHeight="1">
      <c r="A146" s="10" t="s">
        <v>859</v>
      </c>
      <c r="B146" s="112" t="s">
        <v>860</v>
      </c>
      <c r="C146" s="78">
        <v>2736</v>
      </c>
      <c r="D146" s="68"/>
      <c r="E146" s="29" cm="1">
        <f t="array" ref="E146">_xlfn.IFS(C146=":",":",C146&gt;=N$19,1,C146&gt;=N$20,2,C146&gt;=N$21,3,C146&gt;=N$22,4,C146&gt;=N$23,5,C146&lt;N$23,6)</f>
        <v>4</v>
      </c>
      <c r="F146" s="60"/>
      <c r="G146" s="8"/>
      <c r="H146" s="26"/>
    </row>
    <row r="147" spans="1:8" ht="12" customHeight="1">
      <c r="A147" s="10" t="s">
        <v>861</v>
      </c>
      <c r="B147" s="112" t="s">
        <v>862</v>
      </c>
      <c r="C147" s="78">
        <v>24112</v>
      </c>
      <c r="D147" s="68"/>
      <c r="E147" s="29" cm="1">
        <f t="array" ref="E147">_xlfn.IFS(C147=":",":",C147&gt;=N$19,1,C147&gt;=N$20,2,C147&gt;=N$21,3,C147&gt;=N$22,4,C147&gt;=N$23,5,C147&lt;N$23,6)</f>
        <v>1</v>
      </c>
      <c r="F147" s="60"/>
      <c r="G147" s="8"/>
      <c r="H147" s="26"/>
    </row>
    <row r="148" spans="1:8" ht="12" customHeight="1">
      <c r="A148" s="10" t="s">
        <v>863</v>
      </c>
      <c r="B148" s="112" t="s">
        <v>864</v>
      </c>
      <c r="C148" s="78">
        <v>7819</v>
      </c>
      <c r="D148" s="68"/>
      <c r="E148" s="29" cm="1">
        <f t="array" ref="E148">_xlfn.IFS(C148=":",":",C148&gt;=N$19,1,C148&gt;=N$20,2,C148&gt;=N$21,3,C148&gt;=N$22,4,C148&gt;=N$23,5,C148&lt;N$23,6)</f>
        <v>2</v>
      </c>
      <c r="F148" s="60"/>
      <c r="G148" s="8"/>
      <c r="H148" s="26"/>
    </row>
    <row r="149" spans="1:8" ht="12" customHeight="1">
      <c r="A149" s="10" t="s">
        <v>865</v>
      </c>
      <c r="B149" s="112" t="s">
        <v>866</v>
      </c>
      <c r="C149" s="78">
        <v>3185</v>
      </c>
      <c r="D149" s="68"/>
      <c r="E149" s="29" cm="1">
        <f t="array" ref="E149">_xlfn.IFS(C149=":",":",C149&gt;=N$19,1,C149&gt;=N$20,2,C149&gt;=N$21,3,C149&gt;=N$22,4,C149&gt;=N$23,5,C149&lt;N$23,6)</f>
        <v>4</v>
      </c>
      <c r="F149" s="60"/>
      <c r="G149" s="8"/>
      <c r="H149" s="26"/>
    </row>
    <row r="150" spans="1:8" ht="12" customHeight="1">
      <c r="A150" s="10" t="s">
        <v>867</v>
      </c>
      <c r="B150" s="112" t="s">
        <v>868</v>
      </c>
      <c r="C150" s="78">
        <v>2710</v>
      </c>
      <c r="D150" s="68"/>
      <c r="E150" s="29" cm="1">
        <f t="array" ref="E150">_xlfn.IFS(C150=":",":",C150&gt;=N$19,1,C150&gt;=N$20,2,C150&gt;=N$21,3,C150&gt;=N$22,4,C150&gt;=N$23,5,C150&lt;N$23,6)</f>
        <v>4</v>
      </c>
      <c r="F150" s="60"/>
      <c r="G150" s="8"/>
      <c r="H150" s="26"/>
    </row>
    <row r="151" spans="1:8" ht="12" customHeight="1">
      <c r="A151" s="10" t="s">
        <v>869</v>
      </c>
      <c r="B151" s="112" t="s">
        <v>870</v>
      </c>
      <c r="C151" s="78">
        <v>5850</v>
      </c>
      <c r="D151" s="68"/>
      <c r="E151" s="29" cm="1">
        <f t="array" ref="E151">_xlfn.IFS(C151=":",":",C151&gt;=N$19,1,C151&gt;=N$20,2,C151&gt;=N$21,3,C151&gt;=N$22,4,C151&gt;=N$23,5,C151&lt;N$23,6)</f>
        <v>3</v>
      </c>
      <c r="F151" s="60"/>
      <c r="G151" s="8"/>
      <c r="H151" s="26"/>
    </row>
    <row r="152" spans="1:8" ht="12" customHeight="1">
      <c r="A152" s="10" t="s">
        <v>871</v>
      </c>
      <c r="B152" s="112" t="s">
        <v>872</v>
      </c>
      <c r="C152" s="78">
        <v>9929</v>
      </c>
      <c r="D152" s="68"/>
      <c r="E152" s="29" cm="1">
        <f t="array" ref="E152">_xlfn.IFS(C152=":",":",C152&gt;=N$19,1,C152&gt;=N$20,2,C152&gt;=N$21,3,C152&gt;=N$22,4,C152&gt;=N$23,5,C152&lt;N$23,6)</f>
        <v>2</v>
      </c>
      <c r="F152" s="60"/>
      <c r="G152" s="8"/>
      <c r="H152" s="26"/>
    </row>
    <row r="153" spans="1:8" ht="12" customHeight="1">
      <c r="A153" s="10" t="s">
        <v>873</v>
      </c>
      <c r="B153" s="112" t="s">
        <v>874</v>
      </c>
      <c r="C153" s="78">
        <v>7113</v>
      </c>
      <c r="D153" s="68"/>
      <c r="E153" s="29" cm="1">
        <f t="array" ref="E153">_xlfn.IFS(C153=":",":",C153&gt;=N$19,1,C153&gt;=N$20,2,C153&gt;=N$21,3,C153&gt;=N$22,4,C153&gt;=N$23,5,C153&lt;N$23,6)</f>
        <v>3</v>
      </c>
      <c r="F153" s="60"/>
      <c r="G153" s="8"/>
      <c r="H153" s="26"/>
    </row>
    <row r="154" spans="1:8" ht="12" customHeight="1">
      <c r="A154" s="10" t="s">
        <v>875</v>
      </c>
      <c r="B154" s="112" t="s">
        <v>876</v>
      </c>
      <c r="C154" s="78">
        <v>1908</v>
      </c>
      <c r="D154" s="68"/>
      <c r="E154" s="29" cm="1">
        <f t="array" ref="E154">_xlfn.IFS(C154=":",":",C154&gt;=N$19,1,C154&gt;=N$20,2,C154&gt;=N$21,3,C154&gt;=N$22,4,C154&gt;=N$23,5,C154&lt;N$23,6)</f>
        <v>5</v>
      </c>
      <c r="F154" s="60"/>
      <c r="G154" s="8"/>
      <c r="H154" s="26"/>
    </row>
    <row r="155" spans="1:8" ht="12" customHeight="1">
      <c r="A155" s="10" t="s">
        <v>877</v>
      </c>
      <c r="B155" s="112" t="s">
        <v>878</v>
      </c>
      <c r="C155" s="78">
        <v>35919</v>
      </c>
      <c r="D155" s="68"/>
      <c r="E155" s="29" cm="1">
        <f t="array" ref="E155">_xlfn.IFS(C155=":",":",C155&gt;=N$19,1,C155&gt;=N$20,2,C155&gt;=N$21,3,C155&gt;=N$22,4,C155&gt;=N$23,5,C155&lt;N$23,6)</f>
        <v>1</v>
      </c>
      <c r="F155" s="60"/>
      <c r="G155" s="8"/>
      <c r="H155" s="26"/>
    </row>
    <row r="156" spans="1:8" ht="12" customHeight="1">
      <c r="A156" s="10" t="s">
        <v>879</v>
      </c>
      <c r="B156" s="112" t="s">
        <v>880</v>
      </c>
      <c r="C156" s="78">
        <v>2277</v>
      </c>
      <c r="D156" s="68"/>
      <c r="E156" s="29" cm="1">
        <f t="array" ref="E156">_xlfn.IFS(C156=":",":",C156&gt;=N$19,1,C156&gt;=N$20,2,C156&gt;=N$21,3,C156&gt;=N$22,4,C156&gt;=N$23,5,C156&lt;N$23,6)</f>
        <v>4</v>
      </c>
      <c r="F156" s="60"/>
      <c r="G156" s="8"/>
      <c r="H156" s="26"/>
    </row>
    <row r="157" spans="1:8" ht="12" customHeight="1">
      <c r="A157" s="10" t="s">
        <v>881</v>
      </c>
      <c r="B157" s="112" t="s">
        <v>882</v>
      </c>
      <c r="C157" s="78">
        <v>18656</v>
      </c>
      <c r="D157" s="68"/>
      <c r="E157" s="29" cm="1">
        <f t="array" ref="E157">_xlfn.IFS(C157=":",":",C157&gt;=N$19,1,C157&gt;=N$20,2,C157&gt;=N$21,3,C157&gt;=N$22,4,C157&gt;=N$23,5,C157&lt;N$23,6)</f>
        <v>1</v>
      </c>
      <c r="F157" s="60"/>
      <c r="G157" s="8"/>
      <c r="H157" s="29"/>
    </row>
    <row r="158" spans="1:8" ht="12" customHeight="1">
      <c r="A158" s="10" t="s">
        <v>883</v>
      </c>
      <c r="B158" s="112" t="s">
        <v>2861</v>
      </c>
      <c r="C158" s="78">
        <v>1495</v>
      </c>
      <c r="D158" s="68"/>
      <c r="E158" s="29" cm="1">
        <f t="array" ref="E158">_xlfn.IFS(C158=":",":",C158&gt;=N$19,1,C158&gt;=N$20,2,C158&gt;=N$21,3,C158&gt;=N$22,4,C158&gt;=N$23,5,C158&lt;N$23,6)</f>
        <v>5</v>
      </c>
      <c r="F158" s="60"/>
      <c r="G158" s="8"/>
      <c r="H158" s="29"/>
    </row>
    <row r="159" spans="1:8" ht="12" customHeight="1">
      <c r="A159" s="10" t="s">
        <v>884</v>
      </c>
      <c r="B159" s="112" t="s">
        <v>885</v>
      </c>
      <c r="C159" s="78">
        <v>7558</v>
      </c>
      <c r="D159" s="68"/>
      <c r="E159" s="29" cm="1">
        <f t="array" ref="E159">_xlfn.IFS(C159=":",":",C159&gt;=N$19,1,C159&gt;=N$20,2,C159&gt;=N$21,3,C159&gt;=N$22,4,C159&gt;=N$23,5,C159&lt;N$23,6)</f>
        <v>2</v>
      </c>
      <c r="F159" s="60"/>
      <c r="G159" s="8"/>
      <c r="H159" s="29"/>
    </row>
    <row r="160" spans="1:8" ht="12" customHeight="1">
      <c r="A160" s="10" t="s">
        <v>886</v>
      </c>
      <c r="B160" s="112" t="s">
        <v>887</v>
      </c>
      <c r="C160" s="78">
        <v>1400</v>
      </c>
      <c r="D160" s="68"/>
      <c r="E160" s="29" cm="1">
        <f t="array" ref="E160">_xlfn.IFS(C160=":",":",C160&gt;=N$19,1,C160&gt;=N$20,2,C160&gt;=N$21,3,C160&gt;=N$22,4,C160&gt;=N$23,5,C160&lt;N$23,6)</f>
        <v>5</v>
      </c>
      <c r="F160" s="60"/>
      <c r="G160" s="8"/>
      <c r="H160" s="29"/>
    </row>
    <row r="161" spans="1:8" ht="12" customHeight="1">
      <c r="A161" s="10" t="s">
        <v>888</v>
      </c>
      <c r="B161" s="112" t="s">
        <v>2862</v>
      </c>
      <c r="C161" s="78">
        <v>2177</v>
      </c>
      <c r="D161" s="68"/>
      <c r="E161" s="29" cm="1">
        <f t="array" ref="E161">_xlfn.IFS(C161=":",":",C161&gt;=N$19,1,C161&gt;=N$20,2,C161&gt;=N$21,3,C161&gt;=N$22,4,C161&gt;=N$23,5,C161&lt;N$23,6)</f>
        <v>4</v>
      </c>
      <c r="F161" s="60"/>
      <c r="G161" s="8"/>
      <c r="H161" s="29"/>
    </row>
    <row r="162" spans="1:8" ht="12" customHeight="1">
      <c r="A162" s="10" t="s">
        <v>889</v>
      </c>
      <c r="B162" s="112" t="s">
        <v>890</v>
      </c>
      <c r="C162" s="78">
        <v>6734</v>
      </c>
      <c r="D162" s="68"/>
      <c r="E162" s="29" cm="1">
        <f t="array" ref="E162">_xlfn.IFS(C162=":",":",C162&gt;=N$19,1,C162&gt;=N$20,2,C162&gt;=N$21,3,C162&gt;=N$22,4,C162&gt;=N$23,5,C162&lt;N$23,6)</f>
        <v>3</v>
      </c>
      <c r="F162" s="60"/>
      <c r="G162" s="8"/>
      <c r="H162" s="29"/>
    </row>
    <row r="163" spans="1:8" ht="12" customHeight="1">
      <c r="A163" s="10" t="s">
        <v>891</v>
      </c>
      <c r="B163" s="112" t="s">
        <v>892</v>
      </c>
      <c r="C163" s="78">
        <v>5142</v>
      </c>
      <c r="D163" s="68"/>
      <c r="E163" s="29" cm="1">
        <f t="array" ref="E163">_xlfn.IFS(C163=":",":",C163&gt;=N$19,1,C163&gt;=N$20,2,C163&gt;=N$21,3,C163&gt;=N$22,4,C163&gt;=N$23,5,C163&lt;N$23,6)</f>
        <v>3</v>
      </c>
      <c r="F163" s="60"/>
      <c r="G163" s="8"/>
      <c r="H163" s="29"/>
    </row>
    <row r="164" spans="1:8" ht="12" customHeight="1">
      <c r="A164" s="10" t="s">
        <v>893</v>
      </c>
      <c r="B164" s="112" t="s">
        <v>894</v>
      </c>
      <c r="C164" s="78">
        <v>15939</v>
      </c>
      <c r="D164" s="68"/>
      <c r="E164" s="29" cm="1">
        <f t="array" ref="E164">_xlfn.IFS(C164=":",":",C164&gt;=N$19,1,C164&gt;=N$20,2,C164&gt;=N$21,3,C164&gt;=N$22,4,C164&gt;=N$23,5,C164&lt;N$23,6)</f>
        <v>1</v>
      </c>
      <c r="F164" s="60"/>
      <c r="G164" s="8"/>
      <c r="H164" s="29"/>
    </row>
    <row r="165" spans="1:8" ht="12" customHeight="1">
      <c r="A165" s="10" t="s">
        <v>895</v>
      </c>
      <c r="B165" s="112" t="s">
        <v>896</v>
      </c>
      <c r="C165" s="78">
        <v>2960</v>
      </c>
      <c r="D165" s="68"/>
      <c r="E165" s="29" cm="1">
        <f t="array" ref="E165">_xlfn.IFS(C165=":",":",C165&gt;=N$19,1,C165&gt;=N$20,2,C165&gt;=N$21,3,C165&gt;=N$22,4,C165&gt;=N$23,5,C165&lt;N$23,6)</f>
        <v>4</v>
      </c>
      <c r="F165" s="60"/>
      <c r="G165" s="8"/>
      <c r="H165" s="29"/>
    </row>
    <row r="166" spans="1:8" ht="12" customHeight="1">
      <c r="A166" s="10" t="s">
        <v>897</v>
      </c>
      <c r="B166" s="112" t="s">
        <v>898</v>
      </c>
      <c r="C166" s="78">
        <v>3843</v>
      </c>
      <c r="D166" s="68"/>
      <c r="E166" s="29" cm="1">
        <f t="array" ref="E166">_xlfn.IFS(C166=":",":",C166&gt;=N$19,1,C166&gt;=N$20,2,C166&gt;=N$21,3,C166&gt;=N$22,4,C166&gt;=N$23,5,C166&lt;N$23,6)</f>
        <v>3</v>
      </c>
      <c r="F166" s="60"/>
      <c r="G166" s="8"/>
      <c r="H166" s="29"/>
    </row>
    <row r="167" spans="1:8" ht="12" customHeight="1">
      <c r="A167" s="10" t="s">
        <v>899</v>
      </c>
      <c r="B167" s="112" t="s">
        <v>900</v>
      </c>
      <c r="C167" s="78">
        <v>9169</v>
      </c>
      <c r="D167" s="68"/>
      <c r="E167" s="29" cm="1">
        <f t="array" ref="E167">_xlfn.IFS(C167=":",":",C167&gt;=N$19,1,C167&gt;=N$20,2,C167&gt;=N$21,3,C167&gt;=N$22,4,C167&gt;=N$23,5,C167&lt;N$23,6)</f>
        <v>2</v>
      </c>
      <c r="F167" s="60"/>
      <c r="G167" s="8"/>
      <c r="H167" s="29"/>
    </row>
    <row r="168" spans="1:8" ht="12" customHeight="1">
      <c r="A168" s="10" t="s">
        <v>901</v>
      </c>
      <c r="B168" s="112" t="s">
        <v>902</v>
      </c>
      <c r="C168" s="78">
        <v>2357</v>
      </c>
      <c r="D168" s="68"/>
      <c r="E168" s="29" cm="1">
        <f t="array" ref="E168">_xlfn.IFS(C168=":",":",C168&gt;=N$19,1,C168&gt;=N$20,2,C168&gt;=N$21,3,C168&gt;=N$22,4,C168&gt;=N$23,5,C168&lt;N$23,6)</f>
        <v>4</v>
      </c>
      <c r="F168" s="60"/>
      <c r="G168" s="8"/>
      <c r="H168" s="29"/>
    </row>
    <row r="169" spans="1:8" ht="12" customHeight="1">
      <c r="A169" s="10" t="s">
        <v>903</v>
      </c>
      <c r="B169" s="112" t="s">
        <v>904</v>
      </c>
      <c r="C169" s="78">
        <v>2580</v>
      </c>
      <c r="D169" s="68"/>
      <c r="E169" s="29" cm="1">
        <f t="array" ref="E169">_xlfn.IFS(C169=":",":",C169&gt;=N$19,1,C169&gt;=N$20,2,C169&gt;=N$21,3,C169&gt;=N$22,4,C169&gt;=N$23,5,C169&lt;N$23,6)</f>
        <v>4</v>
      </c>
      <c r="F169" s="60"/>
      <c r="G169" s="8"/>
      <c r="H169" s="29"/>
    </row>
    <row r="170" spans="1:8" ht="12" customHeight="1">
      <c r="A170" s="10" t="s">
        <v>905</v>
      </c>
      <c r="B170" s="112" t="s">
        <v>906</v>
      </c>
      <c r="C170" s="78">
        <v>12115</v>
      </c>
      <c r="D170" s="68"/>
      <c r="E170" s="29" cm="1">
        <f t="array" ref="E170">_xlfn.IFS(C170=":",":",C170&gt;=N$19,1,C170&gt;=N$20,2,C170&gt;=N$21,3,C170&gt;=N$22,4,C170&gt;=N$23,5,C170&lt;N$23,6)</f>
        <v>2</v>
      </c>
      <c r="F170" s="60"/>
      <c r="G170" s="8"/>
      <c r="H170" s="29"/>
    </row>
    <row r="171" spans="1:8" ht="12" customHeight="1">
      <c r="A171" s="10" t="s">
        <v>907</v>
      </c>
      <c r="B171" s="112" t="s">
        <v>908</v>
      </c>
      <c r="C171" s="78">
        <v>4906</v>
      </c>
      <c r="D171" s="68"/>
      <c r="E171" s="29" cm="1">
        <f t="array" ref="E171">_xlfn.IFS(C171=":",":",C171&gt;=N$19,1,C171&gt;=N$20,2,C171&gt;=N$21,3,C171&gt;=N$22,4,C171&gt;=N$23,5,C171&lt;N$23,6)</f>
        <v>3</v>
      </c>
      <c r="F171" s="60"/>
      <c r="G171" s="8"/>
      <c r="H171" s="29"/>
    </row>
    <row r="172" spans="1:8" ht="12" customHeight="1">
      <c r="A172" s="10" t="s">
        <v>909</v>
      </c>
      <c r="B172" s="112" t="s">
        <v>910</v>
      </c>
      <c r="C172" s="78">
        <v>1516</v>
      </c>
      <c r="D172" s="68"/>
      <c r="E172" s="29" cm="1">
        <f t="array" ref="E172">_xlfn.IFS(C172=":",":",C172&gt;=N$19,1,C172&gt;=N$20,2,C172&gt;=N$21,3,C172&gt;=N$22,4,C172&gt;=N$23,5,C172&lt;N$23,6)</f>
        <v>5</v>
      </c>
      <c r="F172" s="60"/>
      <c r="G172" s="8"/>
      <c r="H172" s="29"/>
    </row>
    <row r="173" spans="1:8" ht="12" customHeight="1">
      <c r="A173" s="10" t="s">
        <v>911</v>
      </c>
      <c r="B173" s="112" t="s">
        <v>912</v>
      </c>
      <c r="C173" s="78">
        <v>15648</v>
      </c>
      <c r="D173" s="68"/>
      <c r="E173" s="29" cm="1">
        <f t="array" ref="E173">_xlfn.IFS(C173=":",":",C173&gt;=N$19,1,C173&gt;=N$20,2,C173&gt;=N$21,3,C173&gt;=N$22,4,C173&gt;=N$23,5,C173&lt;N$23,6)</f>
        <v>1</v>
      </c>
      <c r="F173" s="60"/>
      <c r="G173" s="8"/>
      <c r="H173" s="29"/>
    </row>
    <row r="174" spans="1:8" ht="12" customHeight="1">
      <c r="A174" s="10" t="s">
        <v>913</v>
      </c>
      <c r="B174" s="112" t="s">
        <v>914</v>
      </c>
      <c r="C174" s="78">
        <v>23718</v>
      </c>
      <c r="D174" s="68"/>
      <c r="E174" s="29" cm="1">
        <f t="array" ref="E174">_xlfn.IFS(C174=":",":",C174&gt;=N$19,1,C174&gt;=N$20,2,C174&gt;=N$21,3,C174&gt;=N$22,4,C174&gt;=N$23,5,C174&lt;N$23,6)</f>
        <v>1</v>
      </c>
      <c r="F174" s="60"/>
      <c r="G174" s="8"/>
      <c r="H174" s="29"/>
    </row>
    <row r="175" spans="1:8" ht="12" customHeight="1">
      <c r="A175" s="10" t="s">
        <v>915</v>
      </c>
      <c r="B175" s="112" t="s">
        <v>916</v>
      </c>
      <c r="C175" s="78">
        <v>6164</v>
      </c>
      <c r="D175" s="68"/>
      <c r="E175" s="29" cm="1">
        <f t="array" ref="E175">_xlfn.IFS(C175=":",":",C175&gt;=N$19,1,C175&gt;=N$20,2,C175&gt;=N$21,3,C175&gt;=N$22,4,C175&gt;=N$23,5,C175&lt;N$23,6)</f>
        <v>3</v>
      </c>
      <c r="F175" s="60"/>
      <c r="G175" s="8"/>
      <c r="H175" s="29"/>
    </row>
    <row r="176" spans="1:8" ht="12" customHeight="1">
      <c r="A176" s="10" t="s">
        <v>917</v>
      </c>
      <c r="B176" s="112" t="s">
        <v>918</v>
      </c>
      <c r="C176" s="78">
        <v>5668</v>
      </c>
      <c r="D176" s="68"/>
      <c r="E176" s="29" cm="1">
        <f t="array" ref="E176">_xlfn.IFS(C176=":",":",C176&gt;=N$19,1,C176&gt;=N$20,2,C176&gt;=N$21,3,C176&gt;=N$22,4,C176&gt;=N$23,5,C176&lt;N$23,6)</f>
        <v>3</v>
      </c>
      <c r="F176" s="60"/>
      <c r="G176" s="8"/>
      <c r="H176" s="29"/>
    </row>
    <row r="177" spans="1:8" ht="12" customHeight="1">
      <c r="A177" s="10" t="s">
        <v>919</v>
      </c>
      <c r="B177" s="112" t="s">
        <v>920</v>
      </c>
      <c r="C177" s="78">
        <v>2183</v>
      </c>
      <c r="D177" s="68"/>
      <c r="E177" s="29" cm="1">
        <f t="array" ref="E177">_xlfn.IFS(C177=":",":",C177&gt;=N$19,1,C177&gt;=N$20,2,C177&gt;=N$21,3,C177&gt;=N$22,4,C177&gt;=N$23,5,C177&lt;N$23,6)</f>
        <v>4</v>
      </c>
      <c r="F177" s="60"/>
      <c r="G177" s="8"/>
      <c r="H177" s="29"/>
    </row>
    <row r="178" spans="1:8" ht="12" customHeight="1">
      <c r="A178" s="10" t="s">
        <v>921</v>
      </c>
      <c r="B178" s="112" t="s">
        <v>922</v>
      </c>
      <c r="C178" s="78">
        <v>2386</v>
      </c>
      <c r="D178" s="68"/>
      <c r="E178" s="29" cm="1">
        <f t="array" ref="E178">_xlfn.IFS(C178=":",":",C178&gt;=N$19,1,C178&gt;=N$20,2,C178&gt;=N$21,3,C178&gt;=N$22,4,C178&gt;=N$23,5,C178&lt;N$23,6)</f>
        <v>4</v>
      </c>
      <c r="F178" s="60"/>
      <c r="G178" s="8"/>
      <c r="H178" s="29"/>
    </row>
    <row r="179" spans="1:8" ht="12" customHeight="1">
      <c r="A179" s="10" t="s">
        <v>923</v>
      </c>
      <c r="B179" s="112" t="s">
        <v>924</v>
      </c>
      <c r="C179" s="78">
        <v>8907</v>
      </c>
      <c r="D179" s="68"/>
      <c r="E179" s="29" cm="1">
        <f t="array" ref="E179">_xlfn.IFS(C179=":",":",C179&gt;=N$19,1,C179&gt;=N$20,2,C179&gt;=N$21,3,C179&gt;=N$22,4,C179&gt;=N$23,5,C179&lt;N$23,6)</f>
        <v>2</v>
      </c>
      <c r="F179" s="60"/>
      <c r="G179" s="8"/>
      <c r="H179" s="29"/>
    </row>
    <row r="180" spans="1:8" ht="12" customHeight="1">
      <c r="A180" s="10" t="s">
        <v>925</v>
      </c>
      <c r="B180" s="112" t="s">
        <v>2863</v>
      </c>
      <c r="C180" s="78">
        <v>1794</v>
      </c>
      <c r="D180" s="68"/>
      <c r="E180" s="29" cm="1">
        <f t="array" ref="E180">_xlfn.IFS(C180=":",":",C180&gt;=N$19,1,C180&gt;=N$20,2,C180&gt;=N$21,3,C180&gt;=N$22,4,C180&gt;=N$23,5,C180&lt;N$23,6)</f>
        <v>5</v>
      </c>
      <c r="F180" s="60"/>
      <c r="G180" s="8"/>
      <c r="H180" s="29"/>
    </row>
    <row r="181" spans="1:8" ht="12" customHeight="1">
      <c r="A181" s="10" t="s">
        <v>926</v>
      </c>
      <c r="B181" s="112" t="s">
        <v>927</v>
      </c>
      <c r="C181" s="78">
        <v>2892</v>
      </c>
      <c r="D181" s="68"/>
      <c r="E181" s="29" cm="1">
        <f t="array" ref="E181">_xlfn.IFS(C181=":",":",C181&gt;=N$19,1,C181&gt;=N$20,2,C181&gt;=N$21,3,C181&gt;=N$22,4,C181&gt;=N$23,5,C181&lt;N$23,6)</f>
        <v>4</v>
      </c>
      <c r="F181" s="60"/>
      <c r="G181" s="8"/>
      <c r="H181" s="29"/>
    </row>
    <row r="182" spans="1:8" ht="12" customHeight="1">
      <c r="A182" s="10" t="s">
        <v>928</v>
      </c>
      <c r="B182" s="112" t="s">
        <v>929</v>
      </c>
      <c r="C182" s="78">
        <v>11571</v>
      </c>
      <c r="D182" s="68"/>
      <c r="E182" s="29" cm="1">
        <f t="array" ref="E182">_xlfn.IFS(C182=":",":",C182&gt;=N$19,1,C182&gt;=N$20,2,C182&gt;=N$21,3,C182&gt;=N$22,4,C182&gt;=N$23,5,C182&lt;N$23,6)</f>
        <v>2</v>
      </c>
      <c r="F182" s="60"/>
      <c r="G182" s="8"/>
      <c r="H182" s="29"/>
    </row>
    <row r="183" spans="1:8" ht="12" customHeight="1">
      <c r="A183" s="10" t="s">
        <v>930</v>
      </c>
      <c r="B183" s="112" t="s">
        <v>2864</v>
      </c>
      <c r="C183" s="78">
        <v>2749</v>
      </c>
      <c r="D183" s="68"/>
      <c r="E183" s="29" cm="1">
        <f t="array" ref="E183">_xlfn.IFS(C183=":",":",C183&gt;=N$19,1,C183&gt;=N$20,2,C183&gt;=N$21,3,C183&gt;=N$22,4,C183&gt;=N$23,5,C183&lt;N$23,6)</f>
        <v>4</v>
      </c>
      <c r="F183" s="60"/>
      <c r="G183" s="8"/>
      <c r="H183" s="29"/>
    </row>
    <row r="184" spans="1:8" ht="12" customHeight="1">
      <c r="A184" s="10" t="s">
        <v>931</v>
      </c>
      <c r="B184" s="112" t="s">
        <v>2865</v>
      </c>
      <c r="C184" s="78">
        <v>2542</v>
      </c>
      <c r="D184" s="68"/>
      <c r="E184" s="29" cm="1">
        <f t="array" ref="E184">_xlfn.IFS(C184=":",":",C184&gt;=N$19,1,C184&gt;=N$20,2,C184&gt;=N$21,3,C184&gt;=N$22,4,C184&gt;=N$23,5,C184&lt;N$23,6)</f>
        <v>4</v>
      </c>
      <c r="F184" s="60"/>
      <c r="G184" s="8"/>
      <c r="H184" s="29"/>
    </row>
    <row r="185" spans="1:8" ht="12" customHeight="1">
      <c r="A185" s="10" t="s">
        <v>932</v>
      </c>
      <c r="B185" s="112" t="s">
        <v>933</v>
      </c>
      <c r="C185" s="78">
        <v>1627</v>
      </c>
      <c r="D185" s="68"/>
      <c r="E185" s="29" cm="1">
        <f t="array" ref="E185">_xlfn.IFS(C185=":",":",C185&gt;=N$19,1,C185&gt;=N$20,2,C185&gt;=N$21,3,C185&gt;=N$22,4,C185&gt;=N$23,5,C185&lt;N$23,6)</f>
        <v>5</v>
      </c>
      <c r="F185" s="60"/>
      <c r="G185" s="8"/>
      <c r="H185" s="29"/>
    </row>
    <row r="186" spans="1:8" ht="12" customHeight="1">
      <c r="A186" s="10" t="s">
        <v>934</v>
      </c>
      <c r="B186" s="112" t="s">
        <v>935</v>
      </c>
      <c r="C186" s="78">
        <v>2908</v>
      </c>
      <c r="D186" s="68"/>
      <c r="E186" s="29" cm="1">
        <f t="array" ref="E186">_xlfn.IFS(C186=":",":",C186&gt;=N$19,1,C186&gt;=N$20,2,C186&gt;=N$21,3,C186&gt;=N$22,4,C186&gt;=N$23,5,C186&lt;N$23,6)</f>
        <v>4</v>
      </c>
      <c r="F186" s="60"/>
      <c r="G186" s="8"/>
      <c r="H186" s="29"/>
    </row>
    <row r="187" spans="1:8" ht="12" customHeight="1">
      <c r="A187" s="10" t="s">
        <v>936</v>
      </c>
      <c r="B187" s="112" t="s">
        <v>937</v>
      </c>
      <c r="C187" s="78">
        <v>4667</v>
      </c>
      <c r="D187" s="68"/>
      <c r="E187" s="29" cm="1">
        <f t="array" ref="E187">_xlfn.IFS(C187=":",":",C187&gt;=N$19,1,C187&gt;=N$20,2,C187&gt;=N$21,3,C187&gt;=N$22,4,C187&gt;=N$23,5,C187&lt;N$23,6)</f>
        <v>3</v>
      </c>
      <c r="F187" s="60"/>
      <c r="G187" s="8"/>
      <c r="H187" s="29"/>
    </row>
    <row r="188" spans="1:8" ht="12" customHeight="1">
      <c r="A188" s="10" t="s">
        <v>938</v>
      </c>
      <c r="B188" s="112" t="s">
        <v>939</v>
      </c>
      <c r="C188" s="78">
        <v>10985</v>
      </c>
      <c r="D188" s="68"/>
      <c r="E188" s="29" cm="1">
        <f t="array" ref="E188">_xlfn.IFS(C188=":",":",C188&gt;=N$19,1,C188&gt;=N$20,2,C188&gt;=N$21,3,C188&gt;=N$22,4,C188&gt;=N$23,5,C188&lt;N$23,6)</f>
        <v>2</v>
      </c>
      <c r="F188" s="60"/>
      <c r="G188" s="8"/>
      <c r="H188" s="29"/>
    </row>
    <row r="189" spans="1:8" ht="12" customHeight="1">
      <c r="A189" s="10" t="s">
        <v>940</v>
      </c>
      <c r="B189" s="112" t="s">
        <v>941</v>
      </c>
      <c r="C189" s="78">
        <v>5804</v>
      </c>
      <c r="D189" s="68"/>
      <c r="E189" s="29" cm="1">
        <f t="array" ref="E189">_xlfn.IFS(C189=":",":",C189&gt;=N$19,1,C189&gt;=N$20,2,C189&gt;=N$21,3,C189&gt;=N$22,4,C189&gt;=N$23,5,C189&lt;N$23,6)</f>
        <v>3</v>
      </c>
      <c r="F189" s="60"/>
      <c r="G189" s="8"/>
      <c r="H189" s="29"/>
    </row>
    <row r="190" spans="1:8" ht="12" customHeight="1">
      <c r="A190" s="10" t="s">
        <v>942</v>
      </c>
      <c r="B190" s="112" t="s">
        <v>943</v>
      </c>
      <c r="C190" s="78">
        <v>4040</v>
      </c>
      <c r="D190" s="68"/>
      <c r="E190" s="29" cm="1">
        <f t="array" ref="E190">_xlfn.IFS(C190=":",":",C190&gt;=N$19,1,C190&gt;=N$20,2,C190&gt;=N$21,3,C190&gt;=N$22,4,C190&gt;=N$23,5,C190&lt;N$23,6)</f>
        <v>3</v>
      </c>
      <c r="F190" s="60"/>
      <c r="G190" s="8"/>
      <c r="H190" s="29"/>
    </row>
    <row r="191" spans="1:8" ht="12" customHeight="1">
      <c r="A191" s="10" t="s">
        <v>944</v>
      </c>
      <c r="B191" s="112" t="s">
        <v>945</v>
      </c>
      <c r="C191" s="78">
        <v>3004</v>
      </c>
      <c r="D191" s="68"/>
      <c r="E191" s="29" cm="1">
        <f t="array" ref="E191">_xlfn.IFS(C191=":",":",C191&gt;=N$19,1,C191&gt;=N$20,2,C191&gt;=N$21,3,C191&gt;=N$22,4,C191&gt;=N$23,5,C191&lt;N$23,6)</f>
        <v>4</v>
      </c>
      <c r="F191" s="60"/>
      <c r="G191" s="8"/>
      <c r="H191" s="29"/>
    </row>
    <row r="192" spans="1:8" ht="12" customHeight="1">
      <c r="A192" s="10" t="s">
        <v>946</v>
      </c>
      <c r="B192" s="112" t="s">
        <v>947</v>
      </c>
      <c r="C192" s="78">
        <v>2599</v>
      </c>
      <c r="D192" s="68"/>
      <c r="E192" s="29" cm="1">
        <f t="array" ref="E192">_xlfn.IFS(C192=":",":",C192&gt;=N$19,1,C192&gt;=N$20,2,C192&gt;=N$21,3,C192&gt;=N$22,4,C192&gt;=N$23,5,C192&lt;N$23,6)</f>
        <v>4</v>
      </c>
      <c r="F192" s="60"/>
      <c r="G192" s="8"/>
      <c r="H192" s="29"/>
    </row>
    <row r="193" spans="1:8" ht="12" customHeight="1">
      <c r="A193" s="10" t="s">
        <v>948</v>
      </c>
      <c r="B193" s="112" t="s">
        <v>949</v>
      </c>
      <c r="C193" s="78">
        <v>5926</v>
      </c>
      <c r="D193" s="68"/>
      <c r="E193" s="29" cm="1">
        <f t="array" ref="E193">_xlfn.IFS(C193=":",":",C193&gt;=N$19,1,C193&gt;=N$20,2,C193&gt;=N$21,3,C193&gt;=N$22,4,C193&gt;=N$23,5,C193&lt;N$23,6)</f>
        <v>3</v>
      </c>
      <c r="F193" s="60"/>
      <c r="G193" s="8"/>
      <c r="H193" s="29"/>
    </row>
    <row r="194" spans="1:8" ht="12" customHeight="1">
      <c r="A194" s="10" t="s">
        <v>950</v>
      </c>
      <c r="B194" s="112" t="s">
        <v>951</v>
      </c>
      <c r="C194" s="78">
        <v>1543</v>
      </c>
      <c r="D194" s="68"/>
      <c r="E194" s="29" cm="1">
        <f t="array" ref="E194">_xlfn.IFS(C194=":",":",C194&gt;=N$19,1,C194&gt;=N$20,2,C194&gt;=N$21,3,C194&gt;=N$22,4,C194&gt;=N$23,5,C194&lt;N$23,6)</f>
        <v>5</v>
      </c>
      <c r="F194" s="60"/>
      <c r="G194" s="8"/>
      <c r="H194" s="29"/>
    </row>
    <row r="195" spans="1:8" ht="12" customHeight="1">
      <c r="A195" s="10" t="s">
        <v>952</v>
      </c>
      <c r="B195" s="112" t="s">
        <v>953</v>
      </c>
      <c r="C195" s="78">
        <v>3296</v>
      </c>
      <c r="D195" s="68"/>
      <c r="E195" s="29" cm="1">
        <f t="array" ref="E195">_xlfn.IFS(C195=":",":",C195&gt;=N$19,1,C195&gt;=N$20,2,C195&gt;=N$21,3,C195&gt;=N$22,4,C195&gt;=N$23,5,C195&lt;N$23,6)</f>
        <v>4</v>
      </c>
      <c r="F195" s="60"/>
      <c r="G195" s="8"/>
      <c r="H195" s="29"/>
    </row>
    <row r="196" spans="1:8" ht="12" customHeight="1">
      <c r="A196" s="10" t="s">
        <v>954</v>
      </c>
      <c r="B196" s="112" t="s">
        <v>955</v>
      </c>
      <c r="C196" s="78">
        <v>2899</v>
      </c>
      <c r="D196" s="68"/>
      <c r="E196" s="29" cm="1">
        <f t="array" ref="E196">_xlfn.IFS(C196=":",":",C196&gt;=N$19,1,C196&gt;=N$20,2,C196&gt;=N$21,3,C196&gt;=N$22,4,C196&gt;=N$23,5,C196&lt;N$23,6)</f>
        <v>4</v>
      </c>
      <c r="F196" s="60"/>
      <c r="G196" s="8"/>
      <c r="H196" s="29"/>
    </row>
    <row r="197" spans="1:8" ht="12" customHeight="1">
      <c r="A197" s="10" t="s">
        <v>956</v>
      </c>
      <c r="B197" s="112" t="s">
        <v>957</v>
      </c>
      <c r="C197" s="78">
        <v>2585</v>
      </c>
      <c r="D197" s="68"/>
      <c r="E197" s="29" cm="1">
        <f t="array" ref="E197">_xlfn.IFS(C197=":",":",C197&gt;=N$19,1,C197&gt;=N$20,2,C197&gt;=N$21,3,C197&gt;=N$22,4,C197&gt;=N$23,5,C197&lt;N$23,6)</f>
        <v>4</v>
      </c>
      <c r="F197" s="60"/>
      <c r="G197" s="8"/>
      <c r="H197" s="29"/>
    </row>
    <row r="198" spans="1:8" ht="12" customHeight="1">
      <c r="A198" s="10" t="s">
        <v>958</v>
      </c>
      <c r="B198" s="112" t="s">
        <v>959</v>
      </c>
      <c r="C198" s="78">
        <v>3095</v>
      </c>
      <c r="D198" s="68"/>
      <c r="E198" s="29" cm="1">
        <f t="array" ref="E198">_xlfn.IFS(C198=":",":",C198&gt;=N$19,1,C198&gt;=N$20,2,C198&gt;=N$21,3,C198&gt;=N$22,4,C198&gt;=N$23,5,C198&lt;N$23,6)</f>
        <v>4</v>
      </c>
      <c r="F198" s="60"/>
      <c r="G198" s="8"/>
      <c r="H198" s="29"/>
    </row>
    <row r="199" spans="1:8" ht="12" customHeight="1">
      <c r="A199" s="10" t="s">
        <v>960</v>
      </c>
      <c r="B199" s="112" t="s">
        <v>961</v>
      </c>
      <c r="C199" s="78">
        <v>6257</v>
      </c>
      <c r="D199" s="68"/>
      <c r="E199" s="29" cm="1">
        <f t="array" ref="E199">_xlfn.IFS(C199=":",":",C199&gt;=N$19,1,C199&gt;=N$20,2,C199&gt;=N$21,3,C199&gt;=N$22,4,C199&gt;=N$23,5,C199&lt;N$23,6)</f>
        <v>3</v>
      </c>
      <c r="F199" s="60"/>
      <c r="G199" s="8"/>
      <c r="H199" s="29"/>
    </row>
    <row r="200" spans="1:8" ht="12" customHeight="1">
      <c r="A200" s="10" t="s">
        <v>962</v>
      </c>
      <c r="B200" s="112" t="s">
        <v>2866</v>
      </c>
      <c r="C200" s="78">
        <v>5341</v>
      </c>
      <c r="D200" s="68"/>
      <c r="E200" s="29" cm="1">
        <f t="array" ref="E200">_xlfn.IFS(C200=":",":",C200&gt;=N$19,1,C200&gt;=N$20,2,C200&gt;=N$21,3,C200&gt;=N$22,4,C200&gt;=N$23,5,C200&lt;N$23,6)</f>
        <v>3</v>
      </c>
      <c r="F200" s="60"/>
      <c r="G200" s="8"/>
      <c r="H200" s="29"/>
    </row>
    <row r="201" spans="1:8" ht="12" customHeight="1">
      <c r="A201" s="10" t="s">
        <v>963</v>
      </c>
      <c r="B201" s="112" t="s">
        <v>964</v>
      </c>
      <c r="C201" s="78">
        <v>2409</v>
      </c>
      <c r="D201" s="68"/>
      <c r="E201" s="29" cm="1">
        <f t="array" ref="E201">_xlfn.IFS(C201=":",":",C201&gt;=N$19,1,C201&gt;=N$20,2,C201&gt;=N$21,3,C201&gt;=N$22,4,C201&gt;=N$23,5,C201&lt;N$23,6)</f>
        <v>4</v>
      </c>
      <c r="F201" s="60"/>
      <c r="G201" s="8"/>
      <c r="H201" s="29"/>
    </row>
    <row r="202" spans="1:8" ht="12" customHeight="1">
      <c r="A202" s="10" t="s">
        <v>965</v>
      </c>
      <c r="B202" s="112" t="s">
        <v>966</v>
      </c>
      <c r="C202" s="78">
        <v>6121</v>
      </c>
      <c r="D202" s="68"/>
      <c r="E202" s="29" cm="1">
        <f t="array" ref="E202">_xlfn.IFS(C202=":",":",C202&gt;=N$19,1,C202&gt;=N$20,2,C202&gt;=N$21,3,C202&gt;=N$22,4,C202&gt;=N$23,5,C202&lt;N$23,6)</f>
        <v>3</v>
      </c>
      <c r="F202" s="60"/>
      <c r="G202" s="8"/>
      <c r="H202" s="29"/>
    </row>
    <row r="203" spans="1:8" ht="12" customHeight="1">
      <c r="A203" s="10" t="s">
        <v>967</v>
      </c>
      <c r="B203" s="112" t="s">
        <v>968</v>
      </c>
      <c r="C203" s="78">
        <v>2539</v>
      </c>
      <c r="D203" s="68"/>
      <c r="E203" s="29" cm="1">
        <f t="array" ref="E203">_xlfn.IFS(C203=":",":",C203&gt;=N$19,1,C203&gt;=N$20,2,C203&gt;=N$21,3,C203&gt;=N$22,4,C203&gt;=N$23,5,C203&lt;N$23,6)</f>
        <v>4</v>
      </c>
      <c r="F203" s="60"/>
      <c r="G203" s="8"/>
      <c r="H203" s="29"/>
    </row>
    <row r="204" spans="1:8" ht="12" customHeight="1">
      <c r="A204" s="10" t="s">
        <v>969</v>
      </c>
      <c r="B204" s="112" t="s">
        <v>970</v>
      </c>
      <c r="C204" s="78">
        <v>7478</v>
      </c>
      <c r="D204" s="68"/>
      <c r="E204" s="29" cm="1">
        <f t="array" ref="E204">_xlfn.IFS(C204=":",":",C204&gt;=N$19,1,C204&gt;=N$20,2,C204&gt;=N$21,3,C204&gt;=N$22,4,C204&gt;=N$23,5,C204&lt;N$23,6)</f>
        <v>3</v>
      </c>
      <c r="F204" s="60"/>
      <c r="G204" s="8"/>
      <c r="H204" s="29"/>
    </row>
    <row r="205" spans="1:8" ht="12" customHeight="1">
      <c r="A205" s="10" t="s">
        <v>971</v>
      </c>
      <c r="B205" s="112" t="s">
        <v>972</v>
      </c>
      <c r="C205" s="78">
        <v>2516</v>
      </c>
      <c r="D205" s="68"/>
      <c r="E205" s="29" cm="1">
        <f t="array" ref="E205">_xlfn.IFS(C205=":",":",C205&gt;=N$19,1,C205&gt;=N$20,2,C205&gt;=N$21,3,C205&gt;=N$22,4,C205&gt;=N$23,5,C205&lt;N$23,6)</f>
        <v>4</v>
      </c>
      <c r="F205" s="60"/>
      <c r="G205" s="8"/>
      <c r="H205" s="29"/>
    </row>
    <row r="206" spans="1:8" ht="12" customHeight="1">
      <c r="A206" s="10" t="s">
        <v>973</v>
      </c>
      <c r="B206" s="112" t="s">
        <v>974</v>
      </c>
      <c r="C206" s="78">
        <v>7735</v>
      </c>
      <c r="D206" s="68"/>
      <c r="E206" s="29" cm="1">
        <f t="array" ref="E206">_xlfn.IFS(C206=":",":",C206&gt;=N$19,1,C206&gt;=N$20,2,C206&gt;=N$21,3,C206&gt;=N$22,4,C206&gt;=N$23,5,C206&lt;N$23,6)</f>
        <v>2</v>
      </c>
      <c r="F206" s="60"/>
      <c r="G206" s="8"/>
      <c r="H206" s="29"/>
    </row>
    <row r="207" spans="1:8" ht="12" customHeight="1">
      <c r="A207" s="10" t="s">
        <v>975</v>
      </c>
      <c r="B207" s="112" t="s">
        <v>976</v>
      </c>
      <c r="C207" s="78">
        <v>2111</v>
      </c>
      <c r="D207" s="68"/>
      <c r="E207" s="29" cm="1">
        <f t="array" ref="E207">_xlfn.IFS(C207=":",":",C207&gt;=N$19,1,C207&gt;=N$20,2,C207&gt;=N$21,3,C207&gt;=N$22,4,C207&gt;=N$23,5,C207&lt;N$23,6)</f>
        <v>4</v>
      </c>
      <c r="F207" s="60"/>
      <c r="G207" s="8"/>
      <c r="H207" s="29"/>
    </row>
    <row r="208" spans="1:8" ht="12" customHeight="1">
      <c r="A208" s="10" t="s">
        <v>977</v>
      </c>
      <c r="B208" s="112" t="s">
        <v>978</v>
      </c>
      <c r="C208" s="78">
        <v>1685</v>
      </c>
      <c r="D208" s="68"/>
      <c r="E208" s="29" cm="1">
        <f t="array" ref="E208">_xlfn.IFS(C208=":",":",C208&gt;=N$19,1,C208&gt;=N$20,2,C208&gt;=N$21,3,C208&gt;=N$22,4,C208&gt;=N$23,5,C208&lt;N$23,6)</f>
        <v>5</v>
      </c>
      <c r="F208" s="60"/>
      <c r="G208" s="8"/>
      <c r="H208" s="29"/>
    </row>
    <row r="209" spans="1:8" ht="12" customHeight="1">
      <c r="A209" s="10" t="s">
        <v>979</v>
      </c>
      <c r="B209" s="112" t="s">
        <v>980</v>
      </c>
      <c r="C209" s="78">
        <v>1572</v>
      </c>
      <c r="D209" s="68"/>
      <c r="E209" s="29" cm="1">
        <f t="array" ref="E209">_xlfn.IFS(C209=":",":",C209&gt;=N$19,1,C209&gt;=N$20,2,C209&gt;=N$21,3,C209&gt;=N$22,4,C209&gt;=N$23,5,C209&lt;N$23,6)</f>
        <v>5</v>
      </c>
      <c r="F209" s="60"/>
      <c r="G209" s="8"/>
      <c r="H209" s="29"/>
    </row>
    <row r="210" spans="1:8" ht="12" customHeight="1">
      <c r="A210" s="10" t="s">
        <v>981</v>
      </c>
      <c r="B210" s="112" t="s">
        <v>2867</v>
      </c>
      <c r="C210" s="78">
        <v>4596</v>
      </c>
      <c r="D210" s="68"/>
      <c r="E210" s="29" cm="1">
        <f t="array" ref="E210">_xlfn.IFS(C210=":",":",C210&gt;=N$19,1,C210&gt;=N$20,2,C210&gt;=N$21,3,C210&gt;=N$22,4,C210&gt;=N$23,5,C210&lt;N$23,6)</f>
        <v>3</v>
      </c>
      <c r="F210" s="60"/>
      <c r="G210" s="8"/>
      <c r="H210" s="29"/>
    </row>
    <row r="211" spans="1:8" ht="12" customHeight="1">
      <c r="A211" s="10" t="s">
        <v>982</v>
      </c>
      <c r="B211" s="112" t="s">
        <v>983</v>
      </c>
      <c r="C211" s="78">
        <v>3098</v>
      </c>
      <c r="D211" s="68"/>
      <c r="E211" s="29" cm="1">
        <f t="array" ref="E211">_xlfn.IFS(C211=":",":",C211&gt;=N$19,1,C211&gt;=N$20,2,C211&gt;=N$21,3,C211&gt;=N$22,4,C211&gt;=N$23,5,C211&lt;N$23,6)</f>
        <v>4</v>
      </c>
      <c r="F211" s="60"/>
      <c r="G211" s="8"/>
      <c r="H211" s="29"/>
    </row>
    <row r="212" spans="1:8" ht="12" customHeight="1">
      <c r="A212" s="10" t="s">
        <v>984</v>
      </c>
      <c r="B212" s="112" t="s">
        <v>985</v>
      </c>
      <c r="C212" s="78">
        <v>9759</v>
      </c>
      <c r="D212" s="68"/>
      <c r="E212" s="29" cm="1">
        <f t="array" ref="E212">_xlfn.IFS(C212=":",":",C212&gt;=N$19,1,C212&gt;=N$20,2,C212&gt;=N$21,3,C212&gt;=N$22,4,C212&gt;=N$23,5,C212&lt;N$23,6)</f>
        <v>2</v>
      </c>
      <c r="F212" s="60"/>
      <c r="G212" s="8"/>
      <c r="H212" s="29"/>
    </row>
    <row r="213" spans="1:8" ht="12" customHeight="1">
      <c r="A213" s="10" t="s">
        <v>986</v>
      </c>
      <c r="B213" s="112" t="s">
        <v>987</v>
      </c>
      <c r="C213" s="78">
        <v>3980</v>
      </c>
      <c r="D213" s="68"/>
      <c r="E213" s="29" cm="1">
        <f t="array" ref="E213">_xlfn.IFS(C213=":",":",C213&gt;=N$19,1,C213&gt;=N$20,2,C213&gt;=N$21,3,C213&gt;=N$22,4,C213&gt;=N$23,5,C213&lt;N$23,6)</f>
        <v>3</v>
      </c>
      <c r="F213" s="60"/>
      <c r="G213" s="8"/>
      <c r="H213" s="29"/>
    </row>
    <row r="214" spans="1:8" ht="12" customHeight="1">
      <c r="A214" s="10" t="s">
        <v>988</v>
      </c>
      <c r="B214" s="112" t="s">
        <v>989</v>
      </c>
      <c r="C214" s="78">
        <v>4701</v>
      </c>
      <c r="D214" s="68"/>
      <c r="E214" s="29" cm="1">
        <f t="array" ref="E214">_xlfn.IFS(C214=":",":",C214&gt;=N$19,1,C214&gt;=N$20,2,C214&gt;=N$21,3,C214&gt;=N$22,4,C214&gt;=N$23,5,C214&lt;N$23,6)</f>
        <v>3</v>
      </c>
      <c r="F214" s="60"/>
      <c r="G214" s="8"/>
      <c r="H214" s="29"/>
    </row>
    <row r="215" spans="1:8" ht="12" customHeight="1">
      <c r="A215" s="10" t="s">
        <v>990</v>
      </c>
      <c r="B215" s="112" t="s">
        <v>991</v>
      </c>
      <c r="C215" s="78">
        <v>8200</v>
      </c>
      <c r="D215" s="68"/>
      <c r="E215" s="29" cm="1">
        <f t="array" ref="E215">_xlfn.IFS(C215=":",":",C215&gt;=N$19,1,C215&gt;=N$20,2,C215&gt;=N$21,3,C215&gt;=N$22,4,C215&gt;=N$23,5,C215&lt;N$23,6)</f>
        <v>2</v>
      </c>
      <c r="F215" s="60"/>
      <c r="G215" s="8"/>
      <c r="H215" s="29"/>
    </row>
    <row r="216" spans="1:8" ht="12" customHeight="1">
      <c r="A216" s="10" t="s">
        <v>992</v>
      </c>
      <c r="B216" s="112" t="s">
        <v>993</v>
      </c>
      <c r="C216" s="78">
        <v>2537</v>
      </c>
      <c r="D216" s="68"/>
      <c r="E216" s="29" cm="1">
        <f t="array" ref="E216">_xlfn.IFS(C216=":",":",C216&gt;=N$19,1,C216&gt;=N$20,2,C216&gt;=N$21,3,C216&gt;=N$22,4,C216&gt;=N$23,5,C216&lt;N$23,6)</f>
        <v>4</v>
      </c>
      <c r="F216" s="60"/>
      <c r="G216" s="8"/>
      <c r="H216" s="29"/>
    </row>
    <row r="217" spans="1:8" ht="12" customHeight="1">
      <c r="A217" s="10" t="s">
        <v>994</v>
      </c>
      <c r="B217" s="112" t="s">
        <v>995</v>
      </c>
      <c r="C217" s="78">
        <v>8845</v>
      </c>
      <c r="D217" s="68"/>
      <c r="E217" s="29" cm="1">
        <f t="array" ref="E217">_xlfn.IFS(C217=":",":",C217&gt;=N$19,1,C217&gt;=N$20,2,C217&gt;=N$21,3,C217&gt;=N$22,4,C217&gt;=N$23,5,C217&lt;N$23,6)</f>
        <v>2</v>
      </c>
      <c r="F217" s="60"/>
      <c r="G217" s="8"/>
      <c r="H217" s="29"/>
    </row>
    <row r="218" spans="1:8" ht="12" customHeight="1">
      <c r="A218" s="10" t="s">
        <v>996</v>
      </c>
      <c r="B218" s="112" t="s">
        <v>997</v>
      </c>
      <c r="C218" s="78">
        <v>7573</v>
      </c>
      <c r="D218" s="68"/>
      <c r="E218" s="29" cm="1">
        <f t="array" ref="E218">_xlfn.IFS(C218=":",":",C218&gt;=N$19,1,C218&gt;=N$20,2,C218&gt;=N$21,3,C218&gt;=N$22,4,C218&gt;=N$23,5,C218&lt;N$23,6)</f>
        <v>2</v>
      </c>
      <c r="F218" s="60"/>
      <c r="G218" s="8"/>
      <c r="H218" s="29"/>
    </row>
    <row r="219" spans="1:8" ht="12" customHeight="1">
      <c r="A219" s="10" t="s">
        <v>998</v>
      </c>
      <c r="B219" s="112" t="s">
        <v>999</v>
      </c>
      <c r="C219" s="78">
        <v>1896</v>
      </c>
      <c r="D219" s="68"/>
      <c r="E219" s="29" cm="1">
        <f t="array" ref="E219">_xlfn.IFS(C219=":",":",C219&gt;=N$19,1,C219&gt;=N$20,2,C219&gt;=N$21,3,C219&gt;=N$22,4,C219&gt;=N$23,5,C219&lt;N$23,6)</f>
        <v>5</v>
      </c>
      <c r="F219" s="60"/>
      <c r="G219" s="8"/>
      <c r="H219" s="29"/>
    </row>
    <row r="220" spans="1:8" ht="12" customHeight="1">
      <c r="A220" s="10" t="s">
        <v>1000</v>
      </c>
      <c r="B220" s="112" t="s">
        <v>1001</v>
      </c>
      <c r="C220" s="81">
        <v>7945</v>
      </c>
      <c r="D220" s="68"/>
      <c r="E220" s="29" cm="1">
        <f t="array" ref="E220">_xlfn.IFS(C220=":",":",C220&gt;=N$19,1,C220&gt;=N$20,2,C220&gt;=N$21,3,C220&gt;=N$22,4,C220&gt;=N$23,5,C220&lt;N$23,6)</f>
        <v>2</v>
      </c>
      <c r="F220" s="60"/>
      <c r="G220" s="8"/>
      <c r="H220" s="29"/>
    </row>
    <row r="221" spans="1:8" ht="12" customHeight="1">
      <c r="A221" s="10" t="s">
        <v>1002</v>
      </c>
      <c r="B221" s="112" t="s">
        <v>1003</v>
      </c>
      <c r="C221" s="81">
        <v>2043</v>
      </c>
      <c r="D221" s="68"/>
      <c r="E221" s="29" cm="1">
        <f t="array" ref="E221">_xlfn.IFS(C221=":",":",C221&gt;=N$19,1,C221&gt;=N$20,2,C221&gt;=N$21,3,C221&gt;=N$22,4,C221&gt;=N$23,5,C221&lt;N$23,6)</f>
        <v>4</v>
      </c>
      <c r="F221" s="60"/>
      <c r="G221" s="8"/>
      <c r="H221" s="29"/>
    </row>
    <row r="222" spans="1:8" ht="12" customHeight="1">
      <c r="A222" s="10" t="s">
        <v>1004</v>
      </c>
      <c r="B222" s="112" t="s">
        <v>1005</v>
      </c>
      <c r="C222" s="81">
        <v>3509</v>
      </c>
      <c r="D222" s="68"/>
      <c r="E222" s="29" cm="1">
        <f t="array" ref="E222">_xlfn.IFS(C222=":",":",C222&gt;=N$19,1,C222&gt;=N$20,2,C222&gt;=N$21,3,C222&gt;=N$22,4,C222&gt;=N$23,5,C222&lt;N$23,6)</f>
        <v>3</v>
      </c>
      <c r="F222" s="60"/>
      <c r="G222" s="8"/>
      <c r="H222" s="29"/>
    </row>
    <row r="223" spans="1:8" ht="12" customHeight="1">
      <c r="A223" s="10" t="s">
        <v>1006</v>
      </c>
      <c r="B223" s="112" t="s">
        <v>1007</v>
      </c>
      <c r="C223" s="78">
        <v>775</v>
      </c>
      <c r="D223" s="68"/>
      <c r="E223" s="29" cm="1">
        <f t="array" ref="E223">_xlfn.IFS(C223=":",":",C223&gt;=N$19,1,C223&gt;=N$20,2,C223&gt;=N$21,3,C223&gt;=N$22,4,C223&gt;=N$23,5,C223&lt;N$23,6)</f>
        <v>6</v>
      </c>
      <c r="F223" s="60"/>
      <c r="G223" s="8"/>
      <c r="H223" s="29"/>
    </row>
    <row r="224" spans="1:8" ht="12" customHeight="1">
      <c r="A224" s="10" t="s">
        <v>1008</v>
      </c>
      <c r="B224" s="112" t="s">
        <v>1009</v>
      </c>
      <c r="C224" s="81">
        <v>2872</v>
      </c>
      <c r="D224" s="68"/>
      <c r="E224" s="29" cm="1">
        <f t="array" ref="E224">_xlfn.IFS(C224=":",":",C224&gt;=N$19,1,C224&gt;=N$20,2,C224&gt;=N$21,3,C224&gt;=N$22,4,C224&gt;=N$23,5,C224&lt;N$23,6)</f>
        <v>4</v>
      </c>
      <c r="F224" s="60"/>
      <c r="G224" s="8"/>
      <c r="H224" s="29"/>
    </row>
    <row r="225" spans="1:8" ht="12" customHeight="1">
      <c r="A225" s="10" t="s">
        <v>1010</v>
      </c>
      <c r="B225" s="112" t="s">
        <v>1011</v>
      </c>
      <c r="C225" s="81">
        <v>3981</v>
      </c>
      <c r="D225" s="68"/>
      <c r="E225" s="29" cm="1">
        <f t="array" ref="E225">_xlfn.IFS(C225=":",":",C225&gt;=N$19,1,C225&gt;=N$20,2,C225&gt;=N$21,3,C225&gt;=N$22,4,C225&gt;=N$23,5,C225&lt;N$23,6)</f>
        <v>3</v>
      </c>
      <c r="F225" s="60"/>
      <c r="G225" s="8"/>
      <c r="H225" s="29"/>
    </row>
    <row r="226" spans="1:8" ht="12" customHeight="1">
      <c r="A226" s="10" t="s">
        <v>1012</v>
      </c>
      <c r="B226" s="112" t="s">
        <v>1013</v>
      </c>
      <c r="C226" s="78">
        <v>2236</v>
      </c>
      <c r="D226" s="68"/>
      <c r="E226" s="29" cm="1">
        <f t="array" ref="E226">_xlfn.IFS(C226=":",":",C226&gt;=N$19,1,C226&gt;=N$20,2,C226&gt;=N$21,3,C226&gt;=N$22,4,C226&gt;=N$23,5,C226&lt;N$23,6)</f>
        <v>4</v>
      </c>
      <c r="F226" s="60"/>
      <c r="G226" s="8"/>
      <c r="H226" s="29"/>
    </row>
    <row r="227" spans="1:8" ht="12" customHeight="1">
      <c r="A227" s="10" t="s">
        <v>1014</v>
      </c>
      <c r="B227" s="112" t="s">
        <v>1015</v>
      </c>
      <c r="C227" s="78">
        <v>5143</v>
      </c>
      <c r="D227" s="68"/>
      <c r="E227" s="29" cm="1">
        <f t="array" ref="E227">_xlfn.IFS(C227=":",":",C227&gt;=N$19,1,C227&gt;=N$20,2,C227&gt;=N$21,3,C227&gt;=N$22,4,C227&gt;=N$23,5,C227&lt;N$23,6)</f>
        <v>3</v>
      </c>
      <c r="F227" s="60"/>
      <c r="G227" s="8"/>
      <c r="H227" s="29"/>
    </row>
    <row r="228" spans="1:8" ht="12" customHeight="1">
      <c r="A228" s="10" t="s">
        <v>1016</v>
      </c>
      <c r="B228" s="112" t="s">
        <v>1017</v>
      </c>
      <c r="C228" s="78">
        <v>4510</v>
      </c>
      <c r="D228" s="68"/>
      <c r="E228" s="29" cm="1">
        <f t="array" ref="E228">_xlfn.IFS(C228=":",":",C228&gt;=N$19,1,C228&gt;=N$20,2,C228&gt;=N$21,3,C228&gt;=N$22,4,C228&gt;=N$23,5,C228&lt;N$23,6)</f>
        <v>3</v>
      </c>
      <c r="F228" s="60"/>
      <c r="G228" s="8"/>
      <c r="H228" s="29"/>
    </row>
    <row r="229" spans="1:8" ht="12" customHeight="1">
      <c r="A229" s="10" t="s">
        <v>1018</v>
      </c>
      <c r="B229" s="112" t="s">
        <v>1019</v>
      </c>
      <c r="C229" s="78">
        <v>1238</v>
      </c>
      <c r="D229" s="68"/>
      <c r="E229" s="29" cm="1">
        <f t="array" ref="E229">_xlfn.IFS(C229=":",":",C229&gt;=N$19,1,C229&gt;=N$20,2,C229&gt;=N$21,3,C229&gt;=N$22,4,C229&gt;=N$23,5,C229&lt;N$23,6)</f>
        <v>5</v>
      </c>
      <c r="F229" s="60"/>
      <c r="G229" s="8"/>
      <c r="H229" s="29"/>
    </row>
    <row r="230" spans="1:8" ht="12" customHeight="1">
      <c r="A230" s="10" t="s">
        <v>1020</v>
      </c>
      <c r="B230" s="112" t="s">
        <v>1021</v>
      </c>
      <c r="C230" s="78">
        <v>1485</v>
      </c>
      <c r="D230" s="68"/>
      <c r="E230" s="29" cm="1">
        <f t="array" ref="E230">_xlfn.IFS(C230=":",":",C230&gt;=N$19,1,C230&gt;=N$20,2,C230&gt;=N$21,3,C230&gt;=N$22,4,C230&gt;=N$23,5,C230&lt;N$23,6)</f>
        <v>5</v>
      </c>
      <c r="F230" s="60"/>
      <c r="G230" s="8"/>
      <c r="H230" s="29"/>
    </row>
    <row r="231" spans="1:8" ht="12" customHeight="1">
      <c r="A231" s="10" t="s">
        <v>1022</v>
      </c>
      <c r="B231" s="112" t="s">
        <v>2868</v>
      </c>
      <c r="C231" s="78">
        <v>1175</v>
      </c>
      <c r="D231" s="68"/>
      <c r="E231" s="29" cm="1">
        <f t="array" ref="E231">_xlfn.IFS(C231=":",":",C231&gt;=N$19,1,C231&gt;=N$20,2,C231&gt;=N$21,3,C231&gt;=N$22,4,C231&gt;=N$23,5,C231&lt;N$23,6)</f>
        <v>5</v>
      </c>
      <c r="F231" s="60"/>
      <c r="G231" s="8"/>
      <c r="H231" s="29"/>
    </row>
    <row r="232" spans="1:8" ht="12" customHeight="1">
      <c r="A232" s="10" t="s">
        <v>1023</v>
      </c>
      <c r="B232" s="112" t="s">
        <v>1024</v>
      </c>
      <c r="C232" s="78">
        <v>7594</v>
      </c>
      <c r="D232" s="68"/>
      <c r="E232" s="29" cm="1">
        <f t="array" ref="E232">_xlfn.IFS(C232=":",":",C232&gt;=N$19,1,C232&gt;=N$20,2,C232&gt;=N$21,3,C232&gt;=N$22,4,C232&gt;=N$23,5,C232&lt;N$23,6)</f>
        <v>2</v>
      </c>
      <c r="F232" s="60"/>
      <c r="G232" s="8"/>
      <c r="H232" s="29"/>
    </row>
    <row r="233" spans="1:8" ht="12" customHeight="1">
      <c r="A233" s="10" t="s">
        <v>1025</v>
      </c>
      <c r="B233" s="112" t="s">
        <v>1026</v>
      </c>
      <c r="C233" s="78">
        <v>2790</v>
      </c>
      <c r="D233" s="68"/>
      <c r="E233" s="29" cm="1">
        <f t="array" ref="E233">_xlfn.IFS(C233=":",":",C233&gt;=N$19,1,C233&gt;=N$20,2,C233&gt;=N$21,3,C233&gt;=N$22,4,C233&gt;=N$23,5,C233&lt;N$23,6)</f>
        <v>4</v>
      </c>
      <c r="F233" s="60"/>
      <c r="G233" s="8"/>
      <c r="H233" s="29"/>
    </row>
    <row r="234" spans="1:8" ht="12" customHeight="1">
      <c r="A234" s="10" t="s">
        <v>1027</v>
      </c>
      <c r="B234" s="112" t="s">
        <v>1028</v>
      </c>
      <c r="C234" s="78">
        <v>17723</v>
      </c>
      <c r="D234" s="68"/>
      <c r="E234" s="29" cm="1">
        <f t="array" ref="E234">_xlfn.IFS(C234=":",":",C234&gt;=N$19,1,C234&gt;=N$20,2,C234&gt;=N$21,3,C234&gt;=N$22,4,C234&gt;=N$23,5,C234&lt;N$23,6)</f>
        <v>1</v>
      </c>
      <c r="F234" s="60"/>
      <c r="G234" s="8"/>
      <c r="H234" s="29"/>
    </row>
    <row r="235" spans="1:8" ht="12" customHeight="1">
      <c r="A235" s="10" t="s">
        <v>1029</v>
      </c>
      <c r="B235" s="112" t="s">
        <v>1030</v>
      </c>
      <c r="C235" s="78">
        <v>23948</v>
      </c>
      <c r="D235" s="68"/>
      <c r="E235" s="29" cm="1">
        <f t="array" ref="E235">_xlfn.IFS(C235=":",":",C235&gt;=N$19,1,C235&gt;=N$20,2,C235&gt;=N$21,3,C235&gt;=N$22,4,C235&gt;=N$23,5,C235&lt;N$23,6)</f>
        <v>1</v>
      </c>
      <c r="F235" s="60"/>
      <c r="G235" s="8"/>
      <c r="H235" s="29"/>
    </row>
    <row r="236" spans="1:8" ht="12" customHeight="1">
      <c r="A236" s="10" t="s">
        <v>1031</v>
      </c>
      <c r="B236" s="112" t="s">
        <v>1032</v>
      </c>
      <c r="C236" s="78">
        <v>5675</v>
      </c>
      <c r="D236" s="68"/>
      <c r="E236" s="29" cm="1">
        <f t="array" ref="E236">_xlfn.IFS(C236=":",":",C236&gt;=N$19,1,C236&gt;=N$20,2,C236&gt;=N$21,3,C236&gt;=N$22,4,C236&gt;=N$23,5,C236&lt;N$23,6)</f>
        <v>3</v>
      </c>
      <c r="F236" s="60"/>
      <c r="G236" s="8"/>
      <c r="H236" s="29"/>
    </row>
    <row r="237" spans="1:8" ht="12" customHeight="1">
      <c r="A237" s="10" t="s">
        <v>1033</v>
      </c>
      <c r="B237" s="112" t="s">
        <v>1034</v>
      </c>
      <c r="C237" s="78">
        <v>2625</v>
      </c>
      <c r="D237" s="68"/>
      <c r="E237" s="29" cm="1">
        <f t="array" ref="E237">_xlfn.IFS(C237=":",":",C237&gt;=N$19,1,C237&gt;=N$20,2,C237&gt;=N$21,3,C237&gt;=N$22,4,C237&gt;=N$23,5,C237&lt;N$23,6)</f>
        <v>4</v>
      </c>
      <c r="F237" s="60"/>
      <c r="G237" s="8"/>
      <c r="H237" s="29"/>
    </row>
    <row r="238" spans="1:8" ht="12" customHeight="1">
      <c r="A238" s="10" t="s">
        <v>1035</v>
      </c>
      <c r="B238" s="112" t="s">
        <v>1036</v>
      </c>
      <c r="C238" s="78">
        <v>34689</v>
      </c>
      <c r="D238" s="68"/>
      <c r="E238" s="29" cm="1">
        <f t="array" ref="E238">_xlfn.IFS(C238=":",":",C238&gt;=N$19,1,C238&gt;=N$20,2,C238&gt;=N$21,3,C238&gt;=N$22,4,C238&gt;=N$23,5,C238&lt;N$23,6)</f>
        <v>1</v>
      </c>
      <c r="F238" s="60"/>
      <c r="G238" s="8"/>
      <c r="H238" s="29"/>
    </row>
    <row r="239" spans="1:8" ht="12" customHeight="1">
      <c r="A239" s="10" t="s">
        <v>1037</v>
      </c>
      <c r="B239" s="112" t="s">
        <v>106</v>
      </c>
      <c r="C239" s="78">
        <v>8295</v>
      </c>
      <c r="D239" s="68"/>
      <c r="E239" s="29" cm="1">
        <f t="array" ref="E239">_xlfn.IFS(C239=":",":",C239&gt;=N$19,1,C239&gt;=N$20,2,C239&gt;=N$21,3,C239&gt;=N$22,4,C239&gt;=N$23,5,C239&lt;N$23,6)</f>
        <v>2</v>
      </c>
      <c r="F239" s="60"/>
      <c r="G239" s="8"/>
      <c r="H239" s="29"/>
    </row>
    <row r="240" spans="1:8" ht="12" customHeight="1">
      <c r="A240" s="10" t="s">
        <v>1038</v>
      </c>
      <c r="B240" s="112" t="s">
        <v>1039</v>
      </c>
      <c r="C240" s="78">
        <v>3485</v>
      </c>
      <c r="D240" s="68"/>
      <c r="E240" s="29" cm="1">
        <f t="array" ref="E240">_xlfn.IFS(C240=":",":",C240&gt;=N$19,1,C240&gt;=N$20,2,C240&gt;=N$21,3,C240&gt;=N$22,4,C240&gt;=N$23,5,C240&lt;N$23,6)</f>
        <v>4</v>
      </c>
      <c r="F240" s="60"/>
      <c r="G240" s="8"/>
      <c r="H240" s="29"/>
    </row>
    <row r="241" spans="1:9" ht="12" customHeight="1">
      <c r="A241" s="10" t="s">
        <v>1040</v>
      </c>
      <c r="B241" s="112" t="s">
        <v>1041</v>
      </c>
      <c r="C241" s="78">
        <v>2977</v>
      </c>
      <c r="D241" s="68"/>
      <c r="E241" s="29" cm="1">
        <f t="array" ref="E241">_xlfn.IFS(C241=":",":",C241&gt;=N$19,1,C241&gt;=N$20,2,C241&gt;=N$21,3,C241&gt;=N$22,4,C241&gt;=N$23,5,C241&lt;N$23,6)</f>
        <v>4</v>
      </c>
      <c r="F241" s="60"/>
      <c r="G241" s="8"/>
      <c r="H241" s="29"/>
    </row>
    <row r="242" spans="1:9" ht="12" customHeight="1">
      <c r="A242" s="10" t="s">
        <v>1042</v>
      </c>
      <c r="B242" s="112" t="s">
        <v>1043</v>
      </c>
      <c r="C242" s="78">
        <v>2278</v>
      </c>
      <c r="D242" s="68"/>
      <c r="E242" s="29" cm="1">
        <f t="array" ref="E242">_xlfn.IFS(C242=":",":",C242&gt;=N$19,1,C242&gt;=N$20,2,C242&gt;=N$21,3,C242&gt;=N$22,4,C242&gt;=N$23,5,C242&lt;N$23,6)</f>
        <v>4</v>
      </c>
      <c r="F242" s="60"/>
      <c r="G242" s="8"/>
      <c r="H242" s="29"/>
    </row>
    <row r="243" spans="1:9" ht="12" customHeight="1">
      <c r="A243" s="10" t="s">
        <v>1044</v>
      </c>
      <c r="B243" s="112" t="s">
        <v>1045</v>
      </c>
      <c r="C243" s="78">
        <v>7239</v>
      </c>
      <c r="D243" s="68"/>
      <c r="E243" s="29" cm="1">
        <f t="array" ref="E243">_xlfn.IFS(C243=":",":",C243&gt;=N$19,1,C243&gt;=N$20,2,C243&gt;=N$21,3,C243&gt;=N$22,4,C243&gt;=N$23,5,C243&lt;N$23,6)</f>
        <v>3</v>
      </c>
      <c r="F243" s="60"/>
      <c r="G243" s="8"/>
      <c r="H243" s="29"/>
    </row>
    <row r="244" spans="1:9" ht="12" customHeight="1">
      <c r="A244" s="10" t="s">
        <v>1046</v>
      </c>
      <c r="B244" s="112" t="s">
        <v>1047</v>
      </c>
      <c r="C244" s="78">
        <v>3670</v>
      </c>
      <c r="D244" s="68"/>
      <c r="E244" s="29" cm="1">
        <f t="array" ref="E244">_xlfn.IFS(C244=":",":",C244&gt;=N$19,1,C244&gt;=N$20,2,C244&gt;=N$21,3,C244&gt;=N$22,4,C244&gt;=N$23,5,C244&lt;N$23,6)</f>
        <v>3</v>
      </c>
      <c r="F244" s="60"/>
      <c r="G244" s="8"/>
      <c r="H244" s="29"/>
    </row>
    <row r="245" spans="1:9" ht="12" customHeight="1">
      <c r="A245" s="10" t="s">
        <v>1048</v>
      </c>
      <c r="B245" s="112" t="s">
        <v>1049</v>
      </c>
      <c r="C245" s="78">
        <v>13008</v>
      </c>
      <c r="D245" s="68"/>
      <c r="E245" s="29" cm="1">
        <f t="array" ref="E245">_xlfn.IFS(C245=":",":",C245&gt;=N$19,1,C245&gt;=N$20,2,C245&gt;=N$21,3,C245&gt;=N$22,4,C245&gt;=N$23,5,C245&lt;N$23,6)</f>
        <v>2</v>
      </c>
      <c r="F245" s="60"/>
      <c r="G245" s="8"/>
      <c r="H245" s="29"/>
    </row>
    <row r="246" spans="1:9" ht="12" customHeight="1">
      <c r="A246" s="10" t="s">
        <v>1050</v>
      </c>
      <c r="B246" s="112" t="s">
        <v>1051</v>
      </c>
      <c r="C246" s="78">
        <v>1441</v>
      </c>
      <c r="D246" s="68"/>
      <c r="E246" s="29" cm="1">
        <f t="array" ref="E246">_xlfn.IFS(C246=":",":",C246&gt;=N$19,1,C246&gt;=N$20,2,C246&gt;=N$21,3,C246&gt;=N$22,4,C246&gt;=N$23,5,C246&lt;N$23,6)</f>
        <v>5</v>
      </c>
      <c r="F246" s="60"/>
      <c r="G246" s="8"/>
      <c r="H246" s="29"/>
      <c r="I246" s="63"/>
    </row>
    <row r="247" spans="1:9" ht="12" customHeight="1">
      <c r="A247" s="10" t="s">
        <v>1052</v>
      </c>
      <c r="B247" s="112" t="s">
        <v>1053</v>
      </c>
      <c r="C247" s="78">
        <v>1598</v>
      </c>
      <c r="D247" s="68"/>
      <c r="E247" s="29" cm="1">
        <f t="array" ref="E247">_xlfn.IFS(C247=":",":",C247&gt;=N$19,1,C247&gt;=N$20,2,C247&gt;=N$21,3,C247&gt;=N$22,4,C247&gt;=N$23,5,C247&lt;N$23,6)</f>
        <v>5</v>
      </c>
      <c r="F247" s="60"/>
      <c r="G247" s="8"/>
      <c r="H247" s="29"/>
      <c r="I247" s="63"/>
    </row>
    <row r="248" spans="1:9" ht="12" customHeight="1">
      <c r="A248" s="10" t="s">
        <v>1054</v>
      </c>
      <c r="B248" s="112" t="s">
        <v>1055</v>
      </c>
      <c r="C248" s="78">
        <v>1525</v>
      </c>
      <c r="D248" s="68"/>
      <c r="E248" s="29" cm="1">
        <f t="array" ref="E248">_xlfn.IFS(C248=":",":",C248&gt;=N$19,1,C248&gt;=N$20,2,C248&gt;=N$21,3,C248&gt;=N$22,4,C248&gt;=N$23,5,C248&lt;N$23,6)</f>
        <v>5</v>
      </c>
      <c r="F248" s="60"/>
      <c r="G248" s="8"/>
      <c r="H248" s="29"/>
      <c r="I248" s="56"/>
    </row>
    <row r="249" spans="1:9" ht="12" customHeight="1">
      <c r="A249" s="10" t="s">
        <v>1056</v>
      </c>
      <c r="B249" s="112" t="s">
        <v>1057</v>
      </c>
      <c r="C249" s="78">
        <v>2379</v>
      </c>
      <c r="D249" s="68"/>
      <c r="E249" s="29" cm="1">
        <f t="array" ref="E249">_xlfn.IFS(C249=":",":",C249&gt;=N$19,1,C249&gt;=N$20,2,C249&gt;=N$21,3,C249&gt;=N$22,4,C249&gt;=N$23,5,C249&lt;N$23,6)</f>
        <v>4</v>
      </c>
      <c r="F249" s="60"/>
      <c r="G249" s="8"/>
      <c r="H249" s="29"/>
      <c r="I249" s="56"/>
    </row>
    <row r="250" spans="1:9" ht="12" customHeight="1">
      <c r="A250" s="10" t="s">
        <v>1058</v>
      </c>
      <c r="B250" s="112" t="s">
        <v>1059</v>
      </c>
      <c r="C250" s="78">
        <v>8517</v>
      </c>
      <c r="D250" s="68"/>
      <c r="E250" s="29" cm="1">
        <f t="array" ref="E250">_xlfn.IFS(C250=":",":",C250&gt;=N$19,1,C250&gt;=N$20,2,C250&gt;=N$21,3,C250&gt;=N$22,4,C250&gt;=N$23,5,C250&lt;N$23,6)</f>
        <v>2</v>
      </c>
      <c r="F250" s="60"/>
      <c r="G250" s="8"/>
      <c r="H250" s="29"/>
      <c r="I250" s="56"/>
    </row>
    <row r="251" spans="1:9" ht="12" customHeight="1">
      <c r="A251" s="10" t="s">
        <v>1060</v>
      </c>
      <c r="B251" s="112" t="s">
        <v>1061</v>
      </c>
      <c r="C251" s="78">
        <v>6584</v>
      </c>
      <c r="D251" s="68"/>
      <c r="E251" s="29" cm="1">
        <f t="array" ref="E251">_xlfn.IFS(C251=":",":",C251&gt;=N$19,1,C251&gt;=N$20,2,C251&gt;=N$21,3,C251&gt;=N$22,4,C251&gt;=N$23,5,C251&lt;N$23,6)</f>
        <v>3</v>
      </c>
      <c r="F251" s="60"/>
      <c r="G251" s="8"/>
      <c r="H251" s="29"/>
      <c r="I251" s="56"/>
    </row>
    <row r="252" spans="1:9" ht="12" customHeight="1">
      <c r="A252" s="10" t="s">
        <v>1062</v>
      </c>
      <c r="B252" s="112" t="s">
        <v>1063</v>
      </c>
      <c r="C252" s="81">
        <v>8974</v>
      </c>
      <c r="D252" s="68"/>
      <c r="E252" s="29" cm="1">
        <f t="array" ref="E252">_xlfn.IFS(C252=":",":",C252&gt;=N$19,1,C252&gt;=N$20,2,C252&gt;=N$21,3,C252&gt;=N$22,4,C252&gt;=N$23,5,C252&lt;N$23,6)</f>
        <v>2</v>
      </c>
      <c r="F252" s="60"/>
      <c r="G252" s="8"/>
      <c r="H252" s="29"/>
      <c r="I252" s="56"/>
    </row>
    <row r="253" spans="1:9" ht="12" customHeight="1">
      <c r="A253" s="10" t="s">
        <v>1064</v>
      </c>
      <c r="B253" s="112" t="s">
        <v>1065</v>
      </c>
      <c r="C253" s="81">
        <v>4380</v>
      </c>
      <c r="D253" s="68"/>
      <c r="E253" s="29" cm="1">
        <f t="array" ref="E253">_xlfn.IFS(C253=":",":",C253&gt;=N$19,1,C253&gt;=N$20,2,C253&gt;=N$21,3,C253&gt;=N$22,4,C253&gt;=N$23,5,C253&lt;N$23,6)</f>
        <v>3</v>
      </c>
      <c r="F253" s="60"/>
      <c r="G253" s="8"/>
      <c r="H253" s="29"/>
      <c r="I253" s="56"/>
    </row>
    <row r="254" spans="1:9" ht="12" customHeight="1">
      <c r="A254" s="10" t="s">
        <v>1066</v>
      </c>
      <c r="B254" s="112" t="s">
        <v>1067</v>
      </c>
      <c r="C254" s="81">
        <v>4085</v>
      </c>
      <c r="D254" s="68"/>
      <c r="E254" s="29" cm="1">
        <f t="array" ref="E254">_xlfn.IFS(C254=":",":",C254&gt;=N$19,1,C254&gt;=N$20,2,C254&gt;=N$21,3,C254&gt;=N$22,4,C254&gt;=N$23,5,C254&lt;N$23,6)</f>
        <v>3</v>
      </c>
      <c r="F254" s="60"/>
      <c r="G254" s="8"/>
      <c r="H254" s="29"/>
      <c r="I254" s="56"/>
    </row>
    <row r="255" spans="1:9" ht="12" customHeight="1">
      <c r="A255" s="10" t="s">
        <v>1068</v>
      </c>
      <c r="B255" s="112" t="s">
        <v>1069</v>
      </c>
      <c r="C255" s="81">
        <v>6532</v>
      </c>
      <c r="D255" s="68"/>
      <c r="E255" s="29" cm="1">
        <f t="array" ref="E255">_xlfn.IFS(C255=":",":",C255&gt;=N$19,1,C255&gt;=N$20,2,C255&gt;=N$21,3,C255&gt;=N$22,4,C255&gt;=N$23,5,C255&lt;N$23,6)</f>
        <v>3</v>
      </c>
      <c r="F255" s="60"/>
      <c r="G255" s="8"/>
      <c r="H255" s="29"/>
      <c r="I255" s="56"/>
    </row>
    <row r="256" spans="1:9" ht="12" customHeight="1">
      <c r="A256" s="10" t="s">
        <v>1070</v>
      </c>
      <c r="B256" s="112" t="s">
        <v>1071</v>
      </c>
      <c r="C256" s="81">
        <v>3508</v>
      </c>
      <c r="D256" s="68"/>
      <c r="E256" s="29" cm="1">
        <f t="array" ref="E256">_xlfn.IFS(C256=":",":",C256&gt;=N$19,1,C256&gt;=N$20,2,C256&gt;=N$21,3,C256&gt;=N$22,4,C256&gt;=N$23,5,C256&lt;N$23,6)</f>
        <v>3</v>
      </c>
      <c r="F256" s="60"/>
      <c r="G256" s="8"/>
      <c r="H256" s="29"/>
      <c r="I256" s="56"/>
    </row>
    <row r="257" spans="1:9" ht="12" customHeight="1">
      <c r="A257" s="10" t="s">
        <v>1072</v>
      </c>
      <c r="B257" s="112" t="s">
        <v>1073</v>
      </c>
      <c r="C257" s="78">
        <v>7674</v>
      </c>
      <c r="D257" s="68"/>
      <c r="E257" s="29" cm="1">
        <f t="array" ref="E257">_xlfn.IFS(C257=":",":",C257&gt;=N$19,1,C257&gt;=N$20,2,C257&gt;=N$21,3,C257&gt;=N$22,4,C257&gt;=N$23,5,C257&lt;N$23,6)</f>
        <v>2</v>
      </c>
      <c r="F257" s="60"/>
      <c r="G257" s="8"/>
      <c r="H257" s="29"/>
      <c r="I257" s="56"/>
    </row>
    <row r="258" spans="1:9" ht="12" customHeight="1">
      <c r="A258" s="10" t="s">
        <v>1074</v>
      </c>
      <c r="B258" s="112" t="s">
        <v>1075</v>
      </c>
      <c r="C258" s="81">
        <v>4211</v>
      </c>
      <c r="D258" s="68"/>
      <c r="E258" s="29" cm="1">
        <f t="array" ref="E258">_xlfn.IFS(C258=":",":",C258&gt;=N$19,1,C258&gt;=N$20,2,C258&gt;=N$21,3,C258&gt;=N$22,4,C258&gt;=N$23,5,C258&lt;N$23,6)</f>
        <v>3</v>
      </c>
      <c r="F258" s="60"/>
      <c r="G258" s="8"/>
      <c r="H258" s="29"/>
      <c r="I258" s="56"/>
    </row>
    <row r="259" spans="1:9" ht="12" customHeight="1">
      <c r="A259" s="10" t="s">
        <v>1076</v>
      </c>
      <c r="B259" s="112" t="s">
        <v>1077</v>
      </c>
      <c r="C259" s="78">
        <v>3783</v>
      </c>
      <c r="D259" s="68"/>
      <c r="E259" s="29" cm="1">
        <f t="array" ref="E259">_xlfn.IFS(C259=":",":",C259&gt;=N$19,1,C259&gt;=N$20,2,C259&gt;=N$21,3,C259&gt;=N$22,4,C259&gt;=N$23,5,C259&lt;N$23,6)</f>
        <v>3</v>
      </c>
      <c r="F259" s="60"/>
      <c r="G259" s="8"/>
      <c r="H259" s="29"/>
      <c r="I259" s="56"/>
    </row>
    <row r="260" spans="1:9" ht="12" customHeight="1">
      <c r="A260" s="10" t="s">
        <v>1078</v>
      </c>
      <c r="B260" s="112" t="s">
        <v>112</v>
      </c>
      <c r="C260" s="78">
        <v>8674</v>
      </c>
      <c r="D260" s="68"/>
      <c r="E260" s="29" cm="1">
        <f t="array" ref="E260">_xlfn.IFS(C260=":",":",C260&gt;=N$19,1,C260&gt;=N$20,2,C260&gt;=N$21,3,C260&gt;=N$22,4,C260&gt;=N$23,5,C260&lt;N$23,6)</f>
        <v>2</v>
      </c>
      <c r="F260" s="60"/>
      <c r="G260" s="8"/>
      <c r="H260" s="29"/>
      <c r="I260" s="56"/>
    </row>
    <row r="261" spans="1:9" ht="12" customHeight="1">
      <c r="A261" s="10" t="s">
        <v>1079</v>
      </c>
      <c r="B261" s="112" t="s">
        <v>1080</v>
      </c>
      <c r="C261" s="78">
        <v>4905</v>
      </c>
      <c r="D261" s="68"/>
      <c r="E261" s="29" cm="1">
        <f t="array" ref="E261">_xlfn.IFS(C261=":",":",C261&gt;=N$19,1,C261&gt;=N$20,2,C261&gt;=N$21,3,C261&gt;=N$22,4,C261&gt;=N$23,5,C261&lt;N$23,6)</f>
        <v>3</v>
      </c>
      <c r="F261" s="60"/>
      <c r="G261" s="8"/>
      <c r="H261" s="29"/>
      <c r="I261" s="56"/>
    </row>
    <row r="262" spans="1:9" ht="12" customHeight="1">
      <c r="A262" s="10" t="s">
        <v>1081</v>
      </c>
      <c r="B262" s="112" t="s">
        <v>1082</v>
      </c>
      <c r="C262" s="78">
        <v>14560</v>
      </c>
      <c r="D262" s="68"/>
      <c r="E262" s="29" cm="1">
        <f t="array" ref="E262">_xlfn.IFS(C262=":",":",C262&gt;=N$19,1,C262&gt;=N$20,2,C262&gt;=N$21,3,C262&gt;=N$22,4,C262&gt;=N$23,5,C262&lt;N$23,6)</f>
        <v>2</v>
      </c>
      <c r="F262" s="60"/>
      <c r="G262" s="8"/>
      <c r="H262" s="29"/>
      <c r="I262" s="56"/>
    </row>
    <row r="263" spans="1:9" ht="12" customHeight="1">
      <c r="A263" s="10" t="s">
        <v>1083</v>
      </c>
      <c r="B263" s="112" t="s">
        <v>1084</v>
      </c>
      <c r="C263" s="78">
        <v>4775</v>
      </c>
      <c r="D263" s="68"/>
      <c r="E263" s="29" cm="1">
        <f t="array" ref="E263">_xlfn.IFS(C263=":",":",C263&gt;=N$19,1,C263&gt;=N$20,2,C263&gt;=N$21,3,C263&gt;=N$22,4,C263&gt;=N$23,5,C263&lt;N$23,6)</f>
        <v>3</v>
      </c>
      <c r="F263" s="60"/>
      <c r="G263" s="8"/>
      <c r="H263" s="29"/>
      <c r="I263" s="56"/>
    </row>
    <row r="264" spans="1:9" ht="12" customHeight="1">
      <c r="A264" s="10" t="s">
        <v>1085</v>
      </c>
      <c r="B264" s="112" t="s">
        <v>1086</v>
      </c>
      <c r="C264" s="78">
        <v>4220</v>
      </c>
      <c r="D264" s="68"/>
      <c r="E264" s="29" cm="1">
        <f t="array" ref="E264">_xlfn.IFS(C264=":",":",C264&gt;=N$19,1,C264&gt;=N$20,2,C264&gt;=N$21,3,C264&gt;=N$22,4,C264&gt;=N$23,5,C264&lt;N$23,6)</f>
        <v>3</v>
      </c>
      <c r="F264" s="60"/>
      <c r="G264" s="8"/>
      <c r="H264" s="29"/>
      <c r="I264" s="56"/>
    </row>
    <row r="265" spans="1:9" ht="12" customHeight="1">
      <c r="A265" s="10" t="s">
        <v>1087</v>
      </c>
      <c r="B265" s="112" t="s">
        <v>1088</v>
      </c>
      <c r="C265" s="78">
        <v>2202</v>
      </c>
      <c r="D265" s="68"/>
      <c r="E265" s="29" cm="1">
        <f t="array" ref="E265">_xlfn.IFS(C265=":",":",C265&gt;=N$19,1,C265&gt;=N$20,2,C265&gt;=N$21,3,C265&gt;=N$22,4,C265&gt;=N$23,5,C265&lt;N$23,6)</f>
        <v>4</v>
      </c>
      <c r="F265" s="60"/>
      <c r="G265" s="8"/>
      <c r="H265" s="29"/>
      <c r="I265" s="56"/>
    </row>
    <row r="266" spans="1:9" ht="12" customHeight="1">
      <c r="A266" s="10" t="s">
        <v>1089</v>
      </c>
      <c r="B266" s="112" t="s">
        <v>1090</v>
      </c>
      <c r="C266" s="78">
        <v>1703</v>
      </c>
      <c r="D266" s="68"/>
      <c r="E266" s="29" cm="1">
        <f t="array" ref="E266">_xlfn.IFS(C266=":",":",C266&gt;=N$19,1,C266&gt;=N$20,2,C266&gt;=N$21,3,C266&gt;=N$22,4,C266&gt;=N$23,5,C266&lt;N$23,6)</f>
        <v>5</v>
      </c>
      <c r="F266" s="60"/>
      <c r="G266" s="8"/>
      <c r="H266" s="29"/>
      <c r="I266" s="56"/>
    </row>
    <row r="267" spans="1:9" ht="12" customHeight="1">
      <c r="A267" s="10" t="s">
        <v>1091</v>
      </c>
      <c r="B267" s="112" t="s">
        <v>1092</v>
      </c>
      <c r="C267" s="78">
        <v>3856</v>
      </c>
      <c r="D267" s="68"/>
      <c r="E267" s="29" cm="1">
        <f t="array" ref="E267">_xlfn.IFS(C267=":",":",C267&gt;=N$19,1,C267&gt;=N$20,2,C267&gt;=N$21,3,C267&gt;=N$22,4,C267&gt;=N$23,5,C267&lt;N$23,6)</f>
        <v>3</v>
      </c>
      <c r="F267" s="60"/>
      <c r="G267" s="8"/>
      <c r="H267" s="29"/>
      <c r="I267" s="56"/>
    </row>
    <row r="268" spans="1:9" ht="12" customHeight="1">
      <c r="A268" s="10" t="s">
        <v>1093</v>
      </c>
      <c r="B268" s="112" t="s">
        <v>1094</v>
      </c>
      <c r="C268" s="78">
        <v>3490</v>
      </c>
      <c r="D268" s="68"/>
      <c r="E268" s="29" cm="1">
        <f t="array" ref="E268">_xlfn.IFS(C268=":",":",C268&gt;=N$19,1,C268&gt;=N$20,2,C268&gt;=N$21,3,C268&gt;=N$22,4,C268&gt;=N$23,5,C268&lt;N$23,6)</f>
        <v>4</v>
      </c>
      <c r="F268" s="60"/>
      <c r="G268" s="8"/>
      <c r="H268" s="29"/>
      <c r="I268" s="56"/>
    </row>
    <row r="269" spans="1:9" ht="12" customHeight="1">
      <c r="A269" s="10" t="s">
        <v>1095</v>
      </c>
      <c r="B269" s="112" t="s">
        <v>1096</v>
      </c>
      <c r="C269" s="78">
        <v>1949</v>
      </c>
      <c r="D269" s="68"/>
      <c r="E269" s="29" cm="1">
        <f t="array" ref="E269">_xlfn.IFS(C269=":",":",C269&gt;=N$19,1,C269&gt;=N$20,2,C269&gt;=N$21,3,C269&gt;=N$22,4,C269&gt;=N$23,5,C269&lt;N$23,6)</f>
        <v>5</v>
      </c>
      <c r="F269" s="60"/>
      <c r="G269" s="8"/>
      <c r="H269" s="29"/>
      <c r="I269" s="56"/>
    </row>
    <row r="270" spans="1:9" ht="12" customHeight="1">
      <c r="A270" s="10" t="s">
        <v>1097</v>
      </c>
      <c r="B270" s="112" t="s">
        <v>1098</v>
      </c>
      <c r="C270" s="78">
        <v>3991</v>
      </c>
      <c r="D270" s="68"/>
      <c r="E270" s="29" cm="1">
        <f t="array" ref="E270">_xlfn.IFS(C270=":",":",C270&gt;=N$19,1,C270&gt;=N$20,2,C270&gt;=N$21,3,C270&gt;=N$22,4,C270&gt;=N$23,5,C270&lt;N$23,6)</f>
        <v>3</v>
      </c>
      <c r="F270" s="60"/>
      <c r="G270" s="8"/>
      <c r="H270" s="29"/>
      <c r="I270" s="56"/>
    </row>
    <row r="271" spans="1:9" ht="12" customHeight="1">
      <c r="A271" s="10" t="s">
        <v>1099</v>
      </c>
      <c r="B271" s="112" t="s">
        <v>1100</v>
      </c>
      <c r="C271" s="78">
        <v>3344</v>
      </c>
      <c r="D271" s="68"/>
      <c r="E271" s="29" cm="1">
        <f t="array" ref="E271">_xlfn.IFS(C271=":",":",C271&gt;=N$19,1,C271&gt;=N$20,2,C271&gt;=N$21,3,C271&gt;=N$22,4,C271&gt;=N$23,5,C271&lt;N$23,6)</f>
        <v>4</v>
      </c>
      <c r="F271" s="60"/>
      <c r="G271" s="8"/>
      <c r="H271" s="29"/>
      <c r="I271" s="56"/>
    </row>
    <row r="272" spans="1:9" ht="12" customHeight="1">
      <c r="A272" s="10" t="s">
        <v>1101</v>
      </c>
      <c r="B272" s="112" t="s">
        <v>1102</v>
      </c>
      <c r="C272" s="78">
        <v>2402</v>
      </c>
      <c r="D272" s="68"/>
      <c r="E272" s="29" cm="1">
        <f t="array" ref="E272">_xlfn.IFS(C272=":",":",C272&gt;=N$19,1,C272&gt;=N$20,2,C272&gt;=N$21,3,C272&gt;=N$22,4,C272&gt;=N$23,5,C272&lt;N$23,6)</f>
        <v>4</v>
      </c>
      <c r="F272" s="60"/>
      <c r="G272" s="8"/>
      <c r="H272" s="29"/>
    </row>
    <row r="273" spans="1:8" ht="12" customHeight="1">
      <c r="A273" s="10" t="s">
        <v>1103</v>
      </c>
      <c r="B273" s="112" t="s">
        <v>1104</v>
      </c>
      <c r="C273" s="78">
        <v>4009</v>
      </c>
      <c r="D273" s="68"/>
      <c r="E273" s="29" cm="1">
        <f t="array" ref="E273">_xlfn.IFS(C273=":",":",C273&gt;=N$19,1,C273&gt;=N$20,2,C273&gt;=N$21,3,C273&gt;=N$22,4,C273&gt;=N$23,5,C273&lt;N$23,6)</f>
        <v>3</v>
      </c>
      <c r="F273" s="60"/>
      <c r="G273" s="8"/>
      <c r="H273" s="29"/>
    </row>
    <row r="274" spans="1:8" ht="12" customHeight="1">
      <c r="A274" s="10" t="s">
        <v>1105</v>
      </c>
      <c r="B274" s="112" t="s">
        <v>1106</v>
      </c>
      <c r="C274" s="78">
        <v>1638</v>
      </c>
      <c r="D274" s="68"/>
      <c r="E274" s="29" cm="1">
        <f t="array" ref="E274">_xlfn.IFS(C274=":",":",C274&gt;=N$19,1,C274&gt;=N$20,2,C274&gt;=N$21,3,C274&gt;=N$22,4,C274&gt;=N$23,5,C274&lt;N$23,6)</f>
        <v>5</v>
      </c>
      <c r="F274" s="60"/>
      <c r="G274" s="8"/>
      <c r="H274" s="29"/>
    </row>
    <row r="275" spans="1:8" ht="12" customHeight="1">
      <c r="A275" s="10" t="s">
        <v>1107</v>
      </c>
      <c r="B275" s="112" t="s">
        <v>1108</v>
      </c>
      <c r="C275" s="78">
        <v>1539</v>
      </c>
      <c r="D275" s="68"/>
      <c r="E275" s="29" cm="1">
        <f t="array" ref="E275">_xlfn.IFS(C275=":",":",C275&gt;=N$19,1,C275&gt;=N$20,2,C275&gt;=N$21,3,C275&gt;=N$22,4,C275&gt;=N$23,5,C275&lt;N$23,6)</f>
        <v>5</v>
      </c>
      <c r="F275" s="60"/>
      <c r="G275" s="8"/>
      <c r="H275" s="29"/>
    </row>
    <row r="276" spans="1:8" ht="12" customHeight="1">
      <c r="A276" s="10" t="s">
        <v>1109</v>
      </c>
      <c r="B276" s="112" t="s">
        <v>1110</v>
      </c>
      <c r="C276" s="78">
        <v>1794</v>
      </c>
      <c r="D276" s="68"/>
      <c r="E276" s="29" cm="1">
        <f t="array" ref="E276">_xlfn.IFS(C276=":",":",C276&gt;=N$19,1,C276&gt;=N$20,2,C276&gt;=N$21,3,C276&gt;=N$22,4,C276&gt;=N$23,5,C276&lt;N$23,6)</f>
        <v>5</v>
      </c>
      <c r="F276" s="60"/>
      <c r="G276" s="8"/>
      <c r="H276" s="29"/>
    </row>
    <row r="277" spans="1:8" ht="12" customHeight="1">
      <c r="A277" s="10" t="s">
        <v>1111</v>
      </c>
      <c r="B277" s="112" t="s">
        <v>1112</v>
      </c>
      <c r="C277" s="78">
        <v>2551</v>
      </c>
      <c r="D277" s="68"/>
      <c r="E277" s="29" cm="1">
        <f t="array" ref="E277">_xlfn.IFS(C277=":",":",C277&gt;=N$19,1,C277&gt;=N$20,2,C277&gt;=N$21,3,C277&gt;=N$22,4,C277&gt;=N$23,5,C277&lt;N$23,6)</f>
        <v>4</v>
      </c>
      <c r="F277" s="60"/>
      <c r="G277" s="8"/>
      <c r="H277" s="29"/>
    </row>
    <row r="278" spans="1:8" ht="12" customHeight="1">
      <c r="A278" s="10" t="s">
        <v>1113</v>
      </c>
      <c r="B278" s="112" t="s">
        <v>1114</v>
      </c>
      <c r="C278" s="78">
        <v>2188</v>
      </c>
      <c r="D278" s="68"/>
      <c r="E278" s="29" cm="1">
        <f t="array" ref="E278">_xlfn.IFS(C278=":",":",C278&gt;=N$19,1,C278&gt;=N$20,2,C278&gt;=N$21,3,C278&gt;=N$22,4,C278&gt;=N$23,5,C278&lt;N$23,6)</f>
        <v>4</v>
      </c>
      <c r="F278" s="60"/>
      <c r="G278" s="8"/>
      <c r="H278" s="29"/>
    </row>
    <row r="279" spans="1:8" ht="12" customHeight="1">
      <c r="A279" s="10" t="s">
        <v>1115</v>
      </c>
      <c r="B279" s="112" t="s">
        <v>1116</v>
      </c>
      <c r="C279" s="78">
        <v>3867</v>
      </c>
      <c r="D279" s="68"/>
      <c r="E279" s="29" cm="1">
        <f t="array" ref="E279">_xlfn.IFS(C279=":",":",C279&gt;=N$19,1,C279&gt;=N$20,2,C279&gt;=N$21,3,C279&gt;=N$22,4,C279&gt;=N$23,5,C279&lt;N$23,6)</f>
        <v>3</v>
      </c>
      <c r="F279" s="60"/>
      <c r="G279" s="8"/>
      <c r="H279" s="29"/>
    </row>
    <row r="280" spans="1:8" ht="12" customHeight="1">
      <c r="A280" s="10" t="s">
        <v>1117</v>
      </c>
      <c r="B280" s="112" t="s">
        <v>1118</v>
      </c>
      <c r="C280" s="78">
        <v>4273</v>
      </c>
      <c r="D280" s="68"/>
      <c r="E280" s="29" cm="1">
        <f t="array" ref="E280">_xlfn.IFS(C280=":",":",C280&gt;=N$19,1,C280&gt;=N$20,2,C280&gt;=N$21,3,C280&gt;=N$22,4,C280&gt;=N$23,5,C280&lt;N$23,6)</f>
        <v>3</v>
      </c>
      <c r="F280" s="60"/>
      <c r="G280" s="8"/>
      <c r="H280" s="29"/>
    </row>
    <row r="281" spans="1:8" ht="12" customHeight="1">
      <c r="A281" s="10" t="s">
        <v>1119</v>
      </c>
      <c r="B281" s="112" t="s">
        <v>1120</v>
      </c>
      <c r="C281" s="78">
        <v>6956</v>
      </c>
      <c r="D281" s="68"/>
      <c r="E281" s="29" cm="1">
        <f t="array" ref="E281">_xlfn.IFS(C281=":",":",C281&gt;=N$19,1,C281&gt;=N$20,2,C281&gt;=N$21,3,C281&gt;=N$22,4,C281&gt;=N$23,5,C281&lt;N$23,6)</f>
        <v>3</v>
      </c>
      <c r="F281" s="60"/>
      <c r="G281" s="8"/>
      <c r="H281" s="29"/>
    </row>
    <row r="282" spans="1:8" ht="12" customHeight="1">
      <c r="A282" s="10" t="s">
        <v>1121</v>
      </c>
      <c r="B282" s="112" t="s">
        <v>1122</v>
      </c>
      <c r="C282" s="78">
        <v>5085</v>
      </c>
      <c r="D282" s="68"/>
      <c r="E282" s="29" cm="1">
        <f t="array" ref="E282">_xlfn.IFS(C282=":",":",C282&gt;=N$19,1,C282&gt;=N$20,2,C282&gt;=N$21,3,C282&gt;=N$22,4,C282&gt;=N$23,5,C282&lt;N$23,6)</f>
        <v>3</v>
      </c>
      <c r="F282" s="60"/>
      <c r="G282" s="8"/>
      <c r="H282" s="29"/>
    </row>
    <row r="283" spans="1:8" ht="12" customHeight="1">
      <c r="A283" s="10" t="s">
        <v>1123</v>
      </c>
      <c r="B283" s="112" t="s">
        <v>1124</v>
      </c>
      <c r="C283" s="78">
        <v>2875</v>
      </c>
      <c r="D283" s="68"/>
      <c r="E283" s="29" cm="1">
        <f t="array" ref="E283">_xlfn.IFS(C283=":",":",C283&gt;=N$19,1,C283&gt;=N$20,2,C283&gt;=N$21,3,C283&gt;=N$22,4,C283&gt;=N$23,5,C283&lt;N$23,6)</f>
        <v>4</v>
      </c>
      <c r="F283" s="60"/>
      <c r="G283" s="8"/>
      <c r="H283" s="29"/>
    </row>
    <row r="284" spans="1:8" ht="12" customHeight="1">
      <c r="A284" s="10" t="s">
        <v>1125</v>
      </c>
      <c r="B284" s="112" t="s">
        <v>1126</v>
      </c>
      <c r="C284" s="78">
        <v>2501</v>
      </c>
      <c r="D284" s="68"/>
      <c r="E284" s="29" cm="1">
        <f t="array" ref="E284">_xlfn.IFS(C284=":",":",C284&gt;=N$19,1,C284&gt;=N$20,2,C284&gt;=N$21,3,C284&gt;=N$22,4,C284&gt;=N$23,5,C284&lt;N$23,6)</f>
        <v>4</v>
      </c>
      <c r="F284" s="60"/>
      <c r="G284" s="8"/>
      <c r="H284" s="29"/>
    </row>
    <row r="285" spans="1:8" ht="12" customHeight="1">
      <c r="A285" s="10" t="s">
        <v>1127</v>
      </c>
      <c r="B285" s="112" t="s">
        <v>1128</v>
      </c>
      <c r="C285" s="78">
        <v>13081</v>
      </c>
      <c r="D285" s="68"/>
      <c r="E285" s="29" cm="1">
        <f t="array" ref="E285">_xlfn.IFS(C285=":",":",C285&gt;=N$19,1,C285&gt;=N$20,2,C285&gt;=N$21,3,C285&gt;=N$22,4,C285&gt;=N$23,5,C285&lt;N$23,6)</f>
        <v>2</v>
      </c>
      <c r="F285" s="60"/>
      <c r="G285" s="8"/>
      <c r="H285" s="29"/>
    </row>
    <row r="286" spans="1:8" ht="12" customHeight="1">
      <c r="A286" s="10" t="s">
        <v>1129</v>
      </c>
      <c r="B286" s="112" t="s">
        <v>1130</v>
      </c>
      <c r="C286" s="78">
        <v>3492</v>
      </c>
      <c r="D286" s="68"/>
      <c r="E286" s="29" cm="1">
        <f t="array" ref="E286">_xlfn.IFS(C286=":",":",C286&gt;=N$19,1,C286&gt;=N$20,2,C286&gt;=N$21,3,C286&gt;=N$22,4,C286&gt;=N$23,5,C286&lt;N$23,6)</f>
        <v>4</v>
      </c>
      <c r="F286" s="60"/>
      <c r="G286" s="8"/>
      <c r="H286" s="74"/>
    </row>
    <row r="287" spans="1:8" ht="12" customHeight="1">
      <c r="A287" s="10" t="s">
        <v>1131</v>
      </c>
      <c r="B287" s="112" t="s">
        <v>1132</v>
      </c>
      <c r="C287" s="78">
        <v>10507</v>
      </c>
      <c r="D287" s="68"/>
      <c r="E287" s="29" cm="1">
        <f t="array" ref="E287">_xlfn.IFS(C287=":",":",C287&gt;=N$19,1,C287&gt;=N$20,2,C287&gt;=N$21,3,C287&gt;=N$22,4,C287&gt;=N$23,5,C287&lt;N$23,6)</f>
        <v>2</v>
      </c>
      <c r="F287" s="60"/>
      <c r="G287" s="8"/>
    </row>
    <row r="288" spans="1:8" s="44" customFormat="1" ht="12" customHeight="1">
      <c r="A288" s="10" t="s">
        <v>1133</v>
      </c>
      <c r="B288" s="112" t="s">
        <v>1134</v>
      </c>
      <c r="C288" s="78">
        <v>4473</v>
      </c>
      <c r="D288" s="68"/>
      <c r="E288" s="29" cm="1">
        <f t="array" ref="E288">_xlfn.IFS(C288=":",":",C288&gt;=N$19,1,C288&gt;=N$20,2,C288&gt;=N$21,3,C288&gt;=N$22,4,C288&gt;=N$23,5,C288&lt;N$23,6)</f>
        <v>3</v>
      </c>
      <c r="F288" s="60"/>
      <c r="G288" s="8"/>
    </row>
    <row r="289" spans="1:7" s="44" customFormat="1" ht="12" customHeight="1">
      <c r="A289" s="10" t="s">
        <v>1135</v>
      </c>
      <c r="B289" s="11" t="s">
        <v>1136</v>
      </c>
      <c r="C289" s="81">
        <v>13236</v>
      </c>
      <c r="D289" s="68"/>
      <c r="E289" s="29" cm="1">
        <f t="array" ref="E289">_xlfn.IFS(C289=":",":",C289&gt;=N$19,1,C289&gt;=N$20,2,C289&gt;=N$21,3,C289&gt;=N$22,4,C289&gt;=N$23,5,C289&lt;N$23,6)</f>
        <v>2</v>
      </c>
      <c r="F289" s="60"/>
      <c r="G289" s="8"/>
    </row>
    <row r="290" spans="1:7" s="44" customFormat="1" ht="12" customHeight="1">
      <c r="A290" s="10" t="s">
        <v>1137</v>
      </c>
      <c r="B290" s="112" t="s">
        <v>1138</v>
      </c>
      <c r="C290" s="78">
        <v>21055</v>
      </c>
      <c r="D290" s="68"/>
      <c r="E290" s="29" cm="1">
        <f t="array" ref="E290">_xlfn.IFS(C290=":",":",C290&gt;=N$19,1,C290&gt;=N$20,2,C290&gt;=N$21,3,C290&gt;=N$22,4,C290&gt;=N$23,5,C290&lt;N$23,6)</f>
        <v>1</v>
      </c>
      <c r="F290" s="60"/>
      <c r="G290" s="8"/>
    </row>
    <row r="291" spans="1:7" s="44" customFormat="1" ht="12" customHeight="1">
      <c r="A291" s="10" t="s">
        <v>1139</v>
      </c>
      <c r="B291" s="112" t="s">
        <v>1140</v>
      </c>
      <c r="C291" s="78">
        <v>43123</v>
      </c>
      <c r="D291" s="68"/>
      <c r="E291" s="29" cm="1">
        <f t="array" ref="E291">_xlfn.IFS(C291=":",":",C291&gt;=N$19,1,C291&gt;=N$20,2,C291&gt;=N$21,3,C291&gt;=N$22,4,C291&gt;=N$23,5,C291&lt;N$23,6)</f>
        <v>1</v>
      </c>
      <c r="F291" s="60"/>
      <c r="G291" s="8"/>
    </row>
    <row r="292" spans="1:7" s="44" customFormat="1" ht="12" customHeight="1">
      <c r="A292" s="10" t="s">
        <v>1141</v>
      </c>
      <c r="B292" s="112" t="s">
        <v>1142</v>
      </c>
      <c r="C292" s="78">
        <v>13960</v>
      </c>
      <c r="D292" s="68"/>
      <c r="E292" s="29" cm="1">
        <f t="array" ref="E292">_xlfn.IFS(C292=":",":",C292&gt;=N$19,1,C292&gt;=N$20,2,C292&gt;=N$21,3,C292&gt;=N$22,4,C292&gt;=N$23,5,C292&lt;N$23,6)</f>
        <v>2</v>
      </c>
      <c r="F292" s="60"/>
      <c r="G292" s="8"/>
    </row>
    <row r="293" spans="1:7" s="44" customFormat="1" ht="12" customHeight="1">
      <c r="A293" s="10" t="s">
        <v>1143</v>
      </c>
      <c r="B293" s="112" t="s">
        <v>1144</v>
      </c>
      <c r="C293" s="78">
        <v>26122</v>
      </c>
      <c r="D293" s="68"/>
      <c r="E293" s="29" cm="1">
        <f t="array" ref="E293">_xlfn.IFS(C293=":",":",C293&gt;=N$19,1,C293&gt;=N$20,2,C293&gt;=N$21,3,C293&gt;=N$22,4,C293&gt;=N$23,5,C293&lt;N$23,6)</f>
        <v>1</v>
      </c>
      <c r="F293" s="60"/>
      <c r="G293" s="8"/>
    </row>
    <row r="294" spans="1:7" s="44" customFormat="1" ht="12" customHeight="1">
      <c r="A294" s="10" t="s">
        <v>1145</v>
      </c>
      <c r="B294" s="112" t="s">
        <v>1146</v>
      </c>
      <c r="C294" s="78">
        <v>4346</v>
      </c>
      <c r="D294" s="76"/>
      <c r="E294" s="29" cm="1">
        <f t="array" ref="E294">_xlfn.IFS(C294=":",":",C294&gt;=N$19,1,C294&gt;=N$20,2,C294&gt;=N$21,3,C294&gt;=N$22,4,C294&gt;=N$23,5,C294&lt;N$23,6)</f>
        <v>3</v>
      </c>
      <c r="F294" s="60"/>
      <c r="G294" s="8"/>
    </row>
    <row r="295" spans="1:7" s="44" customFormat="1" ht="12" customHeight="1">
      <c r="A295" s="10" t="s">
        <v>1147</v>
      </c>
      <c r="B295" s="112" t="s">
        <v>1148</v>
      </c>
      <c r="C295" s="78">
        <v>2869</v>
      </c>
      <c r="D295" s="76"/>
      <c r="E295" s="29" cm="1">
        <f t="array" ref="E295">_xlfn.IFS(C295=":",":",C295&gt;=N$19,1,C295&gt;=N$20,2,C295&gt;=N$21,3,C295&gt;=N$22,4,C295&gt;=N$23,5,C295&lt;N$23,6)</f>
        <v>4</v>
      </c>
      <c r="F295" s="60"/>
      <c r="G295" s="8"/>
    </row>
    <row r="296" spans="1:7" s="44" customFormat="1" ht="12" customHeight="1">
      <c r="A296" s="10" t="s">
        <v>1149</v>
      </c>
      <c r="B296" s="112" t="s">
        <v>1150</v>
      </c>
      <c r="C296" s="78">
        <v>1774</v>
      </c>
      <c r="D296" s="77"/>
      <c r="E296" s="29" cm="1">
        <f t="array" ref="E296">_xlfn.IFS(C296=":",":",C296&gt;=N$19,1,C296&gt;=N$20,2,C296&gt;=N$21,3,C296&gt;=N$22,4,C296&gt;=N$23,5,C296&lt;N$23,6)</f>
        <v>5</v>
      </c>
      <c r="F296" s="60"/>
      <c r="G296" s="8"/>
    </row>
    <row r="297" spans="1:7" s="44" customFormat="1" ht="12" customHeight="1">
      <c r="A297" s="10" t="s">
        <v>1151</v>
      </c>
      <c r="B297" s="112" t="s">
        <v>1152</v>
      </c>
      <c r="C297" s="78">
        <v>5055</v>
      </c>
      <c r="D297" s="24"/>
      <c r="E297" s="29" cm="1">
        <f t="array" ref="E297">_xlfn.IFS(C297=":",":",C297&gt;=N$19,1,C297&gt;=N$20,2,C297&gt;=N$21,3,C297&gt;=N$22,4,C297&gt;=N$23,5,C297&lt;N$23,6)</f>
        <v>3</v>
      </c>
      <c r="F297" s="60"/>
      <c r="G297" s="8"/>
    </row>
    <row r="298" spans="1:7" s="44" customFormat="1" ht="12" customHeight="1">
      <c r="A298" s="10" t="s">
        <v>1153</v>
      </c>
      <c r="B298" s="112" t="s">
        <v>1154</v>
      </c>
      <c r="C298" s="78">
        <v>1674</v>
      </c>
      <c r="D298" s="76"/>
      <c r="E298" s="29" cm="1">
        <f t="array" ref="E298">_xlfn.IFS(C298=":",":",C298&gt;=N$19,1,C298&gt;=N$20,2,C298&gt;=N$21,3,C298&gt;=N$22,4,C298&gt;=N$23,5,C298&lt;N$23,6)</f>
        <v>5</v>
      </c>
      <c r="F298" s="60"/>
      <c r="G298" s="8"/>
    </row>
    <row r="299" spans="1:7" s="44" customFormat="1" ht="12" customHeight="1">
      <c r="A299" s="10" t="s">
        <v>1155</v>
      </c>
      <c r="B299" s="112" t="s">
        <v>1156</v>
      </c>
      <c r="C299" s="78">
        <v>17011</v>
      </c>
      <c r="D299" s="76"/>
      <c r="E299" s="29" cm="1">
        <f t="array" ref="E299">_xlfn.IFS(C299=":",":",C299&gt;=N$19,1,C299&gt;=N$20,2,C299&gt;=N$21,3,C299&gt;=N$22,4,C299&gt;=N$23,5,C299&lt;N$23,6)</f>
        <v>1</v>
      </c>
      <c r="F299" s="60"/>
      <c r="G299" s="8"/>
    </row>
    <row r="300" spans="1:7" s="44" customFormat="1" ht="12" customHeight="1">
      <c r="A300" s="10" t="s">
        <v>1157</v>
      </c>
      <c r="B300" s="112" t="s">
        <v>1158</v>
      </c>
      <c r="C300" s="78">
        <v>1297</v>
      </c>
      <c r="D300" s="76"/>
      <c r="E300" s="29" cm="1">
        <f t="array" ref="E300">_xlfn.IFS(C300=":",":",C300&gt;=N$19,1,C300&gt;=N$20,2,C300&gt;=N$21,3,C300&gt;=N$22,4,C300&gt;=N$23,5,C300&lt;N$23,6)</f>
        <v>5</v>
      </c>
      <c r="F300" s="60"/>
      <c r="G300" s="8"/>
    </row>
    <row r="301" spans="1:7" s="44" customFormat="1" ht="12" customHeight="1">
      <c r="A301" s="10" t="s">
        <v>1159</v>
      </c>
      <c r="B301" s="112" t="s">
        <v>1160</v>
      </c>
      <c r="C301" s="78">
        <v>2314</v>
      </c>
      <c r="D301" s="28"/>
      <c r="E301" s="29" cm="1">
        <f t="array" ref="E301">_xlfn.IFS(C301=":",":",C301&gt;=N$19,1,C301&gt;=N$20,2,C301&gt;=N$21,3,C301&gt;=N$22,4,C301&gt;=N$23,5,C301&lt;N$23,6)</f>
        <v>4</v>
      </c>
      <c r="F301" s="60"/>
      <c r="G301" s="8"/>
    </row>
    <row r="302" spans="1:7" s="44" customFormat="1" ht="12" customHeight="1">
      <c r="A302" s="10" t="s">
        <v>1161</v>
      </c>
      <c r="B302" s="112" t="s">
        <v>1162</v>
      </c>
      <c r="C302" s="78">
        <v>777</v>
      </c>
      <c r="D302" s="76"/>
      <c r="E302" s="29" cm="1">
        <f t="array" ref="E302">_xlfn.IFS(C302=":",":",C302&gt;=N$19,1,C302&gt;=N$20,2,C302&gt;=N$21,3,C302&gt;=N$22,4,C302&gt;=N$23,5,C302&lt;N$23,6)</f>
        <v>6</v>
      </c>
      <c r="F302" s="60"/>
      <c r="G302" s="8"/>
    </row>
    <row r="303" spans="1:7" s="44" customFormat="1" ht="12" customHeight="1">
      <c r="A303" s="10" t="s">
        <v>1163</v>
      </c>
      <c r="B303" s="112" t="s">
        <v>1164</v>
      </c>
      <c r="C303" s="78">
        <v>816</v>
      </c>
      <c r="D303" s="76"/>
      <c r="E303" s="29" cm="1">
        <f t="array" ref="E303">_xlfn.IFS(C303=":",":",C303&gt;=N$19,1,C303&gt;=N$20,2,C303&gt;=N$21,3,C303&gt;=N$22,4,C303&gt;=N$23,5,C303&lt;N$23,6)</f>
        <v>6</v>
      </c>
      <c r="F303" s="60"/>
      <c r="G303" s="8"/>
    </row>
    <row r="304" spans="1:7" s="44" customFormat="1" ht="12" customHeight="1">
      <c r="A304" s="10" t="s">
        <v>1165</v>
      </c>
      <c r="B304" s="112" t="s">
        <v>1166</v>
      </c>
      <c r="C304" s="78">
        <v>5394</v>
      </c>
      <c r="D304" s="76"/>
      <c r="E304" s="29" cm="1">
        <f t="array" ref="E304">_xlfn.IFS(C304=":",":",C304&gt;=N$19,1,C304&gt;=N$20,2,C304&gt;=N$21,3,C304&gt;=N$22,4,C304&gt;=N$23,5,C304&lt;N$23,6)</f>
        <v>3</v>
      </c>
      <c r="F304" s="60"/>
      <c r="G304" s="8"/>
    </row>
    <row r="305" spans="1:8" s="44" customFormat="1" ht="12" customHeight="1">
      <c r="A305" s="10" t="s">
        <v>1167</v>
      </c>
      <c r="B305" s="112" t="s">
        <v>1168</v>
      </c>
      <c r="C305" s="78">
        <v>3141</v>
      </c>
      <c r="D305" s="76"/>
      <c r="E305" s="29" cm="1">
        <f t="array" ref="E305">_xlfn.IFS(C305=":",":",C305&gt;=N$19,1,C305&gt;=N$20,2,C305&gt;=N$21,3,C305&gt;=N$22,4,C305&gt;=N$23,5,C305&lt;N$23,6)</f>
        <v>4</v>
      </c>
      <c r="F305" s="60"/>
      <c r="G305" s="8"/>
    </row>
    <row r="306" spans="1:8" s="44" customFormat="1" ht="12" customHeight="1">
      <c r="A306" s="10" t="s">
        <v>1169</v>
      </c>
      <c r="B306" s="112" t="s">
        <v>1170</v>
      </c>
      <c r="C306" s="78">
        <v>3799</v>
      </c>
      <c r="D306" s="76"/>
      <c r="E306" s="29" cm="1">
        <f t="array" ref="E306">_xlfn.IFS(C306=":",":",C306&gt;=N$19,1,C306&gt;=N$20,2,C306&gt;=N$21,3,C306&gt;=N$22,4,C306&gt;=N$23,5,C306&lt;N$23,6)</f>
        <v>3</v>
      </c>
      <c r="F306" s="60"/>
      <c r="G306" s="8"/>
    </row>
    <row r="307" spans="1:8" s="44" customFormat="1" ht="12" customHeight="1">
      <c r="A307" s="10" t="s">
        <v>1171</v>
      </c>
      <c r="B307" s="112" t="s">
        <v>1172</v>
      </c>
      <c r="C307" s="78">
        <v>1738</v>
      </c>
      <c r="D307" s="76"/>
      <c r="E307" s="29" cm="1">
        <f t="array" ref="E307">_xlfn.IFS(C307=":",":",C307&gt;=N$19,1,C307&gt;=N$20,2,C307&gt;=N$21,3,C307&gt;=N$22,4,C307&gt;=N$23,5,C307&lt;N$23,6)</f>
        <v>5</v>
      </c>
      <c r="F307" s="60"/>
      <c r="G307" s="8"/>
    </row>
    <row r="308" spans="1:8" s="44" customFormat="1" ht="12" customHeight="1">
      <c r="A308" s="10" t="s">
        <v>1173</v>
      </c>
      <c r="B308" s="112" t="s">
        <v>1174</v>
      </c>
      <c r="C308" s="78">
        <v>2800</v>
      </c>
      <c r="D308" s="68"/>
      <c r="E308" s="29" cm="1">
        <f t="array" ref="E308">_xlfn.IFS(C308=":",":",C308&gt;=N$19,1,C308&gt;=N$20,2,C308&gt;=N$21,3,C308&gt;=N$22,4,C308&gt;=N$23,5,C308&lt;N$23,6)</f>
        <v>4</v>
      </c>
      <c r="F308" s="60"/>
      <c r="G308" s="8"/>
    </row>
    <row r="309" spans="1:8" s="44" customFormat="1" ht="12" customHeight="1">
      <c r="A309" s="10" t="s">
        <v>1175</v>
      </c>
      <c r="B309" s="112" t="s">
        <v>1176</v>
      </c>
      <c r="C309" s="78">
        <v>1962</v>
      </c>
      <c r="D309" s="68"/>
      <c r="E309" s="29" cm="1">
        <f t="array" ref="E309">_xlfn.IFS(C309=":",":",C309&gt;=N$19,1,C309&gt;=N$20,2,C309&gt;=N$21,3,C309&gt;=N$22,4,C309&gt;=N$23,5,C309&lt;N$23,6)</f>
        <v>5</v>
      </c>
      <c r="F309" s="60"/>
      <c r="G309" s="8"/>
    </row>
    <row r="310" spans="1:8" s="44" customFormat="1" ht="12" customHeight="1">
      <c r="A310" s="10" t="s">
        <v>1177</v>
      </c>
      <c r="B310" s="112" t="s">
        <v>1178</v>
      </c>
      <c r="C310" s="78">
        <v>2206</v>
      </c>
      <c r="D310" s="68"/>
      <c r="E310" s="29" cm="1">
        <f t="array" ref="E310">_xlfn.IFS(C310=":",":",C310&gt;=N$19,1,C310&gt;=N$20,2,C310&gt;=N$21,3,C310&gt;=N$22,4,C310&gt;=N$23,5,C310&lt;N$23,6)</f>
        <v>4</v>
      </c>
      <c r="F310" s="60"/>
      <c r="G310" s="8"/>
    </row>
    <row r="311" spans="1:8" s="44" customFormat="1" ht="12" customHeight="1">
      <c r="A311" s="10" t="s">
        <v>1179</v>
      </c>
      <c r="B311" s="112" t="s">
        <v>1180</v>
      </c>
      <c r="C311" s="78">
        <v>3401</v>
      </c>
      <c r="D311" s="68"/>
      <c r="E311" s="29" cm="1">
        <f t="array" ref="E311">_xlfn.IFS(C311=":",":",C311&gt;=N$19,1,C311&gt;=N$20,2,C311&gt;=N$21,3,C311&gt;=N$22,4,C311&gt;=N$23,5,C311&lt;N$23,6)</f>
        <v>4</v>
      </c>
      <c r="F311" s="60"/>
      <c r="G311" s="8"/>
    </row>
    <row r="312" spans="1:8" s="44" customFormat="1" ht="12" customHeight="1">
      <c r="A312" s="10" t="s">
        <v>1181</v>
      </c>
      <c r="B312" s="112" t="s">
        <v>1182</v>
      </c>
      <c r="C312" s="78">
        <v>4443</v>
      </c>
      <c r="D312" s="68"/>
      <c r="E312" s="29" cm="1">
        <f t="array" ref="E312">_xlfn.IFS(C312=":",":",C312&gt;=N$19,1,C312&gt;=N$20,2,C312&gt;=N$21,3,C312&gt;=N$22,4,C312&gt;=N$23,5,C312&lt;N$23,6)</f>
        <v>3</v>
      </c>
      <c r="F312" s="60"/>
      <c r="G312" s="8"/>
    </row>
    <row r="313" spans="1:8" s="44" customFormat="1" ht="12" customHeight="1">
      <c r="A313" s="10" t="s">
        <v>1183</v>
      </c>
      <c r="B313" s="112" t="s">
        <v>1184</v>
      </c>
      <c r="C313" s="78">
        <v>11413</v>
      </c>
      <c r="D313" s="68"/>
      <c r="E313" s="29" cm="1">
        <f t="array" ref="E313">_xlfn.IFS(C313=":",":",C313&gt;=N$19,1,C313&gt;=N$20,2,C313&gt;=N$21,3,C313&gt;=N$22,4,C313&gt;=N$23,5,C313&lt;N$23,6)</f>
        <v>2</v>
      </c>
      <c r="F313" s="60"/>
      <c r="G313" s="8"/>
    </row>
    <row r="314" spans="1:8" s="44" customFormat="1" ht="12" customHeight="1">
      <c r="A314" s="10" t="s">
        <v>1185</v>
      </c>
      <c r="B314" s="112" t="s">
        <v>1186</v>
      </c>
      <c r="C314" s="78">
        <v>2937</v>
      </c>
      <c r="D314" s="68"/>
      <c r="E314" s="29" cm="1">
        <f t="array" ref="E314">_xlfn.IFS(C314=":",":",C314&gt;=N$19,1,C314&gt;=N$20,2,C314&gt;=N$21,3,C314&gt;=N$22,4,C314&gt;=N$23,5,C314&lt;N$23,6)</f>
        <v>4</v>
      </c>
      <c r="F314" s="60"/>
      <c r="G314" s="8"/>
    </row>
    <row r="315" spans="1:8" s="44" customFormat="1" ht="12" customHeight="1">
      <c r="A315" s="10" t="s">
        <v>1187</v>
      </c>
      <c r="B315" s="112" t="s">
        <v>1188</v>
      </c>
      <c r="C315" s="78">
        <v>5230</v>
      </c>
      <c r="D315" s="68"/>
      <c r="E315" s="29" cm="1">
        <f t="array" ref="E315">_xlfn.IFS(C315=":",":",C315&gt;=N$19,1,C315&gt;=N$20,2,C315&gt;=N$21,3,C315&gt;=N$22,4,C315&gt;=N$23,5,C315&lt;N$23,6)</f>
        <v>3</v>
      </c>
      <c r="F315" s="60"/>
      <c r="G315" s="8"/>
    </row>
    <row r="316" spans="1:8" s="29" customFormat="1" ht="12" customHeight="1">
      <c r="A316" s="10" t="s">
        <v>1189</v>
      </c>
      <c r="B316" s="112" t="s">
        <v>1190</v>
      </c>
      <c r="C316" s="78">
        <v>3903</v>
      </c>
      <c r="D316" s="68"/>
      <c r="E316" s="29" cm="1">
        <f t="array" ref="E316">_xlfn.IFS(C316=":",":",C316&gt;=N$19,1,C316&gt;=N$20,2,C316&gt;=N$21,3,C316&gt;=N$22,4,C316&gt;=N$23,5,C316&lt;N$23,6)</f>
        <v>3</v>
      </c>
      <c r="F316" s="60"/>
      <c r="G316" s="8"/>
      <c r="H316" s="44"/>
    </row>
    <row r="317" spans="1:8" s="29" customFormat="1" ht="12" customHeight="1">
      <c r="A317" s="10" t="s">
        <v>1191</v>
      </c>
      <c r="B317" s="112" t="s">
        <v>1192</v>
      </c>
      <c r="C317" s="78">
        <v>1417</v>
      </c>
      <c r="D317" s="68"/>
      <c r="E317" s="29" cm="1">
        <f t="array" ref="E317">_xlfn.IFS(C317=":",":",C317&gt;=N$19,1,C317&gt;=N$20,2,C317&gt;=N$21,3,C317&gt;=N$22,4,C317&gt;=N$23,5,C317&lt;N$23,6)</f>
        <v>5</v>
      </c>
      <c r="F317" s="60"/>
      <c r="G317" s="8"/>
      <c r="H317" s="44"/>
    </row>
    <row r="318" spans="1:8" ht="12" customHeight="1">
      <c r="A318" s="10" t="s">
        <v>1193</v>
      </c>
      <c r="B318" s="112" t="s">
        <v>1194</v>
      </c>
      <c r="C318" s="78">
        <v>2807</v>
      </c>
      <c r="D318" s="68"/>
      <c r="E318" s="29" cm="1">
        <f t="array" ref="E318">_xlfn.IFS(C318=":",":",C318&gt;=N$19,1,C318&gt;=N$20,2,C318&gt;=N$21,3,C318&gt;=N$22,4,C318&gt;=N$23,5,C318&lt;N$23,6)</f>
        <v>4</v>
      </c>
      <c r="F318" s="60"/>
      <c r="G318" s="8"/>
    </row>
    <row r="319" spans="1:8" ht="12" customHeight="1">
      <c r="A319" s="10" t="s">
        <v>1195</v>
      </c>
      <c r="B319" s="112" t="s">
        <v>1196</v>
      </c>
      <c r="C319" s="78">
        <v>21050</v>
      </c>
      <c r="D319" s="68"/>
      <c r="E319" s="29" cm="1">
        <f t="array" ref="E319">_xlfn.IFS(C319=":",":",C319&gt;=N$19,1,C319&gt;=N$20,2,C319&gt;=N$21,3,C319&gt;=N$22,4,C319&gt;=N$23,5,C319&lt;N$23,6)</f>
        <v>1</v>
      </c>
      <c r="F319" s="60"/>
      <c r="G319" s="8"/>
      <c r="H319" s="5"/>
    </row>
    <row r="320" spans="1:8" ht="12" customHeight="1">
      <c r="A320" s="10" t="s">
        <v>1197</v>
      </c>
      <c r="B320" s="112" t="s">
        <v>1198</v>
      </c>
      <c r="C320" s="78">
        <v>3015</v>
      </c>
      <c r="D320" s="68"/>
      <c r="E320" s="29" cm="1">
        <f t="array" ref="E320">_xlfn.IFS(C320=":",":",C320&gt;=N$19,1,C320&gt;=N$20,2,C320&gt;=N$21,3,C320&gt;=N$22,4,C320&gt;=N$23,5,C320&lt;N$23,6)</f>
        <v>4</v>
      </c>
      <c r="F320" s="60"/>
      <c r="G320" s="8"/>
      <c r="H320" s="5"/>
    </row>
    <row r="321" spans="1:8" ht="12" customHeight="1">
      <c r="A321" s="10" t="s">
        <v>1199</v>
      </c>
      <c r="B321" s="112" t="s">
        <v>1200</v>
      </c>
      <c r="C321" s="78">
        <v>4062</v>
      </c>
      <c r="D321" s="68"/>
      <c r="E321" s="29" cm="1">
        <f t="array" ref="E321">_xlfn.IFS(C321=":",":",C321&gt;=N$19,1,C321&gt;=N$20,2,C321&gt;=N$21,3,C321&gt;=N$22,4,C321&gt;=N$23,5,C321&lt;N$23,6)</f>
        <v>3</v>
      </c>
      <c r="F321" s="60"/>
      <c r="G321" s="8"/>
      <c r="H321" s="5"/>
    </row>
    <row r="322" spans="1:8" ht="12" customHeight="1">
      <c r="A322" s="10" t="s">
        <v>1201</v>
      </c>
      <c r="B322" s="112" t="s">
        <v>1202</v>
      </c>
      <c r="C322" s="78">
        <v>2408</v>
      </c>
      <c r="D322" s="43"/>
      <c r="E322" s="29" cm="1">
        <f t="array" ref="E322">_xlfn.IFS(C322=":",":",C322&gt;=N$19,1,C322&gt;=N$20,2,C322&gt;=N$21,3,C322&gt;=N$22,4,C322&gt;=N$23,5,C322&lt;N$23,6)</f>
        <v>4</v>
      </c>
      <c r="F322" s="60"/>
      <c r="G322" s="8"/>
      <c r="H322" s="5"/>
    </row>
    <row r="323" spans="1:8" ht="12" customHeight="1">
      <c r="A323" s="10" t="s">
        <v>1203</v>
      </c>
      <c r="B323" s="112" t="s">
        <v>1204</v>
      </c>
      <c r="C323" s="78">
        <v>879</v>
      </c>
      <c r="D323" s="43"/>
      <c r="E323" s="29" cm="1">
        <f t="array" ref="E323">_xlfn.IFS(C323=":",":",C323&gt;=N$19,1,C323&gt;=N$20,2,C323&gt;=N$21,3,C323&gt;=N$22,4,C323&gt;=N$23,5,C323&lt;N$23,6)</f>
        <v>6</v>
      </c>
      <c r="F323" s="60"/>
      <c r="G323" s="8"/>
      <c r="H323" s="5"/>
    </row>
    <row r="324" spans="1:8" ht="12" customHeight="1">
      <c r="A324" s="10" t="s">
        <v>1205</v>
      </c>
      <c r="B324" s="112" t="s">
        <v>1206</v>
      </c>
      <c r="C324" s="78">
        <v>5277</v>
      </c>
      <c r="D324" s="43"/>
      <c r="E324" s="29" cm="1">
        <f t="array" ref="E324">_xlfn.IFS(C324=":",":",C324&gt;=N$19,1,C324&gt;=N$20,2,C324&gt;=N$21,3,C324&gt;=N$22,4,C324&gt;=N$23,5,C324&lt;N$23,6)</f>
        <v>3</v>
      </c>
      <c r="F324" s="60"/>
      <c r="G324" s="8"/>
      <c r="H324" s="5"/>
    </row>
    <row r="325" spans="1:8" ht="12" customHeight="1">
      <c r="A325" s="10" t="s">
        <v>1207</v>
      </c>
      <c r="B325" s="112" t="s">
        <v>1208</v>
      </c>
      <c r="C325" s="78">
        <v>1604</v>
      </c>
      <c r="D325" s="43"/>
      <c r="E325" s="29" cm="1">
        <f t="array" ref="E325">_xlfn.IFS(C325=":",":",C325&gt;=N$19,1,C325&gt;=N$20,2,C325&gt;=N$21,3,C325&gt;=N$22,4,C325&gt;=N$23,5,C325&lt;N$23,6)</f>
        <v>5</v>
      </c>
      <c r="F325" s="60"/>
      <c r="G325" s="8"/>
      <c r="H325" s="5"/>
    </row>
    <row r="326" spans="1:8" ht="12" customHeight="1">
      <c r="A326" s="10" t="s">
        <v>1209</v>
      </c>
      <c r="B326" s="112" t="s">
        <v>1210</v>
      </c>
      <c r="C326" s="78">
        <v>2972</v>
      </c>
      <c r="D326" s="43"/>
      <c r="E326" s="29" cm="1">
        <f t="array" ref="E326">_xlfn.IFS(C326=":",":",C326&gt;=N$19,1,C326&gt;=N$20,2,C326&gt;=N$21,3,C326&gt;=N$22,4,C326&gt;=N$23,5,C326&lt;N$23,6)</f>
        <v>4</v>
      </c>
      <c r="F326" s="60"/>
      <c r="G326" s="8"/>
      <c r="H326" s="5"/>
    </row>
    <row r="327" spans="1:8" ht="12" customHeight="1">
      <c r="A327" s="10" t="s">
        <v>1211</v>
      </c>
      <c r="B327" s="112" t="s">
        <v>1212</v>
      </c>
      <c r="C327" s="78">
        <v>4018</v>
      </c>
      <c r="D327" s="43"/>
      <c r="E327" s="29" cm="1">
        <f t="array" ref="E327">_xlfn.IFS(C327=":",":",C327&gt;=N$19,1,C327&gt;=N$20,2,C327&gt;=N$21,3,C327&gt;=N$22,4,C327&gt;=N$23,5,C327&lt;N$23,6)</f>
        <v>3</v>
      </c>
      <c r="F327" s="60"/>
      <c r="G327" s="8"/>
      <c r="H327" s="5"/>
    </row>
    <row r="328" spans="1:8" ht="12" customHeight="1">
      <c r="A328" s="10" t="s">
        <v>1213</v>
      </c>
      <c r="B328" s="112" t="s">
        <v>1214</v>
      </c>
      <c r="C328" s="78">
        <v>4884</v>
      </c>
      <c r="D328" s="43"/>
      <c r="E328" s="29" cm="1">
        <f t="array" ref="E328">_xlfn.IFS(C328=":",":",C328&gt;=N$19,1,C328&gt;=N$20,2,C328&gt;=N$21,3,C328&gt;=N$22,4,C328&gt;=N$23,5,C328&lt;N$23,6)</f>
        <v>3</v>
      </c>
      <c r="F328" s="60"/>
      <c r="G328" s="8"/>
      <c r="H328" s="5"/>
    </row>
    <row r="329" spans="1:8" ht="12" customHeight="1">
      <c r="A329" s="10" t="s">
        <v>1215</v>
      </c>
      <c r="B329" s="112" t="s">
        <v>1216</v>
      </c>
      <c r="C329" s="78">
        <v>20969</v>
      </c>
      <c r="D329" s="43"/>
      <c r="E329" s="29" cm="1">
        <f t="array" ref="E329">_xlfn.IFS(C329=":",":",C329&gt;=N$19,1,C329&gt;=N$20,2,C329&gt;=N$21,3,C329&gt;=N$22,4,C329&gt;=N$23,5,C329&lt;N$23,6)</f>
        <v>1</v>
      </c>
      <c r="F329" s="60"/>
      <c r="G329" s="8"/>
      <c r="H329" s="5"/>
    </row>
    <row r="330" spans="1:8" ht="12" customHeight="1">
      <c r="A330" s="10" t="s">
        <v>1217</v>
      </c>
      <c r="B330" s="112" t="s">
        <v>1218</v>
      </c>
      <c r="C330" s="78">
        <v>2860</v>
      </c>
      <c r="D330" s="43"/>
      <c r="E330" s="29" cm="1">
        <f t="array" ref="E330">_xlfn.IFS(C330=":",":",C330&gt;=N$19,1,C330&gt;=N$20,2,C330&gt;=N$21,3,C330&gt;=N$22,4,C330&gt;=N$23,5,C330&lt;N$23,6)</f>
        <v>4</v>
      </c>
      <c r="F330" s="60"/>
      <c r="G330" s="8"/>
      <c r="H330" s="5"/>
    </row>
    <row r="331" spans="1:8" ht="12" customHeight="1">
      <c r="A331" s="10" t="s">
        <v>1219</v>
      </c>
      <c r="B331" s="112" t="s">
        <v>1220</v>
      </c>
      <c r="C331" s="78">
        <v>6844</v>
      </c>
      <c r="D331" s="43"/>
      <c r="E331" s="29" cm="1">
        <f t="array" ref="E331">_xlfn.IFS(C331=":",":",C331&gt;=N$19,1,C331&gt;=N$20,2,C331&gt;=N$21,3,C331&gt;=N$22,4,C331&gt;=N$23,5,C331&lt;N$23,6)</f>
        <v>3</v>
      </c>
      <c r="F331" s="60"/>
      <c r="G331" s="8"/>
      <c r="H331" s="5"/>
    </row>
    <row r="332" spans="1:8" ht="12" customHeight="1">
      <c r="A332" s="10" t="s">
        <v>1221</v>
      </c>
      <c r="B332" s="112" t="s">
        <v>2819</v>
      </c>
      <c r="C332" s="78">
        <v>17109</v>
      </c>
      <c r="D332" s="43"/>
      <c r="E332" s="29" cm="1">
        <f t="array" ref="E332">_xlfn.IFS(C332=":",":",C332&gt;=N$19,1,C332&gt;=N$20,2,C332&gt;=N$21,3,C332&gt;=N$22,4,C332&gt;=N$23,5,C332&lt;N$23,6)</f>
        <v>1</v>
      </c>
      <c r="F332" s="30"/>
      <c r="G332" s="5"/>
      <c r="H332" s="5"/>
    </row>
    <row r="333" spans="1:8" ht="12" customHeight="1">
      <c r="A333" s="10" t="s">
        <v>1222</v>
      </c>
      <c r="B333" s="112" t="s">
        <v>1223</v>
      </c>
      <c r="C333" s="78">
        <v>5021</v>
      </c>
      <c r="D333" s="43"/>
      <c r="E333" s="29" cm="1">
        <f t="array" ref="E333">_xlfn.IFS(C333=":",":",C333&gt;=N$19,1,C333&gt;=N$20,2,C333&gt;=N$21,3,C333&gt;=N$22,4,C333&gt;=N$23,5,C333&lt;N$23,6)</f>
        <v>3</v>
      </c>
      <c r="F333" s="30"/>
      <c r="G333" s="5"/>
      <c r="H333" s="5"/>
    </row>
    <row r="334" spans="1:8" ht="12" customHeight="1">
      <c r="A334" s="10" t="s">
        <v>1224</v>
      </c>
      <c r="B334" s="112" t="s">
        <v>1225</v>
      </c>
      <c r="C334" s="82">
        <v>8680</v>
      </c>
      <c r="D334" s="43"/>
      <c r="E334" s="29" cm="1">
        <f t="array" ref="E334">_xlfn.IFS(C334=":",":",C334&gt;=N$19,1,C334&gt;=N$20,2,C334&gt;=N$21,3,C334&gt;=N$22,4,C334&gt;=N$23,5,C334&lt;N$23,6)</f>
        <v>2</v>
      </c>
      <c r="F334" s="30"/>
      <c r="G334" s="5"/>
      <c r="H334" s="5"/>
    </row>
    <row r="335" spans="1:8" ht="12" customHeight="1">
      <c r="A335" s="10" t="s">
        <v>1226</v>
      </c>
      <c r="B335" s="112" t="s">
        <v>1227</v>
      </c>
      <c r="C335" s="82">
        <v>3242</v>
      </c>
      <c r="D335" s="43"/>
      <c r="E335" s="29" cm="1">
        <f t="array" ref="E335">_xlfn.IFS(C335=":",":",C335&gt;=N$19,1,C335&gt;=N$20,2,C335&gt;=N$21,3,C335&gt;=N$22,4,C335&gt;=N$23,5,C335&lt;N$23,6)</f>
        <v>4</v>
      </c>
      <c r="F335" s="30"/>
      <c r="G335" s="5"/>
      <c r="H335" s="5"/>
    </row>
    <row r="336" spans="1:8" ht="12" customHeight="1">
      <c r="A336" s="10" t="s">
        <v>1228</v>
      </c>
      <c r="B336" s="112" t="s">
        <v>1229</v>
      </c>
      <c r="C336" s="82">
        <v>2690</v>
      </c>
      <c r="D336" s="43"/>
      <c r="E336" s="29" cm="1">
        <f t="array" ref="E336">_xlfn.IFS(C336=":",":",C336&gt;=N$19,1,C336&gt;=N$20,2,C336&gt;=N$21,3,C336&gt;=N$22,4,C336&gt;=N$23,5,C336&lt;N$23,6)</f>
        <v>4</v>
      </c>
      <c r="F336" s="30"/>
      <c r="G336" s="5"/>
      <c r="H336" s="5"/>
    </row>
    <row r="337" spans="1:8" ht="12" customHeight="1">
      <c r="A337" s="10" t="s">
        <v>1230</v>
      </c>
      <c r="B337" s="112" t="s">
        <v>1231</v>
      </c>
      <c r="C337" s="82">
        <v>2488</v>
      </c>
      <c r="D337" s="43"/>
      <c r="E337" s="29" cm="1">
        <f t="array" ref="E337">_xlfn.IFS(C337=":",":",C337&gt;=N$19,1,C337&gt;=N$20,2,C337&gt;=N$21,3,C337&gt;=N$22,4,C337&gt;=N$23,5,C337&lt;N$23,6)</f>
        <v>4</v>
      </c>
      <c r="F337" s="30"/>
      <c r="G337" s="5"/>
      <c r="H337" s="5"/>
    </row>
    <row r="338" spans="1:8" ht="12" customHeight="1">
      <c r="A338" s="10" t="s">
        <v>1232</v>
      </c>
      <c r="B338" s="112" t="s">
        <v>1233</v>
      </c>
      <c r="C338" s="82">
        <v>8410</v>
      </c>
      <c r="D338" s="43"/>
      <c r="E338" s="29" cm="1">
        <f t="array" ref="E338">_xlfn.IFS(C338=":",":",C338&gt;=N$19,1,C338&gt;=N$20,2,C338&gt;=N$21,3,C338&gt;=N$22,4,C338&gt;=N$23,5,C338&lt;N$23,6)</f>
        <v>2</v>
      </c>
      <c r="F338" s="30"/>
      <c r="G338" s="5"/>
      <c r="H338" s="5"/>
    </row>
    <row r="339" spans="1:8" ht="12" customHeight="1">
      <c r="A339" s="10" t="s">
        <v>1234</v>
      </c>
      <c r="B339" s="112" t="s">
        <v>1235</v>
      </c>
      <c r="C339" s="82">
        <v>42822</v>
      </c>
      <c r="D339" s="43"/>
      <c r="E339" s="29" cm="1">
        <f t="array" ref="E339">_xlfn.IFS(C339=":",":",C339&gt;=N$19,1,C339&gt;=N$20,2,C339&gt;=N$21,3,C339&gt;=N$22,4,C339&gt;=N$23,5,C339&lt;N$23,6)</f>
        <v>1</v>
      </c>
      <c r="F339" s="30"/>
      <c r="G339" s="5"/>
      <c r="H339" s="5"/>
    </row>
    <row r="340" spans="1:8" ht="12" customHeight="1">
      <c r="A340" s="10" t="s">
        <v>1236</v>
      </c>
      <c r="B340" s="112" t="s">
        <v>1237</v>
      </c>
      <c r="C340" s="82">
        <v>8936</v>
      </c>
      <c r="D340" s="43"/>
      <c r="E340" s="29" cm="1">
        <f t="array" ref="E340">_xlfn.IFS(C340=":",":",C340&gt;=N$19,1,C340&gt;=N$20,2,C340&gt;=N$21,3,C340&gt;=N$22,4,C340&gt;=N$23,5,C340&lt;N$23,6)</f>
        <v>2</v>
      </c>
      <c r="F340" s="30"/>
      <c r="G340" s="5"/>
      <c r="H340" s="5"/>
    </row>
    <row r="341" spans="1:8" ht="12" customHeight="1">
      <c r="A341" s="10" t="s">
        <v>1238</v>
      </c>
      <c r="B341" s="112" t="s">
        <v>1239</v>
      </c>
      <c r="C341" s="82">
        <v>977</v>
      </c>
      <c r="D341" s="43"/>
      <c r="E341" s="29" cm="1">
        <f t="array" ref="E341">_xlfn.IFS(C341=":",":",C341&gt;=N$19,1,C341&gt;=N$20,2,C341&gt;=N$21,3,C341&gt;=N$22,4,C341&gt;=N$23,5,C341&lt;N$23,6)</f>
        <v>6</v>
      </c>
      <c r="F341" s="30"/>
      <c r="G341" s="5"/>
      <c r="H341" s="5"/>
    </row>
    <row r="342" spans="1:8" ht="12" customHeight="1">
      <c r="A342" s="10" t="s">
        <v>1240</v>
      </c>
      <c r="B342" s="112" t="s">
        <v>1241</v>
      </c>
      <c r="C342" s="82">
        <v>2830</v>
      </c>
      <c r="D342" s="43"/>
      <c r="E342" s="29" cm="1">
        <f t="array" ref="E342">_xlfn.IFS(C342=":",":",C342&gt;=N$19,1,C342&gt;=N$20,2,C342&gt;=N$21,3,C342&gt;=N$22,4,C342&gt;=N$23,5,C342&lt;N$23,6)</f>
        <v>4</v>
      </c>
      <c r="F342" s="30"/>
      <c r="G342" s="5"/>
      <c r="H342" s="5"/>
    </row>
    <row r="343" spans="1:8" ht="12" customHeight="1">
      <c r="A343" s="10" t="s">
        <v>1242</v>
      </c>
      <c r="B343" s="112" t="s">
        <v>1243</v>
      </c>
      <c r="C343" s="82">
        <v>1175</v>
      </c>
      <c r="D343" s="43"/>
      <c r="E343" s="29" cm="1">
        <f t="array" ref="E343">_xlfn.IFS(C343=":",":",C343&gt;=N$19,1,C343&gt;=N$20,2,C343&gt;=N$21,3,C343&gt;=N$22,4,C343&gt;=N$23,5,C343&lt;N$23,6)</f>
        <v>5</v>
      </c>
      <c r="F343" s="30"/>
      <c r="G343" s="5"/>
      <c r="H343" s="5"/>
    </row>
    <row r="344" spans="1:8" ht="12" customHeight="1">
      <c r="A344" s="10" t="s">
        <v>1244</v>
      </c>
      <c r="B344" s="112" t="s">
        <v>1245</v>
      </c>
      <c r="C344" s="82">
        <v>1213</v>
      </c>
      <c r="D344" s="43"/>
      <c r="E344" s="29" cm="1">
        <f t="array" ref="E344">_xlfn.IFS(C344=":",":",C344&gt;=N$19,1,C344&gt;=N$20,2,C344&gt;=N$21,3,C344&gt;=N$22,4,C344&gt;=N$23,5,C344&lt;N$23,6)</f>
        <v>5</v>
      </c>
      <c r="F344" s="30"/>
      <c r="G344" s="5"/>
      <c r="H344" s="5"/>
    </row>
    <row r="345" spans="1:8" ht="12" customHeight="1">
      <c r="A345" s="10" t="s">
        <v>1246</v>
      </c>
      <c r="B345" s="112" t="s">
        <v>1247</v>
      </c>
      <c r="C345" s="82">
        <v>975</v>
      </c>
      <c r="D345" s="43"/>
      <c r="E345" s="29" cm="1">
        <f t="array" ref="E345">_xlfn.IFS(C345=":",":",C345&gt;=N$19,1,C345&gt;=N$20,2,C345&gt;=N$21,3,C345&gt;=N$22,4,C345&gt;=N$23,5,C345&lt;N$23,6)</f>
        <v>6</v>
      </c>
      <c r="F345" s="30"/>
      <c r="G345" s="5"/>
      <c r="H345" s="5"/>
    </row>
    <row r="346" spans="1:8" ht="12" customHeight="1">
      <c r="A346" s="10" t="s">
        <v>1248</v>
      </c>
      <c r="B346" s="112" t="s">
        <v>1249</v>
      </c>
      <c r="C346" s="82">
        <v>2295</v>
      </c>
      <c r="D346" s="43"/>
      <c r="E346" s="29" cm="1">
        <f t="array" ref="E346">_xlfn.IFS(C346=":",":",C346&gt;=N$19,1,C346&gt;=N$20,2,C346&gt;=N$21,3,C346&gt;=N$22,4,C346&gt;=N$23,5,C346&lt;N$23,6)</f>
        <v>4</v>
      </c>
      <c r="F346" s="30"/>
      <c r="G346" s="5"/>
      <c r="H346" s="5"/>
    </row>
    <row r="347" spans="1:8" ht="12" customHeight="1">
      <c r="A347" s="10" t="s">
        <v>1250</v>
      </c>
      <c r="B347" s="112" t="s">
        <v>1251</v>
      </c>
      <c r="C347" s="82">
        <v>618</v>
      </c>
      <c r="D347" s="43"/>
      <c r="E347" s="29" cm="1">
        <f t="array" ref="E347">_xlfn.IFS(C347=":",":",C347&gt;=N$19,1,C347&gt;=N$20,2,C347&gt;=N$21,3,C347&gt;=N$22,4,C347&gt;=N$23,5,C347&lt;N$23,6)</f>
        <v>6</v>
      </c>
      <c r="F347" s="30"/>
      <c r="G347" s="5"/>
      <c r="H347" s="5"/>
    </row>
    <row r="348" spans="1:8" ht="12" customHeight="1">
      <c r="A348" s="10" t="s">
        <v>1252</v>
      </c>
      <c r="B348" s="112" t="s">
        <v>1253</v>
      </c>
      <c r="C348" s="82">
        <v>605</v>
      </c>
      <c r="D348" s="43"/>
      <c r="E348" s="29" cm="1">
        <f t="array" ref="E348">_xlfn.IFS(C348=":",":",C348&gt;=N$19,1,C348&gt;=N$20,2,C348&gt;=N$21,3,C348&gt;=N$22,4,C348&gt;=N$23,5,C348&lt;N$23,6)</f>
        <v>6</v>
      </c>
      <c r="F348" s="30"/>
      <c r="G348" s="5"/>
      <c r="H348" s="5"/>
    </row>
    <row r="349" spans="1:8" ht="12" customHeight="1">
      <c r="A349" s="10" t="s">
        <v>1254</v>
      </c>
      <c r="B349" s="112" t="s">
        <v>1255</v>
      </c>
      <c r="C349" s="82">
        <v>1157</v>
      </c>
      <c r="D349" s="43"/>
      <c r="E349" s="29" cm="1">
        <f t="array" ref="E349">_xlfn.IFS(C349=":",":",C349&gt;=N$19,1,C349&gt;=N$20,2,C349&gt;=N$21,3,C349&gt;=N$22,4,C349&gt;=N$23,5,C349&lt;N$23,6)</f>
        <v>5</v>
      </c>
      <c r="F349" s="30"/>
      <c r="G349" s="5"/>
      <c r="H349" s="5"/>
    </row>
    <row r="350" spans="1:8" ht="12" customHeight="1">
      <c r="A350" s="10" t="s">
        <v>1256</v>
      </c>
      <c r="B350" s="112" t="s">
        <v>1257</v>
      </c>
      <c r="C350" s="82">
        <v>2453</v>
      </c>
      <c r="D350" s="43"/>
      <c r="E350" s="29" cm="1">
        <f t="array" ref="E350">_xlfn.IFS(C350=":",":",C350&gt;=N$19,1,C350&gt;=N$20,2,C350&gt;=N$21,3,C350&gt;=N$22,4,C350&gt;=N$23,5,C350&lt;N$23,6)</f>
        <v>4</v>
      </c>
      <c r="F350" s="30"/>
      <c r="G350" s="5"/>
      <c r="H350" s="5"/>
    </row>
    <row r="351" spans="1:8" ht="12" customHeight="1">
      <c r="A351" s="10" t="s">
        <v>1258</v>
      </c>
      <c r="B351" s="112" t="s">
        <v>1259</v>
      </c>
      <c r="C351" s="82">
        <v>1705</v>
      </c>
      <c r="D351" s="43"/>
      <c r="E351" s="29" cm="1">
        <f t="array" ref="E351">_xlfn.IFS(C351=":",":",C351&gt;=N$19,1,C351&gt;=N$20,2,C351&gt;=N$21,3,C351&gt;=N$22,4,C351&gt;=N$23,5,C351&lt;N$23,6)</f>
        <v>5</v>
      </c>
      <c r="F351" s="30"/>
      <c r="G351" s="5"/>
      <c r="H351" s="5"/>
    </row>
    <row r="352" spans="1:8" ht="12" customHeight="1">
      <c r="A352" s="10" t="s">
        <v>1260</v>
      </c>
      <c r="B352" s="112" t="s">
        <v>1261</v>
      </c>
      <c r="C352" s="82">
        <v>1352</v>
      </c>
      <c r="D352" s="43"/>
      <c r="E352" s="29" cm="1">
        <f t="array" ref="E352">_xlfn.IFS(C352=":",":",C352&gt;=N$19,1,C352&gt;=N$20,2,C352&gt;=N$21,3,C352&gt;=N$22,4,C352&gt;=N$23,5,C352&lt;N$23,6)</f>
        <v>5</v>
      </c>
      <c r="F352" s="30"/>
      <c r="G352" s="5"/>
      <c r="H352" s="5"/>
    </row>
    <row r="353" spans="1:8" ht="12" customHeight="1">
      <c r="A353" s="10" t="s">
        <v>1262</v>
      </c>
      <c r="B353" s="112" t="s">
        <v>1263</v>
      </c>
      <c r="C353" s="82">
        <v>1170</v>
      </c>
      <c r="D353" s="43"/>
      <c r="E353" s="29" cm="1">
        <f t="array" ref="E353">_xlfn.IFS(C353=":",":",C353&gt;=N$19,1,C353&gt;=N$20,2,C353&gt;=N$21,3,C353&gt;=N$22,4,C353&gt;=N$23,5,C353&lt;N$23,6)</f>
        <v>5</v>
      </c>
      <c r="F353" s="30"/>
      <c r="G353" s="5"/>
      <c r="H353" s="5"/>
    </row>
    <row r="354" spans="1:8" ht="12" customHeight="1">
      <c r="A354" s="10" t="s">
        <v>1264</v>
      </c>
      <c r="B354" s="112" t="s">
        <v>1265</v>
      </c>
      <c r="C354" s="82">
        <v>1670</v>
      </c>
      <c r="D354" s="43"/>
      <c r="E354" s="29" cm="1">
        <f t="array" ref="E354">_xlfn.IFS(C354=":",":",C354&gt;=N$19,1,C354&gt;=N$20,2,C354&gt;=N$21,3,C354&gt;=N$22,4,C354&gt;=N$23,5,C354&lt;N$23,6)</f>
        <v>5</v>
      </c>
      <c r="F354" s="30"/>
      <c r="G354" s="5"/>
      <c r="H354" s="5"/>
    </row>
    <row r="355" spans="1:8" ht="12" customHeight="1">
      <c r="A355" s="10" t="s">
        <v>1266</v>
      </c>
      <c r="B355" s="112" t="s">
        <v>1267</v>
      </c>
      <c r="C355" s="82">
        <v>4597</v>
      </c>
      <c r="D355" s="43"/>
      <c r="E355" s="29" cm="1">
        <f t="array" ref="E355">_xlfn.IFS(C355=":",":",C355&gt;=N$19,1,C355&gt;=N$20,2,C355&gt;=N$21,3,C355&gt;=N$22,4,C355&gt;=N$23,5,C355&lt;N$23,6)</f>
        <v>3</v>
      </c>
      <c r="F355" s="30"/>
      <c r="G355" s="5"/>
      <c r="H355" s="5"/>
    </row>
    <row r="356" spans="1:8" ht="12" customHeight="1">
      <c r="A356" s="10" t="s">
        <v>1268</v>
      </c>
      <c r="B356" s="112" t="s">
        <v>1269</v>
      </c>
      <c r="C356" s="82">
        <v>6465</v>
      </c>
      <c r="D356" s="43"/>
      <c r="E356" s="29" cm="1">
        <f t="array" ref="E356">_xlfn.IFS(C356=":",":",C356&gt;=N$19,1,C356&gt;=N$20,2,C356&gt;=N$21,3,C356&gt;=N$22,4,C356&gt;=N$23,5,C356&lt;N$23,6)</f>
        <v>3</v>
      </c>
      <c r="F356" s="30"/>
      <c r="G356" s="5"/>
      <c r="H356" s="5"/>
    </row>
    <row r="357" spans="1:8" ht="12" customHeight="1">
      <c r="A357" s="10" t="s">
        <v>1270</v>
      </c>
      <c r="B357" s="112" t="s">
        <v>1271</v>
      </c>
      <c r="C357" s="82">
        <v>1261</v>
      </c>
      <c r="D357" s="43"/>
      <c r="E357" s="29" cm="1">
        <f t="array" ref="E357">_xlfn.IFS(C357=":",":",C357&gt;=N$19,1,C357&gt;=N$20,2,C357&gt;=N$21,3,C357&gt;=N$22,4,C357&gt;=N$23,5,C357&lt;N$23,6)</f>
        <v>5</v>
      </c>
      <c r="F357" s="30"/>
      <c r="G357" s="5"/>
      <c r="H357" s="5"/>
    </row>
    <row r="358" spans="1:8" ht="12" customHeight="1">
      <c r="A358" s="10" t="s">
        <v>1272</v>
      </c>
      <c r="B358" s="112" t="s">
        <v>1273</v>
      </c>
      <c r="C358" s="82">
        <v>2151</v>
      </c>
      <c r="D358" s="43"/>
      <c r="E358" s="29" cm="1">
        <f t="array" ref="E358">_xlfn.IFS(C358=":",":",C358&gt;=N$19,1,C358&gt;=N$20,2,C358&gt;=N$21,3,C358&gt;=N$22,4,C358&gt;=N$23,5,C358&lt;N$23,6)</f>
        <v>4</v>
      </c>
      <c r="F358" s="30"/>
      <c r="G358" s="5"/>
      <c r="H358" s="5"/>
    </row>
    <row r="359" spans="1:8" ht="12" customHeight="1">
      <c r="A359" s="10" t="s">
        <v>1274</v>
      </c>
      <c r="B359" s="112" t="s">
        <v>1275</v>
      </c>
      <c r="C359" s="82">
        <v>2018</v>
      </c>
      <c r="D359" s="43"/>
      <c r="E359" s="29" cm="1">
        <f t="array" ref="E359">_xlfn.IFS(C359=":",":",C359&gt;=N$19,1,C359&gt;=N$20,2,C359&gt;=N$21,3,C359&gt;=N$22,4,C359&gt;=N$23,5,C359&lt;N$23,6)</f>
        <v>4</v>
      </c>
      <c r="F359" s="30"/>
      <c r="G359" s="5"/>
      <c r="H359" s="5"/>
    </row>
    <row r="360" spans="1:8" ht="12" customHeight="1">
      <c r="A360" s="10" t="s">
        <v>1276</v>
      </c>
      <c r="B360" s="112" t="s">
        <v>1277</v>
      </c>
      <c r="C360" s="82">
        <v>3560</v>
      </c>
      <c r="D360" s="43"/>
      <c r="E360" s="29" cm="1">
        <f t="array" ref="E360">_xlfn.IFS(C360=":",":",C360&gt;=N$19,1,C360&gt;=N$20,2,C360&gt;=N$21,3,C360&gt;=N$22,4,C360&gt;=N$23,5,C360&lt;N$23,6)</f>
        <v>3</v>
      </c>
      <c r="F360" s="30"/>
      <c r="G360" s="5"/>
      <c r="H360" s="5"/>
    </row>
    <row r="361" spans="1:8" ht="12" customHeight="1">
      <c r="A361" s="10" t="s">
        <v>1278</v>
      </c>
      <c r="B361" s="112" t="s">
        <v>1279</v>
      </c>
      <c r="C361" s="82">
        <v>1011</v>
      </c>
      <c r="D361" s="43"/>
      <c r="E361" s="29" cm="1">
        <f t="array" ref="E361">_xlfn.IFS(C361=":",":",C361&gt;=N$19,1,C361&gt;=N$20,2,C361&gt;=N$21,3,C361&gt;=N$22,4,C361&gt;=N$23,5,C361&lt;N$23,6)</f>
        <v>5</v>
      </c>
      <c r="F361" s="30"/>
      <c r="G361" s="5"/>
      <c r="H361" s="5"/>
    </row>
    <row r="362" spans="1:8" ht="12" customHeight="1">
      <c r="A362" s="10" t="s">
        <v>1280</v>
      </c>
      <c r="B362" s="112" t="s">
        <v>1281</v>
      </c>
      <c r="C362" s="82">
        <v>1683</v>
      </c>
      <c r="D362" s="43"/>
      <c r="E362" s="29" cm="1">
        <f t="array" ref="E362">_xlfn.IFS(C362=":",":",C362&gt;=N$19,1,C362&gt;=N$20,2,C362&gt;=N$21,3,C362&gt;=N$22,4,C362&gt;=N$23,5,C362&lt;N$23,6)</f>
        <v>5</v>
      </c>
      <c r="F362" s="30"/>
      <c r="G362" s="5"/>
      <c r="H362" s="5"/>
    </row>
    <row r="363" spans="1:8" ht="12" customHeight="1">
      <c r="A363" s="10" t="s">
        <v>1282</v>
      </c>
      <c r="B363" s="112" t="s">
        <v>1283</v>
      </c>
      <c r="C363" s="82">
        <v>891</v>
      </c>
      <c r="D363" s="43"/>
      <c r="E363" s="29" cm="1">
        <f t="array" ref="E363">_xlfn.IFS(C363=":",":",C363&gt;=N$19,1,C363&gt;=N$20,2,C363&gt;=N$21,3,C363&gt;=N$22,4,C363&gt;=N$23,5,C363&lt;N$23,6)</f>
        <v>6</v>
      </c>
      <c r="F363" s="30"/>
      <c r="G363" s="5"/>
      <c r="H363" s="5"/>
    </row>
    <row r="364" spans="1:8" ht="12" customHeight="1">
      <c r="A364" s="10" t="s">
        <v>1284</v>
      </c>
      <c r="B364" s="112" t="s">
        <v>1285</v>
      </c>
      <c r="C364" s="82">
        <v>1752</v>
      </c>
      <c r="D364" s="43"/>
      <c r="E364" s="29" cm="1">
        <f t="array" ref="E364">_xlfn.IFS(C364=":",":",C364&gt;=N$19,1,C364&gt;=N$20,2,C364&gt;=N$21,3,C364&gt;=N$22,4,C364&gt;=N$23,5,C364&lt;N$23,6)</f>
        <v>5</v>
      </c>
      <c r="F364" s="30"/>
      <c r="G364" s="5"/>
      <c r="H364" s="5"/>
    </row>
    <row r="365" spans="1:8" ht="12" customHeight="1">
      <c r="A365" s="10" t="s">
        <v>1286</v>
      </c>
      <c r="B365" s="112" t="s">
        <v>1287</v>
      </c>
      <c r="C365" s="82">
        <v>2679</v>
      </c>
      <c r="D365" s="43"/>
      <c r="E365" s="29" cm="1">
        <f t="array" ref="E365">_xlfn.IFS(C365=":",":",C365&gt;=N$19,1,C365&gt;=N$20,2,C365&gt;=N$21,3,C365&gt;=N$22,4,C365&gt;=N$23,5,C365&lt;N$23,6)</f>
        <v>4</v>
      </c>
      <c r="F365" s="30"/>
      <c r="G365" s="5"/>
      <c r="H365" s="5"/>
    </row>
    <row r="366" spans="1:8" ht="12" customHeight="1">
      <c r="A366" s="10" t="s">
        <v>1288</v>
      </c>
      <c r="B366" s="112" t="s">
        <v>1289</v>
      </c>
      <c r="C366" s="82">
        <v>592</v>
      </c>
      <c r="D366" s="43"/>
      <c r="E366" s="29" cm="1">
        <f t="array" ref="E366">_xlfn.IFS(C366=":",":",C366&gt;=N$19,1,C366&gt;=N$20,2,C366&gt;=N$21,3,C366&gt;=N$22,4,C366&gt;=N$23,5,C366&lt;N$23,6)</f>
        <v>6</v>
      </c>
      <c r="F366" s="30"/>
      <c r="G366" s="5"/>
      <c r="H366" s="5"/>
    </row>
    <row r="367" spans="1:8" ht="12" customHeight="1">
      <c r="A367" s="10" t="s">
        <v>1290</v>
      </c>
      <c r="B367" s="112" t="s">
        <v>1291</v>
      </c>
      <c r="C367" s="82">
        <v>1190</v>
      </c>
      <c r="D367" s="43"/>
      <c r="E367" s="29" cm="1">
        <f t="array" ref="E367">_xlfn.IFS(C367=":",":",C367&gt;=N$19,1,C367&gt;=N$20,2,C367&gt;=N$21,3,C367&gt;=N$22,4,C367&gt;=N$23,5,C367&lt;N$23,6)</f>
        <v>5</v>
      </c>
      <c r="F367" s="30"/>
      <c r="G367" s="5"/>
      <c r="H367" s="5"/>
    </row>
    <row r="368" spans="1:8" ht="12" customHeight="1">
      <c r="A368" s="10" t="s">
        <v>1292</v>
      </c>
      <c r="B368" s="112" t="s">
        <v>1293</v>
      </c>
      <c r="C368" s="82">
        <v>3959</v>
      </c>
      <c r="D368" s="43"/>
      <c r="E368" s="29" cm="1">
        <f t="array" ref="E368">_xlfn.IFS(C368=":",":",C368&gt;=N$19,1,C368&gt;=N$20,2,C368&gt;=N$21,3,C368&gt;=N$22,4,C368&gt;=N$23,5,C368&lt;N$23,6)</f>
        <v>3</v>
      </c>
      <c r="F368" s="30"/>
      <c r="G368" s="5"/>
      <c r="H368" s="5"/>
    </row>
    <row r="369" spans="1:8" ht="12" customHeight="1">
      <c r="A369" s="10" t="s">
        <v>1294</v>
      </c>
      <c r="B369" s="112" t="s">
        <v>1295</v>
      </c>
      <c r="C369" s="82">
        <v>1715</v>
      </c>
      <c r="D369" s="43"/>
      <c r="E369" s="29" cm="1">
        <f t="array" ref="E369">_xlfn.IFS(C369=":",":",C369&gt;=N$19,1,C369&gt;=N$20,2,C369&gt;=N$21,3,C369&gt;=N$22,4,C369&gt;=N$23,5,C369&lt;N$23,6)</f>
        <v>5</v>
      </c>
      <c r="F369" s="30"/>
      <c r="G369" s="5"/>
      <c r="H369" s="5"/>
    </row>
    <row r="370" spans="1:8" ht="12" customHeight="1">
      <c r="A370" s="10" t="s">
        <v>1296</v>
      </c>
      <c r="B370" s="112" t="s">
        <v>1297</v>
      </c>
      <c r="C370" s="82">
        <v>2973</v>
      </c>
      <c r="D370" s="43"/>
      <c r="E370" s="29" cm="1">
        <f t="array" ref="E370">_xlfn.IFS(C370=":",":",C370&gt;=N$19,1,C370&gt;=N$20,2,C370&gt;=N$21,3,C370&gt;=N$22,4,C370&gt;=N$23,5,C370&lt;N$23,6)</f>
        <v>4</v>
      </c>
      <c r="F370" s="30"/>
      <c r="G370" s="5"/>
      <c r="H370" s="5"/>
    </row>
    <row r="371" spans="1:8" ht="12" customHeight="1">
      <c r="A371" s="10" t="s">
        <v>1298</v>
      </c>
      <c r="B371" s="112" t="s">
        <v>1299</v>
      </c>
      <c r="C371" s="82">
        <v>1046</v>
      </c>
      <c r="D371" s="43"/>
      <c r="E371" s="29" cm="1">
        <f t="array" ref="E371">_xlfn.IFS(C371=":",":",C371&gt;=N$19,1,C371&gt;=N$20,2,C371&gt;=N$21,3,C371&gt;=N$22,4,C371&gt;=N$23,5,C371&lt;N$23,6)</f>
        <v>5</v>
      </c>
      <c r="F371" s="30"/>
      <c r="G371" s="5"/>
      <c r="H371" s="5"/>
    </row>
    <row r="372" spans="1:8" ht="12" customHeight="1">
      <c r="A372" s="10" t="s">
        <v>1300</v>
      </c>
      <c r="B372" s="112" t="s">
        <v>1301</v>
      </c>
      <c r="C372" s="82">
        <v>1676</v>
      </c>
      <c r="D372" s="43"/>
      <c r="E372" s="29" cm="1">
        <f t="array" ref="E372">_xlfn.IFS(C372=":",":",C372&gt;=N$19,1,C372&gt;=N$20,2,C372&gt;=N$21,3,C372&gt;=N$22,4,C372&gt;=N$23,5,C372&lt;N$23,6)</f>
        <v>5</v>
      </c>
      <c r="F372" s="30"/>
      <c r="G372" s="5"/>
      <c r="H372" s="5"/>
    </row>
    <row r="373" spans="1:8" ht="12" customHeight="1">
      <c r="A373" s="10" t="s">
        <v>1302</v>
      </c>
      <c r="B373" s="112" t="s">
        <v>1303</v>
      </c>
      <c r="C373" s="82">
        <v>1438</v>
      </c>
      <c r="D373" s="43"/>
      <c r="E373" s="29" cm="1">
        <f t="array" ref="E373">_xlfn.IFS(C373=":",":",C373&gt;=N$19,1,C373&gt;=N$20,2,C373&gt;=N$21,3,C373&gt;=N$22,4,C373&gt;=N$23,5,C373&lt;N$23,6)</f>
        <v>5</v>
      </c>
      <c r="F373" s="30"/>
      <c r="G373" s="5"/>
      <c r="H373" s="5"/>
    </row>
    <row r="374" spans="1:8" ht="12" customHeight="1">
      <c r="A374" s="10" t="s">
        <v>1304</v>
      </c>
      <c r="B374" s="112" t="s">
        <v>1305</v>
      </c>
      <c r="C374" s="82">
        <v>1717</v>
      </c>
      <c r="D374" s="43"/>
      <c r="E374" s="29" cm="1">
        <f t="array" ref="E374">_xlfn.IFS(C374=":",":",C374&gt;=N$19,1,C374&gt;=N$20,2,C374&gt;=N$21,3,C374&gt;=N$22,4,C374&gt;=N$23,5,C374&lt;N$23,6)</f>
        <v>5</v>
      </c>
      <c r="F374" s="30"/>
      <c r="G374" s="5"/>
      <c r="H374" s="5"/>
    </row>
    <row r="375" spans="1:8" ht="12" customHeight="1">
      <c r="A375" s="10" t="s">
        <v>1306</v>
      </c>
      <c r="B375" s="112" t="s">
        <v>1307</v>
      </c>
      <c r="C375" s="82">
        <v>1446</v>
      </c>
      <c r="D375" s="43"/>
      <c r="E375" s="29" cm="1">
        <f t="array" ref="E375">_xlfn.IFS(C375=":",":",C375&gt;=N$19,1,C375&gt;=N$20,2,C375&gt;=N$21,3,C375&gt;=N$22,4,C375&gt;=N$23,5,C375&lt;N$23,6)</f>
        <v>5</v>
      </c>
      <c r="F375" s="30"/>
      <c r="G375" s="5"/>
      <c r="H375" s="5"/>
    </row>
    <row r="376" spans="1:8" ht="12" customHeight="1">
      <c r="A376" s="10" t="s">
        <v>1308</v>
      </c>
      <c r="B376" s="112" t="s">
        <v>1309</v>
      </c>
      <c r="C376" s="82">
        <v>901</v>
      </c>
      <c r="D376" s="43"/>
      <c r="E376" s="29" cm="1">
        <f t="array" ref="E376">_xlfn.IFS(C376=":",":",C376&gt;=N$19,1,C376&gt;=N$20,2,C376&gt;=N$21,3,C376&gt;=N$22,4,C376&gt;=N$23,5,C376&lt;N$23,6)</f>
        <v>6</v>
      </c>
      <c r="F376" s="30"/>
      <c r="G376" s="5"/>
      <c r="H376" s="5"/>
    </row>
    <row r="377" spans="1:8" ht="12" customHeight="1">
      <c r="A377" s="10" t="s">
        <v>1310</v>
      </c>
      <c r="B377" s="112" t="s">
        <v>1311</v>
      </c>
      <c r="C377" s="82">
        <v>3462</v>
      </c>
      <c r="D377" s="43"/>
      <c r="E377" s="29" cm="1">
        <f t="array" ref="E377">_xlfn.IFS(C377=":",":",C377&gt;=N$19,1,C377&gt;=N$20,2,C377&gt;=N$21,3,C377&gt;=N$22,4,C377&gt;=N$23,5,C377&lt;N$23,6)</f>
        <v>4</v>
      </c>
      <c r="F377" s="30"/>
      <c r="G377" s="5"/>
      <c r="H377" s="5"/>
    </row>
    <row r="378" spans="1:8" ht="12" customHeight="1">
      <c r="A378" s="10" t="s">
        <v>1312</v>
      </c>
      <c r="B378" s="112" t="s">
        <v>1313</v>
      </c>
      <c r="C378" s="82">
        <v>2743</v>
      </c>
      <c r="D378" s="43"/>
      <c r="E378" s="29" cm="1">
        <f t="array" ref="E378">_xlfn.IFS(C378=":",":",C378&gt;=N$19,1,C378&gt;=N$20,2,C378&gt;=N$21,3,C378&gt;=N$22,4,C378&gt;=N$23,5,C378&lt;N$23,6)</f>
        <v>4</v>
      </c>
      <c r="F378" s="30"/>
      <c r="G378" s="5"/>
      <c r="H378" s="5"/>
    </row>
    <row r="379" spans="1:8" ht="12" customHeight="1">
      <c r="A379" s="10" t="s">
        <v>1314</v>
      </c>
      <c r="B379" s="112" t="s">
        <v>1315</v>
      </c>
      <c r="C379" s="82">
        <v>1723</v>
      </c>
      <c r="D379" s="43"/>
      <c r="E379" s="29" cm="1">
        <f t="array" ref="E379">_xlfn.IFS(C379=":",":",C379&gt;=N$19,1,C379&gt;=N$20,2,C379&gt;=N$21,3,C379&gt;=N$22,4,C379&gt;=N$23,5,C379&lt;N$23,6)</f>
        <v>5</v>
      </c>
      <c r="F379" s="30"/>
      <c r="G379" s="5"/>
      <c r="H379" s="5"/>
    </row>
    <row r="380" spans="1:8" ht="12" customHeight="1">
      <c r="A380" s="10" t="s">
        <v>1316</v>
      </c>
      <c r="B380" s="112" t="s">
        <v>1317</v>
      </c>
      <c r="C380" s="82">
        <v>2269</v>
      </c>
      <c r="D380" s="43"/>
      <c r="E380" s="29" cm="1">
        <f t="array" ref="E380">_xlfn.IFS(C380=":",":",C380&gt;=N$19,1,C380&gt;=N$20,2,C380&gt;=N$21,3,C380&gt;=N$22,4,C380&gt;=N$23,5,C380&lt;N$23,6)</f>
        <v>4</v>
      </c>
      <c r="F380" s="30"/>
      <c r="G380" s="5"/>
      <c r="H380" s="5"/>
    </row>
    <row r="381" spans="1:8" ht="12" customHeight="1">
      <c r="A381" s="10" t="s">
        <v>1318</v>
      </c>
      <c r="B381" s="112" t="s">
        <v>1319</v>
      </c>
      <c r="C381" s="82">
        <v>2049</v>
      </c>
      <c r="D381" s="43"/>
      <c r="E381" s="29" cm="1">
        <f t="array" ref="E381">_xlfn.IFS(C381=":",":",C381&gt;=N$19,1,C381&gt;=N$20,2,C381&gt;=N$21,3,C381&gt;=N$22,4,C381&gt;=N$23,5,C381&lt;N$23,6)</f>
        <v>4</v>
      </c>
      <c r="F381" s="30"/>
      <c r="G381" s="5"/>
      <c r="H381" s="5"/>
    </row>
    <row r="382" spans="1:8" ht="12" customHeight="1">
      <c r="A382" s="10" t="s">
        <v>1320</v>
      </c>
      <c r="B382" s="112" t="s">
        <v>1321</v>
      </c>
      <c r="C382" s="82">
        <v>2558</v>
      </c>
      <c r="D382" s="43"/>
      <c r="E382" s="29" cm="1">
        <f t="array" ref="E382">_xlfn.IFS(C382=":",":",C382&gt;=N$19,1,C382&gt;=N$20,2,C382&gt;=N$21,3,C382&gt;=N$22,4,C382&gt;=N$23,5,C382&lt;N$23,6)</f>
        <v>4</v>
      </c>
      <c r="F382" s="30"/>
      <c r="G382" s="5"/>
      <c r="H382" s="5"/>
    </row>
    <row r="383" spans="1:8" ht="12" customHeight="1">
      <c r="A383" s="10" t="s">
        <v>1322</v>
      </c>
      <c r="B383" s="112" t="s">
        <v>1323</v>
      </c>
      <c r="C383" s="82">
        <v>1070</v>
      </c>
      <c r="D383" s="43"/>
      <c r="E383" s="29" cm="1">
        <f t="array" ref="E383">_xlfn.IFS(C383=":",":",C383&gt;=N$19,1,C383&gt;=N$20,2,C383&gt;=N$21,3,C383&gt;=N$22,4,C383&gt;=N$23,5,C383&lt;N$23,6)</f>
        <v>5</v>
      </c>
      <c r="F383" s="30"/>
      <c r="G383" s="5"/>
      <c r="H383" s="5"/>
    </row>
    <row r="384" spans="1:8" ht="12" customHeight="1">
      <c r="A384" s="10" t="s">
        <v>1324</v>
      </c>
      <c r="B384" s="112" t="s">
        <v>1325</v>
      </c>
      <c r="C384" s="82">
        <v>937</v>
      </c>
      <c r="D384" s="43"/>
      <c r="E384" s="29" cm="1">
        <f t="array" ref="E384">_xlfn.IFS(C384=":",":",C384&gt;=N$19,1,C384&gt;=N$20,2,C384&gt;=N$21,3,C384&gt;=N$22,4,C384&gt;=N$23,5,C384&lt;N$23,6)</f>
        <v>6</v>
      </c>
      <c r="F384" s="30"/>
      <c r="G384" s="5"/>
      <c r="H384" s="5"/>
    </row>
    <row r="385" spans="1:8" ht="12" customHeight="1">
      <c r="A385" s="10" t="s">
        <v>1326</v>
      </c>
      <c r="B385" s="112" t="s">
        <v>1327</v>
      </c>
      <c r="C385" s="82">
        <v>393</v>
      </c>
      <c r="D385" s="43"/>
      <c r="E385" s="29" cm="1">
        <f t="array" ref="E385">_xlfn.IFS(C385=":",":",C385&gt;=N$19,1,C385&gt;=N$20,2,C385&gt;=N$21,3,C385&gt;=N$22,4,C385&gt;=N$23,5,C385&lt;N$23,6)</f>
        <v>6</v>
      </c>
      <c r="F385" s="30"/>
      <c r="G385" s="5"/>
      <c r="H385" s="5"/>
    </row>
    <row r="386" spans="1:8" ht="12" customHeight="1">
      <c r="A386" s="10" t="s">
        <v>1328</v>
      </c>
      <c r="B386" s="112" t="s">
        <v>1329</v>
      </c>
      <c r="C386" s="82">
        <v>904</v>
      </c>
      <c r="D386" s="43"/>
      <c r="E386" s="29" cm="1">
        <f t="array" ref="E386">_xlfn.IFS(C386=":",":",C386&gt;=N$19,1,C386&gt;=N$20,2,C386&gt;=N$21,3,C386&gt;=N$22,4,C386&gt;=N$23,5,C386&lt;N$23,6)</f>
        <v>6</v>
      </c>
      <c r="F386" s="30"/>
      <c r="G386" s="5"/>
      <c r="H386" s="5"/>
    </row>
    <row r="387" spans="1:8" ht="12" customHeight="1">
      <c r="A387" s="10" t="s">
        <v>1330</v>
      </c>
      <c r="B387" s="112" t="s">
        <v>1331</v>
      </c>
      <c r="C387" s="82">
        <v>13781</v>
      </c>
      <c r="D387" s="43"/>
      <c r="E387" s="29" cm="1">
        <f t="array" ref="E387">_xlfn.IFS(C387=":",":",C387&gt;=N$19,1,C387&gt;=N$20,2,C387&gt;=N$21,3,C387&gt;=N$22,4,C387&gt;=N$23,5,C387&lt;N$23,6)</f>
        <v>2</v>
      </c>
      <c r="F387" s="30"/>
      <c r="G387" s="5"/>
      <c r="H387" s="5"/>
    </row>
    <row r="388" spans="1:8" ht="12" customHeight="1">
      <c r="A388" s="10" t="s">
        <v>1332</v>
      </c>
      <c r="B388" s="112" t="s">
        <v>1333</v>
      </c>
      <c r="C388" s="82">
        <v>852</v>
      </c>
      <c r="D388" s="43"/>
      <c r="E388" s="29" cm="1">
        <f t="array" ref="E388">_xlfn.IFS(C388=":",":",C388&gt;=N$19,1,C388&gt;=N$20,2,C388&gt;=N$21,3,C388&gt;=N$22,4,C388&gt;=N$23,5,C388&lt;N$23,6)</f>
        <v>6</v>
      </c>
      <c r="F388" s="30"/>
      <c r="G388" s="5"/>
      <c r="H388" s="5"/>
    </row>
    <row r="389" spans="1:8" ht="12" customHeight="1">
      <c r="A389" s="10" t="s">
        <v>1334</v>
      </c>
      <c r="B389" s="112" t="s">
        <v>1335</v>
      </c>
      <c r="C389" s="82">
        <v>4013</v>
      </c>
      <c r="D389" s="43"/>
      <c r="E389" s="29" cm="1">
        <f t="array" ref="E389">_xlfn.IFS(C389=":",":",C389&gt;=N$19,1,C389&gt;=N$20,2,C389&gt;=N$21,3,C389&gt;=N$22,4,C389&gt;=N$23,5,C389&lt;N$23,6)</f>
        <v>3</v>
      </c>
      <c r="F389" s="30"/>
      <c r="G389" s="5"/>
      <c r="H389" s="5"/>
    </row>
    <row r="390" spans="1:8" ht="12" customHeight="1">
      <c r="A390" s="10" t="s">
        <v>1336</v>
      </c>
      <c r="B390" s="112" t="s">
        <v>1337</v>
      </c>
      <c r="C390" s="82">
        <v>1608</v>
      </c>
      <c r="D390" s="43"/>
      <c r="E390" s="29" cm="1">
        <f t="array" ref="E390">_xlfn.IFS(C390=":",":",C390&gt;=N$19,1,C390&gt;=N$20,2,C390&gt;=N$21,3,C390&gt;=N$22,4,C390&gt;=N$23,5,C390&lt;N$23,6)</f>
        <v>5</v>
      </c>
      <c r="F390" s="30"/>
      <c r="G390" s="5"/>
      <c r="H390" s="5"/>
    </row>
    <row r="391" spans="1:8" ht="12" customHeight="1">
      <c r="A391" s="10" t="s">
        <v>1338</v>
      </c>
      <c r="B391" s="112" t="s">
        <v>1339</v>
      </c>
      <c r="C391" s="82">
        <v>2544</v>
      </c>
      <c r="D391" s="43"/>
      <c r="E391" s="29" cm="1">
        <f t="array" ref="E391">_xlfn.IFS(C391=":",":",C391&gt;=N$19,1,C391&gt;=N$20,2,C391&gt;=N$21,3,C391&gt;=N$22,4,C391&gt;=N$23,5,C391&lt;N$23,6)</f>
        <v>4</v>
      </c>
      <c r="F391" s="30"/>
      <c r="G391" s="5"/>
      <c r="H391" s="5"/>
    </row>
    <row r="392" spans="1:8" ht="12" customHeight="1">
      <c r="A392" s="10" t="s">
        <v>1340</v>
      </c>
      <c r="B392" s="112" t="s">
        <v>1341</v>
      </c>
      <c r="C392" s="82">
        <v>957</v>
      </c>
      <c r="D392" s="43"/>
      <c r="E392" s="29" cm="1">
        <f t="array" ref="E392">_xlfn.IFS(C392=":",":",C392&gt;=N$19,1,C392&gt;=N$20,2,C392&gt;=N$21,3,C392&gt;=N$22,4,C392&gt;=N$23,5,C392&lt;N$23,6)</f>
        <v>6</v>
      </c>
      <c r="F392" s="30"/>
      <c r="G392" s="5"/>
      <c r="H392" s="5"/>
    </row>
    <row r="393" spans="1:8" ht="12" customHeight="1">
      <c r="A393" s="10" t="s">
        <v>1342</v>
      </c>
      <c r="B393" s="112" t="s">
        <v>1343</v>
      </c>
      <c r="C393" s="82">
        <v>7459</v>
      </c>
      <c r="D393" s="43"/>
      <c r="E393" s="29" cm="1">
        <f t="array" ref="E393">_xlfn.IFS(C393=":",":",C393&gt;=N$19,1,C393&gt;=N$20,2,C393&gt;=N$21,3,C393&gt;=N$22,4,C393&gt;=N$23,5,C393&lt;N$23,6)</f>
        <v>3</v>
      </c>
      <c r="F393" s="30"/>
      <c r="G393" s="5"/>
      <c r="H393" s="5"/>
    </row>
    <row r="394" spans="1:8" ht="12" customHeight="1">
      <c r="A394" s="10" t="s">
        <v>1344</v>
      </c>
      <c r="B394" s="112" t="s">
        <v>1345</v>
      </c>
      <c r="C394" s="82">
        <v>6414</v>
      </c>
      <c r="D394" s="43"/>
      <c r="E394" s="29" cm="1">
        <f t="array" ref="E394">_xlfn.IFS(C394=":",":",C394&gt;=N$19,1,C394&gt;=N$20,2,C394&gt;=N$21,3,C394&gt;=N$22,4,C394&gt;=N$23,5,C394&lt;N$23,6)</f>
        <v>3</v>
      </c>
      <c r="F394" s="30"/>
      <c r="G394" s="5"/>
      <c r="H394" s="5"/>
    </row>
    <row r="395" spans="1:8" ht="12" customHeight="1">
      <c r="A395" s="10" t="s">
        <v>1346</v>
      </c>
      <c r="B395" s="112" t="s">
        <v>1347</v>
      </c>
      <c r="C395" s="82">
        <v>1382</v>
      </c>
      <c r="D395" s="43"/>
      <c r="E395" s="29" cm="1">
        <f t="array" ref="E395">_xlfn.IFS(C395=":",":",C395&gt;=N$19,1,C395&gt;=N$20,2,C395&gt;=N$21,3,C395&gt;=N$22,4,C395&gt;=N$23,5,C395&lt;N$23,6)</f>
        <v>5</v>
      </c>
      <c r="F395" s="30"/>
      <c r="G395" s="5"/>
      <c r="H395" s="5"/>
    </row>
    <row r="396" spans="1:8" ht="12" customHeight="1">
      <c r="A396" s="10" t="s">
        <v>1348</v>
      </c>
      <c r="B396" s="112" t="s">
        <v>1349</v>
      </c>
      <c r="C396" s="82">
        <v>3627</v>
      </c>
      <c r="D396" s="43"/>
      <c r="E396" s="29" cm="1">
        <f t="array" ref="E396">_xlfn.IFS(C396=":",":",C396&gt;=N$19,1,C396&gt;=N$20,2,C396&gt;=N$21,3,C396&gt;=N$22,4,C396&gt;=N$23,5,C396&lt;N$23,6)</f>
        <v>3</v>
      </c>
      <c r="F396" s="30"/>
      <c r="G396" s="5"/>
      <c r="H396" s="5"/>
    </row>
    <row r="397" spans="1:8" ht="12" customHeight="1">
      <c r="A397" s="10" t="s">
        <v>1350</v>
      </c>
      <c r="B397" s="112" t="s">
        <v>1351</v>
      </c>
      <c r="C397" s="82">
        <v>4236</v>
      </c>
      <c r="D397" s="43"/>
      <c r="E397" s="29" cm="1">
        <f t="array" ref="E397">_xlfn.IFS(C397=":",":",C397&gt;=N$19,1,C397&gt;=N$20,2,C397&gt;=N$21,3,C397&gt;=N$22,4,C397&gt;=N$23,5,C397&lt;N$23,6)</f>
        <v>3</v>
      </c>
      <c r="F397" s="30"/>
      <c r="G397" s="5"/>
      <c r="H397" s="5"/>
    </row>
    <row r="398" spans="1:8" ht="12" customHeight="1">
      <c r="A398" s="10" t="s">
        <v>1352</v>
      </c>
      <c r="B398" s="112" t="s">
        <v>1353</v>
      </c>
      <c r="C398" s="82">
        <v>3817</v>
      </c>
      <c r="D398" s="43"/>
      <c r="E398" s="29" cm="1">
        <f t="array" ref="E398">_xlfn.IFS(C398=":",":",C398&gt;=N$19,1,C398&gt;=N$20,2,C398&gt;=N$21,3,C398&gt;=N$22,4,C398&gt;=N$23,5,C398&lt;N$23,6)</f>
        <v>3</v>
      </c>
      <c r="F398" s="30"/>
      <c r="G398" s="5"/>
      <c r="H398" s="5"/>
    </row>
    <row r="399" spans="1:8" ht="12" customHeight="1">
      <c r="A399" s="10" t="s">
        <v>1354</v>
      </c>
      <c r="B399" s="112" t="s">
        <v>1355</v>
      </c>
      <c r="C399" s="82">
        <v>1815</v>
      </c>
      <c r="D399" s="43"/>
      <c r="E399" s="29" cm="1">
        <f t="array" ref="E399">_xlfn.IFS(C399=":",":",C399&gt;=N$19,1,C399&gt;=N$20,2,C399&gt;=N$21,3,C399&gt;=N$22,4,C399&gt;=N$23,5,C399&lt;N$23,6)</f>
        <v>5</v>
      </c>
      <c r="F399" s="30"/>
      <c r="G399" s="5"/>
      <c r="H399" s="5"/>
    </row>
    <row r="400" spans="1:8" ht="12" customHeight="1">
      <c r="A400" s="10" t="s">
        <v>1356</v>
      </c>
      <c r="B400" s="112" t="s">
        <v>1357</v>
      </c>
      <c r="C400" s="82">
        <v>4915</v>
      </c>
      <c r="D400" s="43"/>
      <c r="E400" s="29" cm="1">
        <f t="array" ref="E400">_xlfn.IFS(C400=":",":",C400&gt;=N$19,1,C400&gt;=N$20,2,C400&gt;=N$21,3,C400&gt;=N$22,4,C400&gt;=N$23,5,C400&lt;N$23,6)</f>
        <v>3</v>
      </c>
      <c r="F400" s="30"/>
      <c r="G400" s="5"/>
      <c r="H400" s="5"/>
    </row>
    <row r="401" spans="1:8" ht="12" customHeight="1">
      <c r="A401" s="10" t="s">
        <v>1358</v>
      </c>
      <c r="B401" s="112" t="s">
        <v>1359</v>
      </c>
      <c r="C401" s="82">
        <v>3105</v>
      </c>
      <c r="D401" s="43"/>
      <c r="E401" s="29" cm="1">
        <f t="array" ref="E401">_xlfn.IFS(C401=":",":",C401&gt;=N$19,1,C401&gt;=N$20,2,C401&gt;=N$21,3,C401&gt;=N$22,4,C401&gt;=N$23,5,C401&lt;N$23,6)</f>
        <v>4</v>
      </c>
      <c r="F401" s="30"/>
      <c r="G401" s="5"/>
      <c r="H401" s="5"/>
    </row>
    <row r="402" spans="1:8" ht="12" customHeight="1">
      <c r="A402" s="10" t="s">
        <v>1360</v>
      </c>
      <c r="B402" s="112" t="s">
        <v>1361</v>
      </c>
      <c r="C402" s="82">
        <v>28550</v>
      </c>
      <c r="D402" s="43"/>
      <c r="E402" s="29" cm="1">
        <f t="array" ref="E402">_xlfn.IFS(C402=":",":",C402&gt;=N$19,1,C402&gt;=N$20,2,C402&gt;=N$21,3,C402&gt;=N$22,4,C402&gt;=N$23,5,C402&lt;N$23,6)</f>
        <v>1</v>
      </c>
      <c r="F402" s="30"/>
      <c r="G402" s="5"/>
      <c r="H402" s="5"/>
    </row>
    <row r="403" spans="1:8" ht="12" customHeight="1">
      <c r="A403" s="10" t="s">
        <v>1362</v>
      </c>
      <c r="B403" s="112" t="s">
        <v>1363</v>
      </c>
      <c r="C403" s="82">
        <v>7451</v>
      </c>
      <c r="D403" s="43"/>
      <c r="E403" s="29" cm="1">
        <f t="array" ref="E403">_xlfn.IFS(C403=":",":",C403&gt;=N$19,1,C403&gt;=N$20,2,C403&gt;=N$21,3,C403&gt;=N$22,4,C403&gt;=N$23,5,C403&lt;N$23,6)</f>
        <v>3</v>
      </c>
      <c r="F403" s="30"/>
      <c r="G403" s="5"/>
      <c r="H403" s="5"/>
    </row>
    <row r="404" spans="1:8" ht="12" customHeight="1">
      <c r="A404" s="10" t="s">
        <v>1364</v>
      </c>
      <c r="B404" s="112" t="s">
        <v>1365</v>
      </c>
      <c r="C404" s="82">
        <v>7706</v>
      </c>
      <c r="D404" s="43"/>
      <c r="E404" s="29" cm="1">
        <f t="array" ref="E404">_xlfn.IFS(C404=":",":",C404&gt;=N$19,1,C404&gt;=N$20,2,C404&gt;=N$21,3,C404&gt;=N$22,4,C404&gt;=N$23,5,C404&lt;N$23,6)</f>
        <v>2</v>
      </c>
      <c r="F404" s="30"/>
      <c r="G404" s="5"/>
      <c r="H404" s="5"/>
    </row>
    <row r="405" spans="1:8" ht="12" customHeight="1">
      <c r="A405" s="10" t="s">
        <v>1366</v>
      </c>
      <c r="B405" s="112" t="s">
        <v>1367</v>
      </c>
      <c r="C405" s="82">
        <v>14648</v>
      </c>
      <c r="D405" s="43"/>
      <c r="E405" s="29" cm="1">
        <f t="array" ref="E405">_xlfn.IFS(C405=":",":",C405&gt;=N$19,1,C405&gt;=N$20,2,C405&gt;=N$21,3,C405&gt;=N$22,4,C405&gt;=N$23,5,C405&lt;N$23,6)</f>
        <v>2</v>
      </c>
      <c r="F405" s="30"/>
      <c r="G405" s="5"/>
      <c r="H405" s="5"/>
    </row>
    <row r="406" spans="1:8" ht="12" customHeight="1">
      <c r="A406" s="10" t="s">
        <v>1368</v>
      </c>
      <c r="B406" s="112" t="s">
        <v>1369</v>
      </c>
      <c r="C406" s="82">
        <v>8541</v>
      </c>
      <c r="D406" s="43"/>
      <c r="E406" s="29" cm="1">
        <f t="array" ref="E406">_xlfn.IFS(C406=":",":",C406&gt;=N$19,1,C406&gt;=N$20,2,C406&gt;=N$21,3,C406&gt;=N$22,4,C406&gt;=N$23,5,C406&lt;N$23,6)</f>
        <v>2</v>
      </c>
      <c r="F406" s="30"/>
      <c r="G406" s="5"/>
      <c r="H406" s="5"/>
    </row>
    <row r="407" spans="1:8" ht="12" customHeight="1">
      <c r="A407" s="10" t="s">
        <v>1370</v>
      </c>
      <c r="B407" s="112" t="s">
        <v>1371</v>
      </c>
      <c r="C407" s="82">
        <v>22905</v>
      </c>
      <c r="D407" s="43"/>
      <c r="E407" s="29" cm="1">
        <f t="array" ref="E407">_xlfn.IFS(C407=":",":",C407&gt;=N$19,1,C407&gt;=N$20,2,C407&gt;=N$21,3,C407&gt;=N$22,4,C407&gt;=N$23,5,C407&lt;N$23,6)</f>
        <v>1</v>
      </c>
      <c r="F407" s="30"/>
      <c r="G407" s="5"/>
      <c r="H407" s="5"/>
    </row>
    <row r="408" spans="1:8" ht="12" customHeight="1">
      <c r="A408" s="10" t="s">
        <v>1372</v>
      </c>
      <c r="B408" s="112" t="s">
        <v>1373</v>
      </c>
      <c r="C408" s="82">
        <v>8515</v>
      </c>
      <c r="D408" s="43"/>
      <c r="E408" s="29" cm="1">
        <f t="array" ref="E408">_xlfn.IFS(C408=":",":",C408&gt;=N$19,1,C408&gt;=N$20,2,C408&gt;=N$21,3,C408&gt;=N$22,4,C408&gt;=N$23,5,C408&lt;N$23,6)</f>
        <v>2</v>
      </c>
      <c r="F408" s="30"/>
      <c r="G408" s="5"/>
      <c r="H408" s="5"/>
    </row>
    <row r="409" spans="1:8" ht="12" customHeight="1">
      <c r="A409" s="10" t="s">
        <v>1374</v>
      </c>
      <c r="B409" s="112" t="s">
        <v>1375</v>
      </c>
      <c r="C409" s="82">
        <v>1923</v>
      </c>
      <c r="D409" s="43"/>
      <c r="E409" s="29" cm="1">
        <f t="array" ref="E409">_xlfn.IFS(C409=":",":",C409&gt;=N$19,1,C409&gt;=N$20,2,C409&gt;=N$21,3,C409&gt;=N$22,4,C409&gt;=N$23,5,C409&lt;N$23,6)</f>
        <v>5</v>
      </c>
      <c r="F409" s="30"/>
      <c r="G409" s="5"/>
      <c r="H409" s="5"/>
    </row>
    <row r="410" spans="1:8" ht="12" customHeight="1">
      <c r="A410" s="10" t="s">
        <v>1376</v>
      </c>
      <c r="B410" s="112" t="s">
        <v>1377</v>
      </c>
      <c r="C410" s="82">
        <v>3556</v>
      </c>
      <c r="D410" s="43"/>
      <c r="E410" s="29" cm="1">
        <f t="array" ref="E410">_xlfn.IFS(C410=":",":",C410&gt;=N$19,1,C410&gt;=N$20,2,C410&gt;=N$21,3,C410&gt;=N$22,4,C410&gt;=N$23,5,C410&lt;N$23,6)</f>
        <v>3</v>
      </c>
      <c r="F410" s="30"/>
      <c r="G410" s="5"/>
      <c r="H410" s="5"/>
    </row>
    <row r="411" spans="1:8" ht="12" customHeight="1">
      <c r="A411" s="10" t="s">
        <v>1378</v>
      </c>
      <c r="B411" s="112" t="s">
        <v>1379</v>
      </c>
      <c r="C411" s="82">
        <v>2503</v>
      </c>
      <c r="D411" s="43"/>
      <c r="E411" s="29" cm="1">
        <f t="array" ref="E411">_xlfn.IFS(C411=":",":",C411&gt;=N$19,1,C411&gt;=N$20,2,C411&gt;=N$21,3,C411&gt;=N$22,4,C411&gt;=N$23,5,C411&lt;N$23,6)</f>
        <v>4</v>
      </c>
      <c r="F411" s="30"/>
      <c r="G411" s="5"/>
      <c r="H411" s="5"/>
    </row>
    <row r="412" spans="1:8" ht="12" customHeight="1">
      <c r="A412" s="10" t="s">
        <v>1380</v>
      </c>
      <c r="B412" s="112" t="s">
        <v>1381</v>
      </c>
      <c r="C412" s="82">
        <v>1834</v>
      </c>
      <c r="D412" s="43"/>
      <c r="E412" s="29" cm="1">
        <f t="array" ref="E412">_xlfn.IFS(C412=":",":",C412&gt;=N$19,1,C412&gt;=N$20,2,C412&gt;=N$21,3,C412&gt;=N$22,4,C412&gt;=N$23,5,C412&lt;N$23,6)</f>
        <v>5</v>
      </c>
      <c r="F412" s="30"/>
      <c r="G412" s="5"/>
      <c r="H412" s="5"/>
    </row>
    <row r="413" spans="1:8" ht="12" customHeight="1">
      <c r="A413" s="10" t="s">
        <v>1382</v>
      </c>
      <c r="B413" s="112" t="s">
        <v>1383</v>
      </c>
      <c r="C413" s="82">
        <v>5339</v>
      </c>
      <c r="D413" s="43"/>
      <c r="E413" s="29" cm="1">
        <f t="array" ref="E413">_xlfn.IFS(C413=":",":",C413&gt;=N$19,1,C413&gt;=N$20,2,C413&gt;=N$21,3,C413&gt;=N$22,4,C413&gt;=N$23,5,C413&lt;N$23,6)</f>
        <v>3</v>
      </c>
      <c r="F413" s="30"/>
      <c r="G413" s="5"/>
      <c r="H413" s="5"/>
    </row>
    <row r="414" spans="1:8" ht="12" customHeight="1">
      <c r="A414" s="10" t="s">
        <v>1384</v>
      </c>
      <c r="B414" s="112" t="s">
        <v>1385</v>
      </c>
      <c r="C414" s="82">
        <v>3508</v>
      </c>
      <c r="D414" s="43"/>
      <c r="E414" s="29" cm="1">
        <f t="array" ref="E414">_xlfn.IFS(C414=":",":",C414&gt;=N$19,1,C414&gt;=N$20,2,C414&gt;=N$21,3,C414&gt;=N$22,4,C414&gt;=N$23,5,C414&lt;N$23,6)</f>
        <v>3</v>
      </c>
      <c r="F414" s="30"/>
      <c r="G414" s="5"/>
      <c r="H414" s="5"/>
    </row>
    <row r="415" spans="1:8" ht="12" customHeight="1">
      <c r="A415" s="10" t="s">
        <v>1386</v>
      </c>
      <c r="B415" s="112" t="s">
        <v>1387</v>
      </c>
      <c r="C415" s="82">
        <v>2404</v>
      </c>
      <c r="D415" s="43"/>
      <c r="E415" s="29" cm="1">
        <f t="array" ref="E415">_xlfn.IFS(C415=":",":",C415&gt;=N$19,1,C415&gt;=N$20,2,C415&gt;=N$21,3,C415&gt;=N$22,4,C415&gt;=N$23,5,C415&lt;N$23,6)</f>
        <v>4</v>
      </c>
      <c r="F415" s="30"/>
      <c r="G415" s="5"/>
      <c r="H415" s="5"/>
    </row>
    <row r="416" spans="1:8" ht="12" customHeight="1">
      <c r="A416" s="10" t="s">
        <v>1388</v>
      </c>
      <c r="B416" s="112" t="s">
        <v>1389</v>
      </c>
      <c r="C416" s="82">
        <v>5655</v>
      </c>
      <c r="D416" s="43"/>
      <c r="E416" s="29" cm="1">
        <f t="array" ref="E416">_xlfn.IFS(C416=":",":",C416&gt;=N$19,1,C416&gt;=N$20,2,C416&gt;=N$21,3,C416&gt;=N$22,4,C416&gt;=N$23,5,C416&lt;N$23,6)</f>
        <v>3</v>
      </c>
      <c r="F416" s="30"/>
      <c r="G416" s="5"/>
      <c r="H416" s="5"/>
    </row>
    <row r="417" spans="1:8" ht="12" customHeight="1">
      <c r="A417" s="10" t="s">
        <v>1390</v>
      </c>
      <c r="B417" s="112" t="s">
        <v>1391</v>
      </c>
      <c r="C417" s="82">
        <v>1836</v>
      </c>
      <c r="D417" s="43"/>
      <c r="E417" s="29" cm="1">
        <f t="array" ref="E417">_xlfn.IFS(C417=":",":",C417&gt;=N$19,1,C417&gt;=N$20,2,C417&gt;=N$21,3,C417&gt;=N$22,4,C417&gt;=N$23,5,C417&lt;N$23,6)</f>
        <v>5</v>
      </c>
      <c r="F417" s="30"/>
      <c r="G417" s="5"/>
      <c r="H417" s="5"/>
    </row>
    <row r="418" spans="1:8" ht="12" customHeight="1">
      <c r="A418" s="10" t="s">
        <v>1392</v>
      </c>
      <c r="B418" s="112" t="s">
        <v>1393</v>
      </c>
      <c r="C418" s="82">
        <v>1404</v>
      </c>
      <c r="D418" s="43"/>
      <c r="E418" s="29" cm="1">
        <f t="array" ref="E418">_xlfn.IFS(C418=":",":",C418&gt;=N$19,1,C418&gt;=N$20,2,C418&gt;=N$21,3,C418&gt;=N$22,4,C418&gt;=N$23,5,C418&lt;N$23,6)</f>
        <v>5</v>
      </c>
      <c r="F418" s="30"/>
      <c r="G418" s="5"/>
      <c r="H418" s="5"/>
    </row>
    <row r="419" spans="1:8" ht="12" customHeight="1">
      <c r="A419" s="10" t="s">
        <v>1394</v>
      </c>
      <c r="B419" s="112" t="s">
        <v>1395</v>
      </c>
      <c r="C419" s="82">
        <v>1143</v>
      </c>
      <c r="D419" s="43"/>
      <c r="E419" s="29" cm="1">
        <f t="array" ref="E419">_xlfn.IFS(C419=":",":",C419&gt;=N$19,1,C419&gt;=N$20,2,C419&gt;=N$21,3,C419&gt;=N$22,4,C419&gt;=N$23,5,C419&lt;N$23,6)</f>
        <v>5</v>
      </c>
      <c r="F419" s="30"/>
      <c r="G419" s="5"/>
      <c r="H419" s="5"/>
    </row>
    <row r="420" spans="1:8" ht="12" customHeight="1">
      <c r="A420" s="10" t="s">
        <v>1396</v>
      </c>
      <c r="B420" s="112" t="s">
        <v>1397</v>
      </c>
      <c r="C420" s="82">
        <v>5497</v>
      </c>
      <c r="D420" s="43"/>
      <c r="E420" s="29" cm="1">
        <f t="array" ref="E420">_xlfn.IFS(C420=":",":",C420&gt;=N$19,1,C420&gt;=N$20,2,C420&gt;=N$21,3,C420&gt;=N$22,4,C420&gt;=N$23,5,C420&lt;N$23,6)</f>
        <v>3</v>
      </c>
      <c r="F420" s="30"/>
      <c r="G420" s="5"/>
      <c r="H420" s="5"/>
    </row>
    <row r="421" spans="1:8" ht="12" customHeight="1">
      <c r="A421" s="10" t="s">
        <v>1398</v>
      </c>
      <c r="B421" s="112" t="s">
        <v>1399</v>
      </c>
      <c r="C421" s="82">
        <v>2007</v>
      </c>
      <c r="D421" s="43"/>
      <c r="E421" s="29" cm="1">
        <f t="array" ref="E421">_xlfn.IFS(C421=":",":",C421&gt;=N$19,1,C421&gt;=N$20,2,C421&gt;=N$21,3,C421&gt;=N$22,4,C421&gt;=N$23,5,C421&lt;N$23,6)</f>
        <v>4</v>
      </c>
      <c r="F421" s="30"/>
      <c r="G421" s="5"/>
      <c r="H421" s="5"/>
    </row>
    <row r="422" spans="1:8" ht="12" customHeight="1">
      <c r="A422" s="10" t="s">
        <v>1400</v>
      </c>
      <c r="B422" s="112" t="s">
        <v>1401</v>
      </c>
      <c r="C422" s="82">
        <v>1081</v>
      </c>
      <c r="D422" s="43"/>
      <c r="E422" s="29" cm="1">
        <f t="array" ref="E422">_xlfn.IFS(C422=":",":",C422&gt;=N$19,1,C422&gt;=N$20,2,C422&gt;=N$21,3,C422&gt;=N$22,4,C422&gt;=N$23,5,C422&lt;N$23,6)</f>
        <v>5</v>
      </c>
      <c r="F422" s="30"/>
      <c r="G422" s="5"/>
      <c r="H422" s="5"/>
    </row>
    <row r="423" spans="1:8" ht="12" customHeight="1">
      <c r="A423" s="10" t="s">
        <v>1402</v>
      </c>
      <c r="B423" s="112" t="s">
        <v>1403</v>
      </c>
      <c r="C423" s="82">
        <v>2363</v>
      </c>
      <c r="D423" s="43"/>
      <c r="E423" s="29" cm="1">
        <f t="array" ref="E423">_xlfn.IFS(C423=":",":",C423&gt;=N$19,1,C423&gt;=N$20,2,C423&gt;=N$21,3,C423&gt;=N$22,4,C423&gt;=N$23,5,C423&lt;N$23,6)</f>
        <v>4</v>
      </c>
      <c r="F423" s="30"/>
      <c r="G423" s="5"/>
      <c r="H423" s="5"/>
    </row>
    <row r="424" spans="1:8" ht="12" customHeight="1">
      <c r="A424" s="10" t="s">
        <v>1404</v>
      </c>
      <c r="B424" s="112" t="s">
        <v>1405</v>
      </c>
      <c r="C424" s="82">
        <v>1635</v>
      </c>
      <c r="D424" s="43"/>
      <c r="E424" s="29" cm="1">
        <f t="array" ref="E424">_xlfn.IFS(C424=":",":",C424&gt;=N$19,1,C424&gt;=N$20,2,C424&gt;=N$21,3,C424&gt;=N$22,4,C424&gt;=N$23,5,C424&lt;N$23,6)</f>
        <v>5</v>
      </c>
      <c r="F424" s="30"/>
      <c r="G424" s="5"/>
      <c r="H424" s="5"/>
    </row>
    <row r="425" spans="1:8" ht="12" customHeight="1">
      <c r="A425" s="10" t="s">
        <v>1406</v>
      </c>
      <c r="B425" s="112" t="s">
        <v>1407</v>
      </c>
      <c r="C425" s="82">
        <v>5972</v>
      </c>
      <c r="D425" s="43"/>
      <c r="E425" s="29" cm="1">
        <f t="array" ref="E425">_xlfn.IFS(C425=":",":",C425&gt;=N$19,1,C425&gt;=N$20,2,C425&gt;=N$21,3,C425&gt;=N$22,4,C425&gt;=N$23,5,C425&lt;N$23,6)</f>
        <v>3</v>
      </c>
      <c r="F425" s="30"/>
      <c r="G425" s="5"/>
      <c r="H425" s="5"/>
    </row>
    <row r="426" spans="1:8" ht="12" customHeight="1">
      <c r="A426" s="10" t="s">
        <v>1408</v>
      </c>
      <c r="B426" s="112" t="s">
        <v>1409</v>
      </c>
      <c r="C426" s="82">
        <v>751</v>
      </c>
      <c r="D426" s="43"/>
      <c r="E426" s="29" cm="1">
        <f t="array" ref="E426">_xlfn.IFS(C426=":",":",C426&gt;=N$19,1,C426&gt;=N$20,2,C426&gt;=N$21,3,C426&gt;=N$22,4,C426&gt;=N$23,5,C426&lt;N$23,6)</f>
        <v>6</v>
      </c>
      <c r="F426" s="30"/>
      <c r="G426" s="5"/>
      <c r="H426" s="5"/>
    </row>
    <row r="427" spans="1:8" ht="12" customHeight="1">
      <c r="A427" s="10" t="s">
        <v>1410</v>
      </c>
      <c r="B427" s="112" t="s">
        <v>1411</v>
      </c>
      <c r="C427" s="82">
        <v>2955</v>
      </c>
      <c r="D427" s="43"/>
      <c r="E427" s="29" cm="1">
        <f t="array" ref="E427">_xlfn.IFS(C427=":",":",C427&gt;=N$19,1,C427&gt;=N$20,2,C427&gt;=N$21,3,C427&gt;=N$22,4,C427&gt;=N$23,5,C427&lt;N$23,6)</f>
        <v>4</v>
      </c>
      <c r="F427" s="30"/>
      <c r="G427" s="5"/>
      <c r="H427" s="5"/>
    </row>
    <row r="428" spans="1:8" ht="12" customHeight="1">
      <c r="A428" s="10" t="s">
        <v>1412</v>
      </c>
      <c r="B428" s="112" t="s">
        <v>1413</v>
      </c>
      <c r="C428" s="82">
        <v>4053</v>
      </c>
      <c r="D428" s="43"/>
      <c r="E428" s="29" cm="1">
        <f t="array" ref="E428">_xlfn.IFS(C428=":",":",C428&gt;=N$19,1,C428&gt;=N$20,2,C428&gt;=N$21,3,C428&gt;=N$22,4,C428&gt;=N$23,5,C428&lt;N$23,6)</f>
        <v>3</v>
      </c>
      <c r="F428" s="30"/>
      <c r="G428" s="5"/>
      <c r="H428" s="5"/>
    </row>
    <row r="429" spans="1:8" ht="12" customHeight="1">
      <c r="A429" s="10" t="s">
        <v>1414</v>
      </c>
      <c r="B429" s="112" t="s">
        <v>1415</v>
      </c>
      <c r="C429" s="82">
        <v>2389</v>
      </c>
      <c r="D429" s="43"/>
      <c r="E429" s="29" cm="1">
        <f t="array" ref="E429">_xlfn.IFS(C429=":",":",C429&gt;=N$19,1,C429&gt;=N$20,2,C429&gt;=N$21,3,C429&gt;=N$22,4,C429&gt;=N$23,5,C429&lt;N$23,6)</f>
        <v>4</v>
      </c>
      <c r="F429" s="30"/>
      <c r="G429" s="5"/>
      <c r="H429" s="5"/>
    </row>
    <row r="430" spans="1:8" ht="12" customHeight="1">
      <c r="A430" s="10" t="s">
        <v>1416</v>
      </c>
      <c r="B430" s="112" t="s">
        <v>1417</v>
      </c>
      <c r="C430" s="82">
        <v>3552</v>
      </c>
      <c r="D430" s="43"/>
      <c r="E430" s="29" cm="1">
        <f t="array" ref="E430">_xlfn.IFS(C430=":",":",C430&gt;=N$19,1,C430&gt;=N$20,2,C430&gt;=N$21,3,C430&gt;=N$22,4,C430&gt;=N$23,5,C430&lt;N$23,6)</f>
        <v>3</v>
      </c>
      <c r="F430" s="30"/>
      <c r="G430" s="5"/>
      <c r="H430" s="5"/>
    </row>
    <row r="431" spans="1:8" ht="12" customHeight="1">
      <c r="A431" s="10" t="s">
        <v>1418</v>
      </c>
      <c r="B431" s="112" t="s">
        <v>1419</v>
      </c>
      <c r="C431" s="82">
        <v>530</v>
      </c>
      <c r="D431" s="43"/>
      <c r="E431" s="29" cm="1">
        <f t="array" ref="E431">_xlfn.IFS(C431=":",":",C431&gt;=N$19,1,C431&gt;=N$20,2,C431&gt;=N$21,3,C431&gt;=N$22,4,C431&gt;=N$23,5,C431&lt;N$23,6)</f>
        <v>6</v>
      </c>
      <c r="F431" s="30"/>
      <c r="G431" s="5"/>
      <c r="H431" s="5"/>
    </row>
    <row r="432" spans="1:8" ht="12" customHeight="1">
      <c r="A432" s="10" t="s">
        <v>1420</v>
      </c>
      <c r="B432" s="112" t="s">
        <v>1421</v>
      </c>
      <c r="C432" s="82">
        <v>899</v>
      </c>
      <c r="D432" s="43"/>
      <c r="E432" s="29" cm="1">
        <f t="array" ref="E432">_xlfn.IFS(C432=":",":",C432&gt;=N$19,1,C432&gt;=N$20,2,C432&gt;=N$21,3,C432&gt;=N$22,4,C432&gt;=N$23,5,C432&lt;N$23,6)</f>
        <v>6</v>
      </c>
      <c r="F432" s="30"/>
      <c r="G432" s="5"/>
      <c r="H432" s="5"/>
    </row>
    <row r="433" spans="1:8" ht="12" customHeight="1">
      <c r="A433" s="10" t="s">
        <v>1422</v>
      </c>
      <c r="B433" s="112" t="s">
        <v>1423</v>
      </c>
      <c r="C433" s="82">
        <v>1562</v>
      </c>
      <c r="D433" s="43"/>
      <c r="E433" s="29" cm="1">
        <f t="array" ref="E433">_xlfn.IFS(C433=":",":",C433&gt;=N$19,1,C433&gt;=N$20,2,C433&gt;=N$21,3,C433&gt;=N$22,4,C433&gt;=N$23,5,C433&lt;N$23,6)</f>
        <v>5</v>
      </c>
      <c r="F433" s="30"/>
      <c r="G433" s="5"/>
      <c r="H433" s="5"/>
    </row>
    <row r="434" spans="1:8" ht="12" customHeight="1">
      <c r="A434" s="10" t="s">
        <v>1424</v>
      </c>
      <c r="B434" s="112" t="s">
        <v>1425</v>
      </c>
      <c r="C434" s="82">
        <v>8967</v>
      </c>
      <c r="D434" s="43"/>
      <c r="E434" s="29" cm="1">
        <f t="array" ref="E434">_xlfn.IFS(C434=":",":",C434&gt;=N$19,1,C434&gt;=N$20,2,C434&gt;=N$21,3,C434&gt;=N$22,4,C434&gt;=N$23,5,C434&lt;N$23,6)</f>
        <v>2</v>
      </c>
      <c r="F434" s="30"/>
      <c r="G434" s="5"/>
      <c r="H434" s="5"/>
    </row>
    <row r="435" spans="1:8" ht="12" customHeight="1">
      <c r="A435" s="10" t="s">
        <v>1426</v>
      </c>
      <c r="B435" s="112" t="s">
        <v>1427</v>
      </c>
      <c r="C435" s="82">
        <v>8282</v>
      </c>
      <c r="D435" s="43"/>
      <c r="E435" s="29" cm="1">
        <f t="array" ref="E435">_xlfn.IFS(C435=":",":",C435&gt;=N$19,1,C435&gt;=N$20,2,C435&gt;=N$21,3,C435&gt;=N$22,4,C435&gt;=N$23,5,C435&lt;N$23,6)</f>
        <v>2</v>
      </c>
      <c r="F435" s="30"/>
      <c r="G435" s="5"/>
      <c r="H435" s="5"/>
    </row>
    <row r="436" spans="1:8" ht="12" customHeight="1">
      <c r="A436" s="10" t="s">
        <v>1428</v>
      </c>
      <c r="B436" s="112" t="s">
        <v>1429</v>
      </c>
      <c r="C436" s="82">
        <v>2168</v>
      </c>
      <c r="D436" s="43"/>
      <c r="E436" s="29" cm="1">
        <f t="array" ref="E436">_xlfn.IFS(C436=":",":",C436&gt;=N$19,1,C436&gt;=N$20,2,C436&gt;=N$21,3,C436&gt;=N$22,4,C436&gt;=N$23,5,C436&lt;N$23,6)</f>
        <v>4</v>
      </c>
      <c r="F436" s="30"/>
      <c r="G436" s="5"/>
      <c r="H436" s="5"/>
    </row>
    <row r="437" spans="1:8" ht="12" customHeight="1">
      <c r="A437" s="10" t="s">
        <v>1430</v>
      </c>
      <c r="B437" s="112" t="s">
        <v>1431</v>
      </c>
      <c r="C437" s="82">
        <v>4746</v>
      </c>
      <c r="D437" s="43"/>
      <c r="E437" s="29" cm="1">
        <f t="array" ref="E437">_xlfn.IFS(C437=":",":",C437&gt;=N$19,1,C437&gt;=N$20,2,C437&gt;=N$21,3,C437&gt;=N$22,4,C437&gt;=N$23,5,C437&lt;N$23,6)</f>
        <v>3</v>
      </c>
      <c r="F437" s="30"/>
      <c r="G437" s="5"/>
      <c r="H437" s="5"/>
    </row>
    <row r="438" spans="1:8" ht="12" customHeight="1">
      <c r="A438" s="10" t="s">
        <v>1432</v>
      </c>
      <c r="B438" s="112" t="s">
        <v>1433</v>
      </c>
      <c r="C438" s="82">
        <v>2718</v>
      </c>
      <c r="D438" s="43"/>
      <c r="E438" s="29" cm="1">
        <f t="array" ref="E438">_xlfn.IFS(C438=":",":",C438&gt;=N$19,1,C438&gt;=N$20,2,C438&gt;=N$21,3,C438&gt;=N$22,4,C438&gt;=N$23,5,C438&lt;N$23,6)</f>
        <v>4</v>
      </c>
      <c r="F438" s="30"/>
      <c r="G438" s="5"/>
      <c r="H438" s="5"/>
    </row>
    <row r="439" spans="1:8" ht="12" customHeight="1">
      <c r="A439" s="10" t="s">
        <v>1434</v>
      </c>
      <c r="B439" s="112" t="s">
        <v>1435</v>
      </c>
      <c r="C439" s="82">
        <v>7550</v>
      </c>
      <c r="D439" s="43"/>
      <c r="E439" s="29" cm="1">
        <f t="array" ref="E439">_xlfn.IFS(C439=":",":",C439&gt;=N$19,1,C439&gt;=N$20,2,C439&gt;=N$21,3,C439&gt;=N$22,4,C439&gt;=N$23,5,C439&lt;N$23,6)</f>
        <v>2</v>
      </c>
      <c r="F439" s="30"/>
      <c r="G439" s="5"/>
      <c r="H439" s="5"/>
    </row>
    <row r="440" spans="1:8" ht="12" customHeight="1">
      <c r="A440" s="10" t="s">
        <v>1436</v>
      </c>
      <c r="B440" s="112" t="s">
        <v>1437</v>
      </c>
      <c r="C440" s="82">
        <v>1832</v>
      </c>
      <c r="D440" s="43"/>
      <c r="E440" s="29" cm="1">
        <f t="array" ref="E440">_xlfn.IFS(C440=":",":",C440&gt;=N$19,1,C440&gt;=N$20,2,C440&gt;=N$21,3,C440&gt;=N$22,4,C440&gt;=N$23,5,C440&lt;N$23,6)</f>
        <v>5</v>
      </c>
      <c r="F440" s="30"/>
      <c r="G440" s="5"/>
      <c r="H440" s="5"/>
    </row>
    <row r="441" spans="1:8" ht="12" customHeight="1">
      <c r="A441" s="10" t="s">
        <v>1438</v>
      </c>
      <c r="B441" s="112" t="s">
        <v>1439</v>
      </c>
      <c r="C441" s="82">
        <v>4415</v>
      </c>
      <c r="D441" s="43"/>
      <c r="E441" s="29" cm="1">
        <f t="array" ref="E441">_xlfn.IFS(C441=":",":",C441&gt;=N$19,1,C441&gt;=N$20,2,C441&gt;=N$21,3,C441&gt;=N$22,4,C441&gt;=N$23,5,C441&lt;N$23,6)</f>
        <v>3</v>
      </c>
      <c r="F441" s="30"/>
      <c r="G441" s="5"/>
      <c r="H441" s="5"/>
    </row>
    <row r="442" spans="1:8" ht="12" customHeight="1">
      <c r="A442" s="10" t="s">
        <v>1440</v>
      </c>
      <c r="B442" s="112" t="s">
        <v>1441</v>
      </c>
      <c r="C442" s="82">
        <v>1763</v>
      </c>
      <c r="D442" s="43"/>
      <c r="E442" s="29" cm="1">
        <f t="array" ref="E442">_xlfn.IFS(C442=":",":",C442&gt;=N$19,1,C442&gt;=N$20,2,C442&gt;=N$21,3,C442&gt;=N$22,4,C442&gt;=N$23,5,C442&lt;N$23,6)</f>
        <v>5</v>
      </c>
      <c r="F442" s="30"/>
      <c r="G442" s="5"/>
      <c r="H442" s="5"/>
    </row>
    <row r="443" spans="1:8" ht="12" customHeight="1">
      <c r="A443" s="10" t="s">
        <v>1442</v>
      </c>
      <c r="B443" s="112" t="s">
        <v>1443</v>
      </c>
      <c r="C443" s="82">
        <v>3754</v>
      </c>
      <c r="D443" s="43"/>
      <c r="E443" s="29" cm="1">
        <f t="array" ref="E443">_xlfn.IFS(C443=":",":",C443&gt;=N$19,1,C443&gt;=N$20,2,C443&gt;=N$21,3,C443&gt;=N$22,4,C443&gt;=N$23,5,C443&lt;N$23,6)</f>
        <v>3</v>
      </c>
      <c r="F443" s="30"/>
      <c r="G443" s="5"/>
      <c r="H443" s="5"/>
    </row>
    <row r="444" spans="1:8" ht="12" customHeight="1">
      <c r="A444" s="10" t="s">
        <v>1444</v>
      </c>
      <c r="B444" s="112" t="s">
        <v>1445</v>
      </c>
      <c r="C444" s="82">
        <v>1561</v>
      </c>
      <c r="D444" s="43"/>
      <c r="E444" s="29" cm="1">
        <f t="array" ref="E444">_xlfn.IFS(C444=":",":",C444&gt;=N$19,1,C444&gt;=N$20,2,C444&gt;=N$21,3,C444&gt;=N$22,4,C444&gt;=N$23,5,C444&lt;N$23,6)</f>
        <v>5</v>
      </c>
      <c r="F444" s="30"/>
      <c r="G444" s="5"/>
      <c r="H444" s="5"/>
    </row>
    <row r="445" spans="1:8" ht="12" customHeight="1">
      <c r="A445" s="10" t="s">
        <v>1446</v>
      </c>
      <c r="B445" s="112" t="s">
        <v>1447</v>
      </c>
      <c r="C445" s="82">
        <v>6391</v>
      </c>
      <c r="D445" s="43"/>
      <c r="E445" s="29" cm="1">
        <f t="array" ref="E445">_xlfn.IFS(C445=":",":",C445&gt;=N$19,1,C445&gt;=N$20,2,C445&gt;=N$21,3,C445&gt;=N$22,4,C445&gt;=N$23,5,C445&lt;N$23,6)</f>
        <v>3</v>
      </c>
      <c r="F445" s="30"/>
      <c r="G445" s="5"/>
      <c r="H445" s="5"/>
    </row>
    <row r="446" spans="1:8" ht="12" customHeight="1">
      <c r="A446" s="10" t="s">
        <v>1448</v>
      </c>
      <c r="B446" s="112" t="s">
        <v>153</v>
      </c>
      <c r="C446" s="82">
        <v>1956</v>
      </c>
      <c r="D446" s="43"/>
      <c r="E446" s="29" cm="1">
        <f t="array" ref="E446">_xlfn.IFS(C446=":",":",C446&gt;=N$19,1,C446&gt;=N$20,2,C446&gt;=N$21,3,C446&gt;=N$22,4,C446&gt;=N$23,5,C446&lt;N$23,6)</f>
        <v>5</v>
      </c>
      <c r="F446" s="30"/>
      <c r="G446" s="5"/>
      <c r="H446" s="5"/>
    </row>
    <row r="447" spans="1:8" ht="12" customHeight="1">
      <c r="A447" s="10" t="s">
        <v>1449</v>
      </c>
      <c r="B447" s="112" t="s">
        <v>1450</v>
      </c>
      <c r="C447" s="82">
        <v>2940</v>
      </c>
      <c r="D447" s="43"/>
      <c r="E447" s="29" cm="1">
        <f t="array" ref="E447">_xlfn.IFS(C447=":",":",C447&gt;=N$19,1,C447&gt;=N$20,2,C447&gt;=N$21,3,C447&gt;=N$22,4,C447&gt;=N$23,5,C447&lt;N$23,6)</f>
        <v>4</v>
      </c>
      <c r="F447" s="30"/>
      <c r="G447" s="5"/>
      <c r="H447" s="5"/>
    </row>
    <row r="448" spans="1:8" ht="12" customHeight="1">
      <c r="A448" s="10" t="s">
        <v>1451</v>
      </c>
      <c r="B448" s="112" t="s">
        <v>1452</v>
      </c>
      <c r="C448" s="82">
        <v>2910</v>
      </c>
      <c r="D448" s="43"/>
      <c r="E448" s="29" cm="1">
        <f t="array" ref="E448">_xlfn.IFS(C448=":",":",C448&gt;=N$19,1,C448&gt;=N$20,2,C448&gt;=N$21,3,C448&gt;=N$22,4,C448&gt;=N$23,5,C448&lt;N$23,6)</f>
        <v>4</v>
      </c>
      <c r="F448" s="30"/>
      <c r="G448" s="5"/>
      <c r="H448" s="5"/>
    </row>
    <row r="449" spans="1:8" ht="12" customHeight="1">
      <c r="A449" s="10" t="s">
        <v>1453</v>
      </c>
      <c r="B449" s="112" t="s">
        <v>1454</v>
      </c>
      <c r="C449" s="82">
        <v>1802</v>
      </c>
      <c r="D449" s="43"/>
      <c r="E449" s="29" cm="1">
        <f t="array" ref="E449">_xlfn.IFS(C449=":",":",C449&gt;=N$19,1,C449&gt;=N$20,2,C449&gt;=N$21,3,C449&gt;=N$22,4,C449&gt;=N$23,5,C449&lt;N$23,6)</f>
        <v>5</v>
      </c>
      <c r="F449" s="30"/>
      <c r="G449" s="5"/>
      <c r="H449" s="5"/>
    </row>
    <row r="450" spans="1:8" ht="12" customHeight="1">
      <c r="A450" s="10" t="s">
        <v>1455</v>
      </c>
      <c r="B450" s="112" t="s">
        <v>1456</v>
      </c>
      <c r="C450" s="82">
        <v>3256</v>
      </c>
      <c r="D450" s="43"/>
      <c r="E450" s="29" cm="1">
        <f t="array" ref="E450">_xlfn.IFS(C450=":",":",C450&gt;=N$19,1,C450&gt;=N$20,2,C450&gt;=N$21,3,C450&gt;=N$22,4,C450&gt;=N$23,5,C450&lt;N$23,6)</f>
        <v>4</v>
      </c>
      <c r="F450" s="30"/>
      <c r="G450" s="5"/>
      <c r="H450" s="5"/>
    </row>
    <row r="451" spans="1:8" ht="12" customHeight="1">
      <c r="A451" s="10" t="s">
        <v>1457</v>
      </c>
      <c r="B451" s="112" t="s">
        <v>1458</v>
      </c>
      <c r="C451" s="82">
        <v>2623</v>
      </c>
      <c r="D451" s="43"/>
      <c r="E451" s="29" cm="1">
        <f t="array" ref="E451">_xlfn.IFS(C451=":",":",C451&gt;=N$19,1,C451&gt;=N$20,2,C451&gt;=N$21,3,C451&gt;=N$22,4,C451&gt;=N$23,5,C451&lt;N$23,6)</f>
        <v>4</v>
      </c>
      <c r="F451" s="30"/>
      <c r="G451" s="5"/>
      <c r="H451" s="5"/>
    </row>
    <row r="452" spans="1:8" ht="12" customHeight="1">
      <c r="A452" s="10" t="s">
        <v>1459</v>
      </c>
      <c r="B452" s="112" t="s">
        <v>1460</v>
      </c>
      <c r="C452" s="82">
        <v>1888</v>
      </c>
      <c r="D452" s="43"/>
      <c r="E452" s="29" cm="1">
        <f t="array" ref="E452">_xlfn.IFS(C452=":",":",C452&gt;=N$19,1,C452&gt;=N$20,2,C452&gt;=N$21,3,C452&gt;=N$22,4,C452&gt;=N$23,5,C452&lt;N$23,6)</f>
        <v>5</v>
      </c>
      <c r="F452" s="30"/>
      <c r="G452" s="5"/>
      <c r="H452" s="5"/>
    </row>
    <row r="453" spans="1:8" ht="12" customHeight="1">
      <c r="A453" s="10" t="s">
        <v>1461</v>
      </c>
      <c r="B453" s="112" t="s">
        <v>1462</v>
      </c>
      <c r="C453" s="82">
        <v>1772</v>
      </c>
      <c r="D453" s="43"/>
      <c r="E453" s="29" cm="1">
        <f t="array" ref="E453">_xlfn.IFS(C453=":",":",C453&gt;=N$19,1,C453&gt;=N$20,2,C453&gt;=N$21,3,C453&gt;=N$22,4,C453&gt;=N$23,5,C453&lt;N$23,6)</f>
        <v>5</v>
      </c>
      <c r="F453" s="30"/>
      <c r="G453" s="5"/>
      <c r="H453" s="5"/>
    </row>
    <row r="454" spans="1:8" ht="12" customHeight="1">
      <c r="A454" s="10" t="s">
        <v>1463</v>
      </c>
      <c r="B454" s="112" t="s">
        <v>1464</v>
      </c>
      <c r="C454" s="82">
        <v>1879</v>
      </c>
      <c r="D454" s="43"/>
      <c r="E454" s="29" cm="1">
        <f t="array" ref="E454">_xlfn.IFS(C454=":",":",C454&gt;=N$19,1,C454&gt;=N$20,2,C454&gt;=N$21,3,C454&gt;=N$22,4,C454&gt;=N$23,5,C454&lt;N$23,6)</f>
        <v>5</v>
      </c>
      <c r="F454" s="30"/>
      <c r="G454" s="5"/>
      <c r="H454" s="5"/>
    </row>
    <row r="455" spans="1:8" ht="12" customHeight="1">
      <c r="A455" s="10" t="s">
        <v>1465</v>
      </c>
      <c r="B455" s="112" t="s">
        <v>2869</v>
      </c>
      <c r="C455" s="82">
        <v>2869</v>
      </c>
      <c r="D455" s="43"/>
      <c r="E455" s="29" cm="1">
        <f t="array" ref="E455">_xlfn.IFS(C455=":",":",C455&gt;=N$19,1,C455&gt;=N$20,2,C455&gt;=N$21,3,C455&gt;=N$22,4,C455&gt;=N$23,5,C455&lt;N$23,6)</f>
        <v>4</v>
      </c>
      <c r="F455" s="30"/>
      <c r="G455" s="5"/>
      <c r="H455" s="5"/>
    </row>
    <row r="456" spans="1:8" ht="12" customHeight="1">
      <c r="A456" s="10" t="s">
        <v>1466</v>
      </c>
      <c r="B456" s="112" t="s">
        <v>1467</v>
      </c>
      <c r="C456" s="82">
        <v>11682</v>
      </c>
      <c r="D456" s="43"/>
      <c r="E456" s="29" cm="1">
        <f t="array" ref="E456">_xlfn.IFS(C456=":",":",C456&gt;=N$19,1,C456&gt;=N$20,2,C456&gt;=N$21,3,C456&gt;=N$22,4,C456&gt;=N$23,5,C456&lt;N$23,6)</f>
        <v>2</v>
      </c>
      <c r="F456" s="30"/>
      <c r="G456" s="5"/>
      <c r="H456" s="5"/>
    </row>
    <row r="457" spans="1:8" ht="12" customHeight="1">
      <c r="A457" s="10" t="s">
        <v>1468</v>
      </c>
      <c r="B457" s="112" t="s">
        <v>1469</v>
      </c>
      <c r="C457" s="82">
        <v>2529</v>
      </c>
      <c r="D457" s="43"/>
      <c r="E457" s="29" cm="1">
        <f t="array" ref="E457">_xlfn.IFS(C457=":",":",C457&gt;=N$19,1,C457&gt;=N$20,2,C457&gt;=N$21,3,C457&gt;=N$22,4,C457&gt;=N$23,5,C457&lt;N$23,6)</f>
        <v>4</v>
      </c>
      <c r="F457" s="30"/>
      <c r="G457" s="5"/>
      <c r="H457" s="5"/>
    </row>
    <row r="458" spans="1:8" ht="12" customHeight="1">
      <c r="A458" s="10" t="s">
        <v>1470</v>
      </c>
      <c r="B458" s="112" t="s">
        <v>1471</v>
      </c>
      <c r="C458" s="82">
        <v>2324</v>
      </c>
      <c r="D458" s="43"/>
      <c r="E458" s="29" cm="1">
        <f t="array" ref="E458">_xlfn.IFS(C458=":",":",C458&gt;=N$19,1,C458&gt;=N$20,2,C458&gt;=N$21,3,C458&gt;=N$22,4,C458&gt;=N$23,5,C458&lt;N$23,6)</f>
        <v>4</v>
      </c>
      <c r="F458" s="30"/>
      <c r="G458" s="5"/>
      <c r="H458" s="5"/>
    </row>
    <row r="459" spans="1:8" ht="12" customHeight="1">
      <c r="A459" s="10" t="s">
        <v>1472</v>
      </c>
      <c r="B459" s="112" t="s">
        <v>1473</v>
      </c>
      <c r="C459" s="82">
        <v>1661</v>
      </c>
      <c r="D459" s="43"/>
      <c r="E459" s="29" cm="1">
        <f t="array" ref="E459">_xlfn.IFS(C459=":",":",C459&gt;=N$19,1,C459&gt;=N$20,2,C459&gt;=N$21,3,C459&gt;=N$22,4,C459&gt;=N$23,5,C459&lt;N$23,6)</f>
        <v>5</v>
      </c>
      <c r="F459" s="30"/>
      <c r="G459" s="5"/>
      <c r="H459" s="5"/>
    </row>
    <row r="460" spans="1:8" ht="12" customHeight="1">
      <c r="A460" s="10" t="s">
        <v>1474</v>
      </c>
      <c r="B460" s="112" t="s">
        <v>1475</v>
      </c>
      <c r="C460" s="82">
        <v>3007</v>
      </c>
      <c r="D460" s="43"/>
      <c r="E460" s="29" cm="1">
        <f t="array" ref="E460">_xlfn.IFS(C460=":",":",C460&gt;=N$19,1,C460&gt;=N$20,2,C460&gt;=N$21,3,C460&gt;=N$22,4,C460&gt;=N$23,5,C460&lt;N$23,6)</f>
        <v>4</v>
      </c>
      <c r="F460" s="30"/>
      <c r="G460" s="5"/>
      <c r="H460" s="5"/>
    </row>
    <row r="461" spans="1:8" ht="12" customHeight="1">
      <c r="A461" s="10" t="s">
        <v>1476</v>
      </c>
      <c r="B461" s="112" t="s">
        <v>1477</v>
      </c>
      <c r="C461" s="82">
        <v>3708</v>
      </c>
      <c r="D461" s="43"/>
      <c r="E461" s="29" cm="1">
        <f t="array" ref="E461">_xlfn.IFS(C461=":",":",C461&gt;=N$19,1,C461&gt;=N$20,2,C461&gt;=N$21,3,C461&gt;=N$22,4,C461&gt;=N$23,5,C461&lt;N$23,6)</f>
        <v>3</v>
      </c>
      <c r="F461" s="30"/>
      <c r="G461" s="5"/>
      <c r="H461" s="5"/>
    </row>
    <row r="462" spans="1:8" ht="12" customHeight="1">
      <c r="A462" s="10" t="s">
        <v>1478</v>
      </c>
      <c r="B462" s="112" t="s">
        <v>1479</v>
      </c>
      <c r="C462" s="82">
        <v>4238</v>
      </c>
      <c r="D462" s="43"/>
      <c r="E462" s="29" cm="1">
        <f t="array" ref="E462">_xlfn.IFS(C462=":",":",C462&gt;=N$19,1,C462&gt;=N$20,2,C462&gt;=N$21,3,C462&gt;=N$22,4,C462&gt;=N$23,5,C462&lt;N$23,6)</f>
        <v>3</v>
      </c>
      <c r="F462" s="30"/>
      <c r="G462" s="5"/>
      <c r="H462" s="5"/>
    </row>
    <row r="463" spans="1:8" ht="12" customHeight="1">
      <c r="A463" s="10" t="s">
        <v>1480</v>
      </c>
      <c r="B463" s="112" t="s">
        <v>1481</v>
      </c>
      <c r="C463" s="82">
        <v>4495</v>
      </c>
      <c r="D463" s="43"/>
      <c r="E463" s="29" cm="1">
        <f t="array" ref="E463">_xlfn.IFS(C463=":",":",C463&gt;=N$19,1,C463&gt;=N$20,2,C463&gt;=N$21,3,C463&gt;=N$22,4,C463&gt;=N$23,5,C463&lt;N$23,6)</f>
        <v>3</v>
      </c>
      <c r="F463" s="30"/>
      <c r="G463" s="5"/>
      <c r="H463" s="5"/>
    </row>
    <row r="464" spans="1:8" ht="12" customHeight="1">
      <c r="A464" s="10" t="s">
        <v>1482</v>
      </c>
      <c r="B464" s="112" t="s">
        <v>1483</v>
      </c>
      <c r="C464" s="82">
        <v>11001</v>
      </c>
      <c r="D464" s="43"/>
      <c r="E464" s="29" cm="1">
        <f t="array" ref="E464">_xlfn.IFS(C464=":",":",C464&gt;=N$19,1,C464&gt;=N$20,2,C464&gt;=N$21,3,C464&gt;=N$22,4,C464&gt;=N$23,5,C464&lt;N$23,6)</f>
        <v>2</v>
      </c>
      <c r="F464" s="30"/>
      <c r="G464" s="5"/>
      <c r="H464" s="5"/>
    </row>
    <row r="465" spans="1:8" ht="12" customHeight="1">
      <c r="A465" s="10" t="s">
        <v>1484</v>
      </c>
      <c r="B465" s="112" t="s">
        <v>1485</v>
      </c>
      <c r="C465" s="82">
        <v>2561</v>
      </c>
      <c r="D465" s="43"/>
      <c r="E465" s="29" cm="1">
        <f t="array" ref="E465">_xlfn.IFS(C465=":",":",C465&gt;=N$19,1,C465&gt;=N$20,2,C465&gt;=N$21,3,C465&gt;=N$22,4,C465&gt;=N$23,5,C465&lt;N$23,6)</f>
        <v>4</v>
      </c>
      <c r="F465" s="30"/>
      <c r="G465" s="5"/>
      <c r="H465" s="5"/>
    </row>
    <row r="466" spans="1:8" ht="12" customHeight="1">
      <c r="A466" s="10" t="s">
        <v>1486</v>
      </c>
      <c r="B466" s="112" t="s">
        <v>1487</v>
      </c>
      <c r="C466" s="82">
        <v>15093</v>
      </c>
      <c r="D466" s="43"/>
      <c r="E466" s="29" cm="1">
        <f t="array" ref="E466">_xlfn.IFS(C466=":",":",C466&gt;=N$19,1,C466&gt;=N$20,2,C466&gt;=N$21,3,C466&gt;=N$22,4,C466&gt;=N$23,5,C466&lt;N$23,6)</f>
        <v>1</v>
      </c>
      <c r="F466" s="30"/>
      <c r="G466" s="5"/>
      <c r="H466" s="5"/>
    </row>
    <row r="467" spans="1:8" ht="12" customHeight="1">
      <c r="A467" s="10" t="s">
        <v>1488</v>
      </c>
      <c r="B467" s="112" t="s">
        <v>1489</v>
      </c>
      <c r="C467" s="82">
        <v>2929</v>
      </c>
      <c r="D467" s="43"/>
      <c r="E467" s="29" cm="1">
        <f t="array" ref="E467">_xlfn.IFS(C467=":",":",C467&gt;=N$19,1,C467&gt;=N$20,2,C467&gt;=N$21,3,C467&gt;=N$22,4,C467&gt;=N$23,5,C467&lt;N$23,6)</f>
        <v>4</v>
      </c>
      <c r="F467" s="30"/>
      <c r="G467" s="5"/>
      <c r="H467" s="5"/>
    </row>
    <row r="468" spans="1:8" ht="12" customHeight="1">
      <c r="A468" s="10" t="s">
        <v>1490</v>
      </c>
      <c r="B468" s="112" t="s">
        <v>1491</v>
      </c>
      <c r="C468" s="82">
        <v>58097</v>
      </c>
      <c r="D468" s="43"/>
      <c r="E468" s="29" cm="1">
        <f t="array" ref="E468">_xlfn.IFS(C468=":",":",C468&gt;=N$19,1,C468&gt;=N$20,2,C468&gt;=N$21,3,C468&gt;=N$22,4,C468&gt;=N$23,5,C468&lt;N$23,6)</f>
        <v>1</v>
      </c>
      <c r="F468" s="30"/>
      <c r="G468" s="5"/>
      <c r="H468" s="5"/>
    </row>
    <row r="469" spans="1:8" ht="12" customHeight="1">
      <c r="A469" s="10" t="s">
        <v>1492</v>
      </c>
      <c r="B469" s="112" t="s">
        <v>1493</v>
      </c>
      <c r="C469" s="82">
        <v>52643</v>
      </c>
      <c r="D469" s="43"/>
      <c r="E469" s="29" cm="1">
        <f t="array" ref="E469">_xlfn.IFS(C469=":",":",C469&gt;=N$19,1,C469&gt;=N$20,2,C469&gt;=N$21,3,C469&gt;=N$22,4,C469&gt;=N$23,5,C469&lt;N$23,6)</f>
        <v>1</v>
      </c>
      <c r="F469" s="30"/>
      <c r="G469" s="5"/>
      <c r="H469" s="5"/>
    </row>
    <row r="470" spans="1:8" ht="12" customHeight="1">
      <c r="A470" s="10" t="s">
        <v>1494</v>
      </c>
      <c r="B470" s="112" t="s">
        <v>1495</v>
      </c>
      <c r="C470" s="82">
        <v>2435</v>
      </c>
      <c r="D470" s="43"/>
      <c r="E470" s="29" cm="1">
        <f t="array" ref="E470">_xlfn.IFS(C470=":",":",C470&gt;=N$19,1,C470&gt;=N$20,2,C470&gt;=N$21,3,C470&gt;=N$22,4,C470&gt;=N$23,5,C470&lt;N$23,6)</f>
        <v>4</v>
      </c>
      <c r="F470" s="30"/>
      <c r="G470" s="5"/>
      <c r="H470" s="5"/>
    </row>
    <row r="471" spans="1:8" ht="12" customHeight="1">
      <c r="A471" s="10" t="s">
        <v>1496</v>
      </c>
      <c r="B471" s="112" t="s">
        <v>1497</v>
      </c>
      <c r="C471" s="82">
        <v>12926</v>
      </c>
      <c r="D471" s="43"/>
      <c r="E471" s="29" cm="1">
        <f t="array" ref="E471">_xlfn.IFS(C471=":",":",C471&gt;=N$19,1,C471&gt;=N$20,2,C471&gt;=N$21,3,C471&gt;=N$22,4,C471&gt;=N$23,5,C471&lt;N$23,6)</f>
        <v>2</v>
      </c>
      <c r="F471" s="30"/>
      <c r="G471" s="5"/>
      <c r="H471" s="5"/>
    </row>
    <row r="472" spans="1:8" ht="12" customHeight="1">
      <c r="A472" s="10" t="s">
        <v>1498</v>
      </c>
      <c r="B472" s="112" t="s">
        <v>1499</v>
      </c>
      <c r="C472" s="82">
        <v>6758</v>
      </c>
      <c r="D472" s="43"/>
      <c r="E472" s="29" cm="1">
        <f t="array" ref="E472">_xlfn.IFS(C472=":",":",C472&gt;=N$19,1,C472&gt;=N$20,2,C472&gt;=N$21,3,C472&gt;=N$22,4,C472&gt;=N$23,5,C472&lt;N$23,6)</f>
        <v>3</v>
      </c>
      <c r="F472" s="30"/>
      <c r="G472" s="5"/>
      <c r="H472" s="5"/>
    </row>
    <row r="473" spans="1:8" ht="12" customHeight="1">
      <c r="A473" s="10" t="s">
        <v>1500</v>
      </c>
      <c r="B473" s="112" t="s">
        <v>1501</v>
      </c>
      <c r="C473" s="82">
        <v>10736</v>
      </c>
      <c r="D473" s="43"/>
      <c r="E473" s="29" cm="1">
        <f t="array" ref="E473">_xlfn.IFS(C473=":",":",C473&gt;=N$19,1,C473&gt;=N$20,2,C473&gt;=N$21,3,C473&gt;=N$22,4,C473&gt;=N$23,5,C473&lt;N$23,6)</f>
        <v>2</v>
      </c>
      <c r="F473" s="30"/>
      <c r="G473" s="5"/>
      <c r="H473" s="5"/>
    </row>
    <row r="474" spans="1:8" ht="12" customHeight="1">
      <c r="A474" s="10" t="s">
        <v>1502</v>
      </c>
      <c r="B474" s="112" t="s">
        <v>1503</v>
      </c>
      <c r="C474" s="82">
        <v>1991</v>
      </c>
      <c r="D474" s="43"/>
      <c r="E474" s="29" cm="1">
        <f t="array" ref="E474">_xlfn.IFS(C474=":",":",C474&gt;=N$19,1,C474&gt;=N$20,2,C474&gt;=N$21,3,C474&gt;=N$22,4,C474&gt;=N$23,5,C474&lt;N$23,6)</f>
        <v>5</v>
      </c>
      <c r="F474" s="30"/>
      <c r="G474" s="5"/>
      <c r="H474" s="5"/>
    </row>
    <row r="475" spans="1:8" ht="12" customHeight="1">
      <c r="A475" s="10" t="s">
        <v>1504</v>
      </c>
      <c r="B475" s="112" t="s">
        <v>1505</v>
      </c>
      <c r="C475" s="82">
        <v>1351</v>
      </c>
      <c r="D475" s="43"/>
      <c r="E475" s="29" cm="1">
        <f t="array" ref="E475">_xlfn.IFS(C475=":",":",C475&gt;=N$19,1,C475&gt;=N$20,2,C475&gt;=N$21,3,C475&gt;=N$22,4,C475&gt;=N$23,5,C475&lt;N$23,6)</f>
        <v>5</v>
      </c>
      <c r="F475" s="30"/>
      <c r="G475" s="5"/>
      <c r="H475" s="5"/>
    </row>
    <row r="476" spans="1:8" ht="12" customHeight="1">
      <c r="A476" s="10" t="s">
        <v>1506</v>
      </c>
      <c r="B476" s="112" t="s">
        <v>1507</v>
      </c>
      <c r="C476" s="82">
        <v>1505</v>
      </c>
      <c r="D476" s="43"/>
      <c r="E476" s="29" cm="1">
        <f t="array" ref="E476">_xlfn.IFS(C476=":",":",C476&gt;=N$19,1,C476&gt;=N$20,2,C476&gt;=N$21,3,C476&gt;=N$22,4,C476&gt;=N$23,5,C476&lt;N$23,6)</f>
        <v>5</v>
      </c>
      <c r="F476" s="30"/>
      <c r="G476" s="5"/>
      <c r="H476" s="5"/>
    </row>
    <row r="477" spans="1:8" ht="12" customHeight="1">
      <c r="A477" s="10" t="s">
        <v>1508</v>
      </c>
      <c r="B477" s="112" t="s">
        <v>1509</v>
      </c>
      <c r="C477" s="82">
        <v>4997</v>
      </c>
      <c r="D477" s="43"/>
      <c r="E477" s="29" cm="1">
        <f t="array" ref="E477">_xlfn.IFS(C477=":",":",C477&gt;=N$19,1,C477&gt;=N$20,2,C477&gt;=N$21,3,C477&gt;=N$22,4,C477&gt;=N$23,5,C477&lt;N$23,6)</f>
        <v>3</v>
      </c>
      <c r="F477" s="30"/>
      <c r="G477" s="5"/>
      <c r="H477" s="5"/>
    </row>
    <row r="478" spans="1:8" ht="12" customHeight="1">
      <c r="A478" s="10" t="s">
        <v>1510</v>
      </c>
      <c r="B478" s="112" t="s">
        <v>1511</v>
      </c>
      <c r="C478" s="82">
        <v>1447</v>
      </c>
      <c r="D478" s="43"/>
      <c r="E478" s="29" cm="1">
        <f t="array" ref="E478">_xlfn.IFS(C478=":",":",C478&gt;=N$19,1,C478&gt;=N$20,2,C478&gt;=N$21,3,C478&gt;=N$22,4,C478&gt;=N$23,5,C478&lt;N$23,6)</f>
        <v>5</v>
      </c>
      <c r="F478" s="30"/>
      <c r="G478" s="5"/>
      <c r="H478" s="5"/>
    </row>
    <row r="479" spans="1:8" ht="12" customHeight="1">
      <c r="A479" s="10" t="s">
        <v>1512</v>
      </c>
      <c r="B479" s="112" t="s">
        <v>1513</v>
      </c>
      <c r="C479" s="82">
        <v>3466</v>
      </c>
      <c r="D479" s="43"/>
      <c r="E479" s="29" cm="1">
        <f t="array" ref="E479">_xlfn.IFS(C479=":",":",C479&gt;=N$19,1,C479&gt;=N$20,2,C479&gt;=N$21,3,C479&gt;=N$22,4,C479&gt;=N$23,5,C479&lt;N$23,6)</f>
        <v>4</v>
      </c>
      <c r="F479" s="30"/>
      <c r="G479" s="5"/>
      <c r="H479" s="5"/>
    </row>
    <row r="480" spans="1:8" ht="12" customHeight="1">
      <c r="A480" s="10" t="s">
        <v>1515</v>
      </c>
      <c r="B480" s="112" t="s">
        <v>1516</v>
      </c>
      <c r="C480" s="82">
        <v>11646</v>
      </c>
      <c r="D480" s="43"/>
      <c r="E480" s="29" cm="1">
        <f t="array" ref="E480">_xlfn.IFS(C480=":",":",C480&gt;=N$19,1,C480&gt;=N$20,2,C480&gt;=N$21,3,C480&gt;=N$22,4,C480&gt;=N$23,5,C480&lt;N$23,6)</f>
        <v>2</v>
      </c>
      <c r="F480" s="30"/>
      <c r="G480" s="5"/>
      <c r="H480" s="5"/>
    </row>
    <row r="481" spans="1:8" ht="12" customHeight="1">
      <c r="A481" s="10" t="s">
        <v>1517</v>
      </c>
      <c r="B481" s="112" t="s">
        <v>1518</v>
      </c>
      <c r="C481" s="82">
        <v>2518</v>
      </c>
      <c r="D481" s="43"/>
      <c r="E481" s="29" cm="1">
        <f t="array" ref="E481">_xlfn.IFS(C481=":",":",C481&gt;=N$19,1,C481&gt;=N$20,2,C481&gt;=N$21,3,C481&gt;=N$22,4,C481&gt;=N$23,5,C481&lt;N$23,6)</f>
        <v>4</v>
      </c>
      <c r="F481" s="30"/>
      <c r="G481" s="5"/>
      <c r="H481" s="5"/>
    </row>
    <row r="482" spans="1:8" ht="12" customHeight="1">
      <c r="A482" s="10" t="s">
        <v>1519</v>
      </c>
      <c r="B482" s="112" t="s">
        <v>1520</v>
      </c>
      <c r="C482" s="82">
        <v>2099</v>
      </c>
      <c r="D482" s="43"/>
      <c r="E482" s="29" cm="1">
        <f t="array" ref="E482">_xlfn.IFS(C482=":",":",C482&gt;=N$19,1,C482&gt;=N$20,2,C482&gt;=N$21,3,C482&gt;=N$22,4,C482&gt;=N$23,5,C482&lt;N$23,6)</f>
        <v>4</v>
      </c>
      <c r="F482" s="30"/>
      <c r="G482" s="5"/>
      <c r="H482" s="5"/>
    </row>
    <row r="483" spans="1:8" ht="12" customHeight="1">
      <c r="A483" s="10" t="s">
        <v>1521</v>
      </c>
      <c r="B483" s="112" t="s">
        <v>1522</v>
      </c>
      <c r="C483" s="82">
        <v>2639</v>
      </c>
      <c r="D483" s="43"/>
      <c r="E483" s="29" cm="1">
        <f t="array" ref="E483">_xlfn.IFS(C483=":",":",C483&gt;=N$19,1,C483&gt;=N$20,2,C483&gt;=N$21,3,C483&gt;=N$22,4,C483&gt;=N$23,5,C483&lt;N$23,6)</f>
        <v>4</v>
      </c>
      <c r="F483" s="30"/>
      <c r="G483" s="5"/>
      <c r="H483" s="5"/>
    </row>
    <row r="484" spans="1:8" ht="12" customHeight="1">
      <c r="A484" s="10" t="s">
        <v>1523</v>
      </c>
      <c r="B484" s="112" t="s">
        <v>1524</v>
      </c>
      <c r="C484" s="82">
        <v>2847</v>
      </c>
      <c r="D484" s="43"/>
      <c r="E484" s="29" cm="1">
        <f t="array" ref="E484">_xlfn.IFS(C484=":",":",C484&gt;=N$19,1,C484&gt;=N$20,2,C484&gt;=N$21,3,C484&gt;=N$22,4,C484&gt;=N$23,5,C484&lt;N$23,6)</f>
        <v>4</v>
      </c>
      <c r="F484" s="30"/>
      <c r="G484" s="5"/>
      <c r="H484" s="5"/>
    </row>
    <row r="485" spans="1:8" ht="12" customHeight="1">
      <c r="A485" s="10" t="s">
        <v>1526</v>
      </c>
      <c r="B485" s="112" t="s">
        <v>1527</v>
      </c>
      <c r="C485" s="82">
        <v>6264</v>
      </c>
      <c r="D485" s="43"/>
      <c r="E485" s="29" cm="1">
        <f t="array" ref="E485">_xlfn.IFS(C485=":",":",C485&gt;=N$19,1,C485&gt;=N$20,2,C485&gt;=N$21,3,C485&gt;=N$22,4,C485&gt;=N$23,5,C485&lt;N$23,6)</f>
        <v>3</v>
      </c>
      <c r="F485" s="30"/>
      <c r="G485" s="5"/>
      <c r="H485" s="5"/>
    </row>
    <row r="486" spans="1:8" ht="12" customHeight="1">
      <c r="A486" s="10" t="s">
        <v>1528</v>
      </c>
      <c r="B486" s="112" t="s">
        <v>1529</v>
      </c>
      <c r="C486" s="82">
        <v>1330</v>
      </c>
      <c r="D486" s="43"/>
      <c r="E486" s="29" cm="1">
        <f t="array" ref="E486">_xlfn.IFS(C486=":",":",C486&gt;=N$19,1,C486&gt;=N$20,2,C486&gt;=N$21,3,C486&gt;=N$22,4,C486&gt;=N$23,5,C486&lt;N$23,6)</f>
        <v>5</v>
      </c>
      <c r="F486" s="30"/>
      <c r="G486" s="5"/>
      <c r="H486" s="5"/>
    </row>
    <row r="487" spans="1:8" ht="12" customHeight="1">
      <c r="A487" s="10" t="s">
        <v>1530</v>
      </c>
      <c r="B487" s="112" t="s">
        <v>1531</v>
      </c>
      <c r="C487" s="82">
        <v>4199</v>
      </c>
      <c r="D487" s="43"/>
      <c r="E487" s="29" cm="1">
        <f t="array" ref="E487">_xlfn.IFS(C487=":",":",C487&gt;=N$19,1,C487&gt;=N$20,2,C487&gt;=N$21,3,C487&gt;=N$22,4,C487&gt;=N$23,5,C487&lt;N$23,6)</f>
        <v>3</v>
      </c>
      <c r="F487" s="30"/>
      <c r="G487" s="5"/>
      <c r="H487" s="5"/>
    </row>
    <row r="488" spans="1:8" ht="12" customHeight="1">
      <c r="A488" s="10" t="s">
        <v>1533</v>
      </c>
      <c r="B488" s="112" t="s">
        <v>1534</v>
      </c>
      <c r="C488" s="82">
        <v>3781</v>
      </c>
      <c r="D488" s="43"/>
      <c r="E488" s="29" cm="1">
        <f t="array" ref="E488">_xlfn.IFS(C488=":",":",C488&gt;=N$19,1,C488&gt;=N$20,2,C488&gt;=N$21,3,C488&gt;=N$22,4,C488&gt;=N$23,5,C488&lt;N$23,6)</f>
        <v>3</v>
      </c>
      <c r="F488" s="30"/>
      <c r="G488" s="5"/>
      <c r="H488" s="5"/>
    </row>
    <row r="489" spans="1:8" ht="12" customHeight="1">
      <c r="A489" s="10" t="s">
        <v>1537</v>
      </c>
      <c r="B489" s="112" t="s">
        <v>1538</v>
      </c>
      <c r="C489" s="82">
        <v>2230</v>
      </c>
      <c r="D489" s="43"/>
      <c r="E489" s="29" cm="1">
        <f t="array" ref="E489">_xlfn.IFS(C489=":",":",C489&gt;=N$19,1,C489&gt;=N$20,2,C489&gt;=N$21,3,C489&gt;=N$22,4,C489&gt;=N$23,5,C489&lt;N$23,6)</f>
        <v>4</v>
      </c>
      <c r="F489" s="30"/>
      <c r="G489" s="5"/>
      <c r="H489" s="5"/>
    </row>
    <row r="490" spans="1:8" ht="12" customHeight="1">
      <c r="A490" s="10" t="s">
        <v>1539</v>
      </c>
      <c r="B490" s="112" t="s">
        <v>1540</v>
      </c>
      <c r="C490" s="82">
        <v>5314</v>
      </c>
      <c r="D490" s="43"/>
      <c r="E490" s="29" cm="1">
        <f t="array" ref="E490">_xlfn.IFS(C490=":",":",C490&gt;=N$19,1,C490&gt;=N$20,2,C490&gt;=N$21,3,C490&gt;=N$22,4,C490&gt;=N$23,5,C490&lt;N$23,6)</f>
        <v>3</v>
      </c>
      <c r="F490" s="30"/>
      <c r="G490" s="5"/>
      <c r="H490" s="5"/>
    </row>
    <row r="491" spans="1:8" ht="12" customHeight="1">
      <c r="A491" s="10" t="s">
        <v>1541</v>
      </c>
      <c r="B491" s="112" t="s">
        <v>1542</v>
      </c>
      <c r="C491" s="82">
        <v>1684</v>
      </c>
      <c r="D491" s="43"/>
      <c r="E491" s="29" cm="1">
        <f t="array" ref="E491">_xlfn.IFS(C491=":",":",C491&gt;=N$19,1,C491&gt;=N$20,2,C491&gt;=N$21,3,C491&gt;=N$22,4,C491&gt;=N$23,5,C491&lt;N$23,6)</f>
        <v>5</v>
      </c>
      <c r="F491" s="30"/>
      <c r="G491" s="5"/>
      <c r="H491" s="5"/>
    </row>
    <row r="492" spans="1:8" ht="12" customHeight="1">
      <c r="A492" s="10" t="s">
        <v>1543</v>
      </c>
      <c r="B492" s="112" t="s">
        <v>1544</v>
      </c>
      <c r="C492" s="82">
        <v>1774</v>
      </c>
      <c r="D492" s="43"/>
      <c r="E492" s="29" cm="1">
        <f t="array" ref="E492">_xlfn.IFS(C492=":",":",C492&gt;=N$19,1,C492&gt;=N$20,2,C492&gt;=N$21,3,C492&gt;=N$22,4,C492&gt;=N$23,5,C492&lt;N$23,6)</f>
        <v>5</v>
      </c>
      <c r="F492" s="30"/>
      <c r="G492" s="5"/>
      <c r="H492" s="5"/>
    </row>
    <row r="493" spans="1:8" ht="12" customHeight="1">
      <c r="A493" s="16" t="s">
        <v>3044</v>
      </c>
      <c r="B493" s="11" t="s">
        <v>1525</v>
      </c>
      <c r="C493" s="82" t="s">
        <v>546</v>
      </c>
      <c r="D493" s="43"/>
      <c r="E493" s="29" t="str" cm="1">
        <f t="array" ref="E493">_xlfn.IFS(C493=":",":",C493&gt;=N$19,1,C493&gt;=N$20,2,C493&gt;=N$21,3,C493&gt;=N$22,4,C493&gt;=N$23,5,C493&lt;N$23,6)</f>
        <v>:</v>
      </c>
      <c r="F493" s="30"/>
      <c r="G493" s="5"/>
      <c r="H493" s="5"/>
    </row>
    <row r="494" spans="1:8" ht="12" customHeight="1">
      <c r="A494" s="16" t="s">
        <v>3045</v>
      </c>
      <c r="B494" s="11" t="s">
        <v>1545</v>
      </c>
      <c r="C494" s="82" t="s">
        <v>546</v>
      </c>
      <c r="D494" s="43"/>
      <c r="E494" s="29" t="str" cm="1">
        <f t="array" ref="E494">_xlfn.IFS(C494=":",":",C494&gt;=N$19,1,C494&gt;=N$20,2,C494&gt;=N$21,3,C494&gt;=N$22,4,C494&gt;=N$23,5,C494&lt;N$23,6)</f>
        <v>:</v>
      </c>
      <c r="F494" s="30"/>
      <c r="G494" s="5"/>
      <c r="H494" s="5"/>
    </row>
    <row r="495" spans="1:8" ht="12" customHeight="1">
      <c r="A495" s="16" t="s">
        <v>3046</v>
      </c>
      <c r="B495" s="11" t="s">
        <v>1514</v>
      </c>
      <c r="C495" s="82" t="s">
        <v>546</v>
      </c>
      <c r="D495" s="43"/>
      <c r="E495" s="29" t="str" cm="1">
        <f t="array" ref="E495">_xlfn.IFS(C495=":",":",C495&gt;=N$19,1,C495&gt;=N$20,2,C495&gt;=N$21,3,C495&gt;=N$22,4,C495&gt;=N$23,5,C495&lt;N$23,6)</f>
        <v>:</v>
      </c>
      <c r="F495" s="30"/>
      <c r="G495" s="5"/>
      <c r="H495" s="5"/>
    </row>
    <row r="496" spans="1:8" ht="12" customHeight="1">
      <c r="A496" s="16" t="s">
        <v>3047</v>
      </c>
      <c r="B496" s="11" t="s">
        <v>1532</v>
      </c>
      <c r="C496" s="82" t="s">
        <v>546</v>
      </c>
      <c r="D496" s="43"/>
      <c r="E496" s="29" t="str" cm="1">
        <f t="array" ref="E496">_xlfn.IFS(C496=":",":",C496&gt;=N$19,1,C496&gt;=N$20,2,C496&gt;=N$21,3,C496&gt;=N$22,4,C496&gt;=N$23,5,C496&lt;N$23,6)</f>
        <v>:</v>
      </c>
      <c r="F496" s="30"/>
      <c r="G496" s="5"/>
      <c r="H496" s="5"/>
    </row>
    <row r="497" spans="1:8" ht="12" customHeight="1">
      <c r="A497" s="16" t="s">
        <v>3048</v>
      </c>
      <c r="B497" s="11" t="s">
        <v>1536</v>
      </c>
      <c r="C497" s="82" t="s">
        <v>546</v>
      </c>
      <c r="D497" s="43"/>
      <c r="E497" s="29" t="str" cm="1">
        <f t="array" ref="E497">_xlfn.IFS(C497=":",":",C497&gt;=N$19,1,C497&gt;=N$20,2,C497&gt;=N$21,3,C497&gt;=N$22,4,C497&gt;=N$23,5,C497&lt;N$23,6)</f>
        <v>:</v>
      </c>
      <c r="F497" s="30"/>
      <c r="G497" s="5"/>
      <c r="H497" s="5"/>
    </row>
    <row r="498" spans="1:8" ht="12" customHeight="1">
      <c r="A498" s="16" t="s">
        <v>3049</v>
      </c>
      <c r="B498" s="11" t="s">
        <v>1535</v>
      </c>
      <c r="C498" s="82" t="s">
        <v>546</v>
      </c>
      <c r="D498" s="43"/>
      <c r="E498" s="29" t="str" cm="1">
        <f t="array" ref="E498">_xlfn.IFS(C498=":",":",C498&gt;=N$19,1,C498&gt;=N$20,2,C498&gt;=N$21,3,C498&gt;=N$22,4,C498&gt;=N$23,5,C498&lt;N$23,6)</f>
        <v>:</v>
      </c>
      <c r="F498" s="30"/>
      <c r="G498" s="5"/>
      <c r="H498" s="5"/>
    </row>
    <row r="499" spans="1:8" ht="12" customHeight="1">
      <c r="A499" s="10" t="s">
        <v>1546</v>
      </c>
      <c r="B499" s="112" t="s">
        <v>1547</v>
      </c>
      <c r="C499" s="82">
        <v>5832</v>
      </c>
      <c r="D499" s="43"/>
      <c r="E499" s="29" cm="1">
        <f t="array" ref="E499">_xlfn.IFS(C499=":",":",C499&gt;=N$19,1,C499&gt;=N$20,2,C499&gt;=N$21,3,C499&gt;=N$22,4,C499&gt;=N$23,5,C499&lt;N$23,6)</f>
        <v>3</v>
      </c>
      <c r="F499" s="30"/>
      <c r="G499" s="5"/>
      <c r="H499" s="5"/>
    </row>
    <row r="500" spans="1:8" ht="12" customHeight="1">
      <c r="A500" s="10" t="s">
        <v>1548</v>
      </c>
      <c r="B500" s="112" t="s">
        <v>1549</v>
      </c>
      <c r="C500" s="82">
        <v>9298</v>
      </c>
      <c r="D500" s="43"/>
      <c r="E500" s="29" cm="1">
        <f t="array" ref="E500">_xlfn.IFS(C500=":",":",C500&gt;=N$19,1,C500&gt;=N$20,2,C500&gt;=N$21,3,C500&gt;=N$22,4,C500&gt;=N$23,5,C500&lt;N$23,6)</f>
        <v>2</v>
      </c>
      <c r="F500" s="30"/>
      <c r="G500" s="5"/>
      <c r="H500" s="5"/>
    </row>
    <row r="501" spans="1:8" ht="12" customHeight="1">
      <c r="A501" s="10" t="s">
        <v>1550</v>
      </c>
      <c r="B501" s="112" t="s">
        <v>1551</v>
      </c>
      <c r="C501" s="82">
        <v>3227</v>
      </c>
      <c r="D501" s="43"/>
      <c r="E501" s="29" cm="1">
        <f t="array" ref="E501">_xlfn.IFS(C501=":",":",C501&gt;=N$19,1,C501&gt;=N$20,2,C501&gt;=N$21,3,C501&gt;=N$22,4,C501&gt;=N$23,5,C501&lt;N$23,6)</f>
        <v>4</v>
      </c>
      <c r="F501" s="30"/>
      <c r="G501" s="5"/>
      <c r="H501" s="5"/>
    </row>
    <row r="502" spans="1:8" ht="12" customHeight="1">
      <c r="A502" s="10" t="s">
        <v>1552</v>
      </c>
      <c r="B502" s="112" t="s">
        <v>1553</v>
      </c>
      <c r="C502" s="82">
        <v>2392</v>
      </c>
      <c r="D502" s="43"/>
      <c r="E502" s="29" cm="1">
        <f t="array" ref="E502">_xlfn.IFS(C502=":",":",C502&gt;=N$19,1,C502&gt;=N$20,2,C502&gt;=N$21,3,C502&gt;=N$22,4,C502&gt;=N$23,5,C502&lt;N$23,6)</f>
        <v>4</v>
      </c>
      <c r="F502" s="30"/>
      <c r="G502" s="5"/>
      <c r="H502" s="5"/>
    </row>
    <row r="503" spans="1:8" ht="12" customHeight="1">
      <c r="A503" s="10" t="s">
        <v>1554</v>
      </c>
      <c r="B503" s="112" t="s">
        <v>1555</v>
      </c>
      <c r="C503" s="82">
        <v>2895</v>
      </c>
      <c r="D503" s="43"/>
      <c r="E503" s="29" cm="1">
        <f t="array" ref="E503">_xlfn.IFS(C503=":",":",C503&gt;=N$19,1,C503&gt;=N$20,2,C503&gt;=N$21,3,C503&gt;=N$22,4,C503&gt;=N$23,5,C503&lt;N$23,6)</f>
        <v>4</v>
      </c>
      <c r="F503" s="30"/>
      <c r="G503" s="5"/>
      <c r="H503" s="5"/>
    </row>
    <row r="504" spans="1:8" ht="12" customHeight="1">
      <c r="A504" s="10" t="s">
        <v>1556</v>
      </c>
      <c r="B504" s="112" t="s">
        <v>1557</v>
      </c>
      <c r="C504" s="82">
        <v>15929</v>
      </c>
      <c r="D504" s="43"/>
      <c r="E504" s="29" cm="1">
        <f t="array" ref="E504">_xlfn.IFS(C504=":",":",C504&gt;=N$19,1,C504&gt;=N$20,2,C504&gt;=N$21,3,C504&gt;=N$22,4,C504&gt;=N$23,5,C504&lt;N$23,6)</f>
        <v>1</v>
      </c>
      <c r="F504" s="30"/>
      <c r="G504" s="5"/>
      <c r="H504" s="5"/>
    </row>
    <row r="505" spans="1:8" ht="12" customHeight="1">
      <c r="A505" s="10" t="s">
        <v>1558</v>
      </c>
      <c r="B505" s="112" t="s">
        <v>1559</v>
      </c>
      <c r="C505" s="82">
        <v>12046</v>
      </c>
      <c r="D505" s="43"/>
      <c r="E505" s="29" cm="1">
        <f t="array" ref="E505">_xlfn.IFS(C505=":",":",C505&gt;=N$19,1,C505&gt;=N$20,2,C505&gt;=N$21,3,C505&gt;=N$22,4,C505&gt;=N$23,5,C505&lt;N$23,6)</f>
        <v>2</v>
      </c>
      <c r="F505" s="30"/>
      <c r="G505" s="5"/>
      <c r="H505" s="5"/>
    </row>
    <row r="506" spans="1:8" ht="12" customHeight="1">
      <c r="A506" s="10" t="s">
        <v>1560</v>
      </c>
      <c r="B506" s="112" t="s">
        <v>2820</v>
      </c>
      <c r="C506" s="82">
        <v>6765</v>
      </c>
      <c r="D506" s="43"/>
      <c r="E506" s="29" cm="1">
        <f t="array" ref="E506">_xlfn.IFS(C506=":",":",C506&gt;=N$19,1,C506&gt;=N$20,2,C506&gt;=N$21,3,C506&gt;=N$22,4,C506&gt;=N$23,5,C506&lt;N$23,6)</f>
        <v>3</v>
      </c>
      <c r="F506" s="30"/>
      <c r="G506" s="5"/>
      <c r="H506" s="5"/>
    </row>
    <row r="507" spans="1:8" ht="12" customHeight="1">
      <c r="A507" s="10" t="s">
        <v>1561</v>
      </c>
      <c r="B507" s="112" t="s">
        <v>2870</v>
      </c>
      <c r="C507" s="82">
        <v>7804</v>
      </c>
      <c r="D507" s="43"/>
      <c r="E507" s="29" cm="1">
        <f t="array" ref="E507">_xlfn.IFS(C507=":",":",C507&gt;=N$19,1,C507&gt;=N$20,2,C507&gt;=N$21,3,C507&gt;=N$22,4,C507&gt;=N$23,5,C507&lt;N$23,6)</f>
        <v>2</v>
      </c>
      <c r="F507" s="30"/>
      <c r="G507" s="5"/>
      <c r="H507" s="5"/>
    </row>
    <row r="508" spans="1:8" ht="12" customHeight="1">
      <c r="A508" s="10" t="s">
        <v>1562</v>
      </c>
      <c r="B508" s="112" t="s">
        <v>2871</v>
      </c>
      <c r="C508" s="82">
        <v>10410</v>
      </c>
      <c r="D508" s="43"/>
      <c r="E508" s="29" cm="1">
        <f t="array" ref="E508">_xlfn.IFS(C508=":",":",C508&gt;=N$19,1,C508&gt;=N$20,2,C508&gt;=N$21,3,C508&gt;=N$22,4,C508&gt;=N$23,5,C508&lt;N$23,6)</f>
        <v>2</v>
      </c>
      <c r="F508" s="30"/>
      <c r="G508" s="5"/>
      <c r="H508" s="5"/>
    </row>
    <row r="509" spans="1:8" ht="12" customHeight="1">
      <c r="A509" s="10" t="s">
        <v>1563</v>
      </c>
      <c r="B509" s="112" t="s">
        <v>1564</v>
      </c>
      <c r="C509" s="82">
        <v>7624</v>
      </c>
      <c r="D509" s="43"/>
      <c r="E509" s="29" cm="1">
        <f t="array" ref="E509">_xlfn.IFS(C509=":",":",C509&gt;=N$19,1,C509&gt;=N$20,2,C509&gt;=N$21,3,C509&gt;=N$22,4,C509&gt;=N$23,5,C509&lt;N$23,6)</f>
        <v>2</v>
      </c>
      <c r="F509" s="30"/>
      <c r="G509" s="5"/>
      <c r="H509" s="5"/>
    </row>
    <row r="510" spans="1:8" ht="12" customHeight="1">
      <c r="A510" s="10" t="s">
        <v>1565</v>
      </c>
      <c r="B510" s="112" t="s">
        <v>1566</v>
      </c>
      <c r="C510" s="82">
        <v>3457</v>
      </c>
      <c r="D510" s="43"/>
      <c r="E510" s="29" cm="1">
        <f t="array" ref="E510">_xlfn.IFS(C510=":",":",C510&gt;=N$19,1,C510&gt;=N$20,2,C510&gt;=N$21,3,C510&gt;=N$22,4,C510&gt;=N$23,5,C510&lt;N$23,6)</f>
        <v>4</v>
      </c>
      <c r="F510" s="30"/>
      <c r="G510" s="5"/>
      <c r="H510" s="5"/>
    </row>
    <row r="511" spans="1:8" ht="12" customHeight="1">
      <c r="A511" s="10" t="s">
        <v>1567</v>
      </c>
      <c r="B511" s="112" t="s">
        <v>1568</v>
      </c>
      <c r="C511" s="82">
        <v>5691</v>
      </c>
      <c r="D511" s="43"/>
      <c r="E511" s="29" cm="1">
        <f t="array" ref="E511">_xlfn.IFS(C511=":",":",C511&gt;=N$19,1,C511&gt;=N$20,2,C511&gt;=N$21,3,C511&gt;=N$22,4,C511&gt;=N$23,5,C511&lt;N$23,6)</f>
        <v>3</v>
      </c>
      <c r="F511" s="30"/>
      <c r="G511" s="5"/>
      <c r="H511" s="5"/>
    </row>
    <row r="512" spans="1:8" ht="12" customHeight="1">
      <c r="A512" s="10" t="s">
        <v>1569</v>
      </c>
      <c r="B512" s="114" t="s">
        <v>1570</v>
      </c>
      <c r="C512" s="82">
        <v>743</v>
      </c>
      <c r="D512" s="43"/>
      <c r="E512" s="29" cm="1">
        <f t="array" ref="E512">_xlfn.IFS(C512=":",":",C512&gt;=N$19,1,C512&gt;=N$20,2,C512&gt;=N$21,3,C512&gt;=N$22,4,C512&gt;=N$23,5,C512&lt;N$23,6)</f>
        <v>6</v>
      </c>
      <c r="F512" s="30"/>
      <c r="G512" s="5"/>
      <c r="H512" s="5"/>
    </row>
    <row r="513" spans="1:8" ht="12" customHeight="1">
      <c r="A513" s="10" t="s">
        <v>1571</v>
      </c>
      <c r="B513" s="114" t="s">
        <v>1572</v>
      </c>
      <c r="C513" s="82">
        <v>72</v>
      </c>
      <c r="D513" s="43"/>
      <c r="E513" s="29" cm="1">
        <f t="array" ref="E513">_xlfn.IFS(C513=":",":",C513&gt;=N$19,1,C513&gt;=N$20,2,C513&gt;=N$21,3,C513&gt;=N$22,4,C513&gt;=N$23,5,C513&lt;N$23,6)</f>
        <v>6</v>
      </c>
      <c r="F513" s="30"/>
      <c r="G513" s="5"/>
      <c r="H513" s="5"/>
    </row>
    <row r="514" spans="1:8" ht="12" customHeight="1">
      <c r="A514" s="10" t="s">
        <v>1573</v>
      </c>
      <c r="B514" s="114" t="s">
        <v>1574</v>
      </c>
      <c r="C514" s="82">
        <v>8740</v>
      </c>
      <c r="D514" s="43"/>
      <c r="E514" s="29" cm="1">
        <f t="array" ref="E514">_xlfn.IFS(C514=":",":",C514&gt;=N$19,1,C514&gt;=N$20,2,C514&gt;=N$21,3,C514&gt;=N$22,4,C514&gt;=N$23,5,C514&lt;N$23,6)</f>
        <v>2</v>
      </c>
      <c r="F514" s="30"/>
      <c r="G514" s="5"/>
      <c r="H514" s="5"/>
    </row>
    <row r="515" spans="1:8" ht="12" customHeight="1">
      <c r="A515" s="10" t="s">
        <v>1575</v>
      </c>
      <c r="B515" s="114" t="s">
        <v>1576</v>
      </c>
      <c r="C515" s="82">
        <v>1705</v>
      </c>
      <c r="D515" s="43"/>
      <c r="E515" s="29" cm="1">
        <f t="array" ref="E515">_xlfn.IFS(C515=":",":",C515&gt;=N$19,1,C515&gt;=N$20,2,C515&gt;=N$21,3,C515&gt;=N$22,4,C515&gt;=N$23,5,C515&lt;N$23,6)</f>
        <v>5</v>
      </c>
      <c r="F515" s="30"/>
      <c r="G515" s="5"/>
      <c r="H515" s="5"/>
    </row>
    <row r="516" spans="1:8" ht="12" customHeight="1">
      <c r="A516" s="10" t="s">
        <v>1577</v>
      </c>
      <c r="B516" s="114" t="s">
        <v>1578</v>
      </c>
      <c r="C516" s="82">
        <v>2659</v>
      </c>
      <c r="D516" s="43"/>
      <c r="E516" s="29" cm="1">
        <f t="array" ref="E516">_xlfn.IFS(C516=":",":",C516&gt;=N$19,1,C516&gt;=N$20,2,C516&gt;=N$21,3,C516&gt;=N$22,4,C516&gt;=N$23,5,C516&lt;N$23,6)</f>
        <v>4</v>
      </c>
      <c r="F516" s="30"/>
      <c r="G516" s="5"/>
      <c r="H516" s="5"/>
    </row>
    <row r="517" spans="1:8" ht="12" customHeight="1">
      <c r="A517" s="10" t="s">
        <v>1579</v>
      </c>
      <c r="B517" s="114" t="s">
        <v>1580</v>
      </c>
      <c r="C517" s="82">
        <v>789</v>
      </c>
      <c r="D517" s="43"/>
      <c r="E517" s="29" cm="1">
        <f t="array" ref="E517">_xlfn.IFS(C517=":",":",C517&gt;=N$19,1,C517&gt;=N$20,2,C517&gt;=N$21,3,C517&gt;=N$22,4,C517&gt;=N$23,5,C517&lt;N$23,6)</f>
        <v>6</v>
      </c>
      <c r="F517" s="30"/>
      <c r="G517" s="5"/>
      <c r="H517" s="5"/>
    </row>
    <row r="518" spans="1:8" ht="12" customHeight="1">
      <c r="A518" s="10" t="s">
        <v>1581</v>
      </c>
      <c r="B518" s="114" t="s">
        <v>1582</v>
      </c>
      <c r="C518" s="82">
        <v>3556</v>
      </c>
      <c r="D518" s="43"/>
      <c r="E518" s="29" cm="1">
        <f t="array" ref="E518">_xlfn.IFS(C518=":",":",C518&gt;=N$19,1,C518&gt;=N$20,2,C518&gt;=N$21,3,C518&gt;=N$22,4,C518&gt;=N$23,5,C518&lt;N$23,6)</f>
        <v>3</v>
      </c>
      <c r="F518" s="30"/>
      <c r="G518" s="5"/>
      <c r="H518" s="5"/>
    </row>
    <row r="519" spans="1:8" ht="12" customHeight="1">
      <c r="A519" s="10" t="s">
        <v>1583</v>
      </c>
      <c r="B519" s="114" t="s">
        <v>1584</v>
      </c>
      <c r="C519" s="82">
        <v>10525</v>
      </c>
      <c r="D519" s="43"/>
      <c r="E519" s="29" cm="1">
        <f t="array" ref="E519">_xlfn.IFS(C519=":",":",C519&gt;=N$19,1,C519&gt;=N$20,2,C519&gt;=N$21,3,C519&gt;=N$22,4,C519&gt;=N$23,5,C519&lt;N$23,6)</f>
        <v>2</v>
      </c>
      <c r="F519" s="30"/>
      <c r="G519" s="5"/>
      <c r="H519" s="5"/>
    </row>
    <row r="520" spans="1:8" ht="12" customHeight="1">
      <c r="A520" s="10" t="s">
        <v>1585</v>
      </c>
      <c r="B520" s="114" t="s">
        <v>1586</v>
      </c>
      <c r="C520" s="82">
        <v>27632</v>
      </c>
      <c r="D520" s="43"/>
      <c r="E520" s="29" cm="1">
        <f t="array" ref="E520">_xlfn.IFS(C520=":",":",C520&gt;=N$19,1,C520&gt;=N$20,2,C520&gt;=N$21,3,C520&gt;=N$22,4,C520&gt;=N$23,5,C520&lt;N$23,6)</f>
        <v>1</v>
      </c>
      <c r="F520" s="30"/>
      <c r="G520" s="5"/>
      <c r="H520" s="5"/>
    </row>
    <row r="521" spans="1:8" ht="12" customHeight="1">
      <c r="A521" s="10" t="s">
        <v>1587</v>
      </c>
      <c r="B521" s="114" t="s">
        <v>1588</v>
      </c>
      <c r="C521" s="82">
        <v>5810</v>
      </c>
      <c r="D521" s="43"/>
      <c r="E521" s="29" cm="1">
        <f t="array" ref="E521">_xlfn.IFS(C521=":",":",C521&gt;=N$19,1,C521&gt;=N$20,2,C521&gt;=N$21,3,C521&gt;=N$22,4,C521&gt;=N$23,5,C521&lt;N$23,6)</f>
        <v>3</v>
      </c>
      <c r="F521" s="30"/>
      <c r="G521" s="5"/>
      <c r="H521" s="5"/>
    </row>
    <row r="522" spans="1:8" ht="12" customHeight="1">
      <c r="A522" s="10" t="s">
        <v>1589</v>
      </c>
      <c r="B522" s="114" t="s">
        <v>3021</v>
      </c>
      <c r="C522" s="82">
        <v>130011</v>
      </c>
      <c r="D522" s="43"/>
      <c r="E522" s="29" cm="1">
        <f t="array" ref="E522">_xlfn.IFS(C522=":",":",C522&gt;=N$19,1,C522&gt;=N$20,2,C522&gt;=N$21,3,C522&gt;=N$22,4,C522&gt;=N$23,5,C522&lt;N$23,6)</f>
        <v>1</v>
      </c>
      <c r="F522" s="30"/>
      <c r="G522" s="5"/>
      <c r="H522" s="5"/>
    </row>
    <row r="523" spans="1:8" ht="12" customHeight="1">
      <c r="A523" s="10" t="s">
        <v>1590</v>
      </c>
      <c r="B523" s="114" t="s">
        <v>2821</v>
      </c>
      <c r="C523" s="82">
        <v>100634</v>
      </c>
      <c r="D523" s="43"/>
      <c r="E523" s="29" cm="1">
        <f t="array" ref="E523">_xlfn.IFS(C523=":",":",C523&gt;=N$19,1,C523&gt;=N$20,2,C523&gt;=N$21,3,C523&gt;=N$22,4,C523&gt;=N$23,5,C523&lt;N$23,6)</f>
        <v>1</v>
      </c>
      <c r="F523" s="30"/>
      <c r="G523" s="5"/>
      <c r="H523" s="5"/>
    </row>
    <row r="524" spans="1:8" ht="12" customHeight="1">
      <c r="A524" s="10" t="s">
        <v>1591</v>
      </c>
      <c r="B524" s="114" t="s">
        <v>1592</v>
      </c>
      <c r="C524" s="82">
        <v>44555</v>
      </c>
      <c r="D524" s="43"/>
      <c r="E524" s="29" cm="1">
        <f t="array" ref="E524">_xlfn.IFS(C524=":",":",C524&gt;=N$19,1,C524&gt;=N$20,2,C524&gt;=N$21,3,C524&gt;=N$22,4,C524&gt;=N$23,5,C524&lt;N$23,6)</f>
        <v>1</v>
      </c>
      <c r="F524" s="30"/>
      <c r="G524" s="5"/>
      <c r="H524" s="5"/>
    </row>
    <row r="525" spans="1:8" ht="12" customHeight="1">
      <c r="A525" s="10" t="s">
        <v>1593</v>
      </c>
      <c r="B525" s="114" t="s">
        <v>1594</v>
      </c>
      <c r="C525" s="82">
        <v>55774</v>
      </c>
      <c r="D525" s="43"/>
      <c r="E525" s="29" cm="1">
        <f t="array" ref="E525">_xlfn.IFS(C525=":",":",C525&gt;=N$19,1,C525&gt;=N$20,2,C525&gt;=N$21,3,C525&gt;=N$22,4,C525&gt;=N$23,5,C525&lt;N$23,6)</f>
        <v>1</v>
      </c>
      <c r="F525" s="30"/>
      <c r="G525" s="5"/>
      <c r="H525" s="5"/>
    </row>
    <row r="526" spans="1:8" ht="12" customHeight="1">
      <c r="A526" s="10" t="s">
        <v>1595</v>
      </c>
      <c r="B526" s="114" t="s">
        <v>1596</v>
      </c>
      <c r="C526" s="82">
        <v>76201</v>
      </c>
      <c r="D526" s="43"/>
      <c r="E526" s="29" cm="1">
        <f t="array" ref="E526">_xlfn.IFS(C526=":",":",C526&gt;=N$19,1,C526&gt;=N$20,2,C526&gt;=N$21,3,C526&gt;=N$22,4,C526&gt;=N$23,5,C526&lt;N$23,6)</f>
        <v>1</v>
      </c>
      <c r="F526" s="30"/>
      <c r="G526" s="5"/>
      <c r="H526" s="5"/>
    </row>
    <row r="527" spans="1:8" ht="12" customHeight="1">
      <c r="A527" s="10" t="s">
        <v>1597</v>
      </c>
      <c r="B527" s="114" t="s">
        <v>1598</v>
      </c>
      <c r="C527" s="82">
        <v>60573</v>
      </c>
      <c r="D527" s="43"/>
      <c r="E527" s="29" cm="1">
        <f t="array" ref="E527">_xlfn.IFS(C527=":",":",C527&gt;=N$19,1,C527&gt;=N$20,2,C527&gt;=N$21,3,C527&gt;=N$22,4,C527&gt;=N$23,5,C527&lt;N$23,6)</f>
        <v>1</v>
      </c>
      <c r="F527" s="30"/>
      <c r="G527" s="5"/>
      <c r="H527" s="5"/>
    </row>
    <row r="528" spans="1:8" ht="12" customHeight="1">
      <c r="A528" s="10" t="s">
        <v>1599</v>
      </c>
      <c r="B528" s="114" t="s">
        <v>1600</v>
      </c>
      <c r="C528" s="82">
        <v>4025</v>
      </c>
      <c r="D528" s="43"/>
      <c r="E528" s="29" cm="1">
        <f t="array" ref="E528">_xlfn.IFS(C528=":",":",C528&gt;=N$19,1,C528&gt;=N$20,2,C528&gt;=N$21,3,C528&gt;=N$22,4,C528&gt;=N$23,5,C528&lt;N$23,6)</f>
        <v>3</v>
      </c>
      <c r="F528" s="30"/>
      <c r="G528" s="5"/>
      <c r="H528" s="5"/>
    </row>
    <row r="529" spans="1:8" ht="12" customHeight="1">
      <c r="A529" s="10" t="s">
        <v>1601</v>
      </c>
      <c r="B529" s="114" t="s">
        <v>1602</v>
      </c>
      <c r="C529" s="82">
        <v>1569</v>
      </c>
      <c r="D529" s="43"/>
      <c r="E529" s="29" cm="1">
        <f t="array" ref="E529">_xlfn.IFS(C529=":",":",C529&gt;=N$19,1,C529&gt;=N$20,2,C529&gt;=N$21,3,C529&gt;=N$22,4,C529&gt;=N$23,5,C529&lt;N$23,6)</f>
        <v>5</v>
      </c>
      <c r="F529" s="30"/>
      <c r="G529" s="5"/>
      <c r="H529" s="5"/>
    </row>
    <row r="530" spans="1:8" ht="12" customHeight="1">
      <c r="A530" s="10" t="s">
        <v>1603</v>
      </c>
      <c r="B530" s="114" t="s">
        <v>1604</v>
      </c>
      <c r="C530" s="82">
        <v>1808</v>
      </c>
      <c r="D530" s="43"/>
      <c r="E530" s="29" cm="1">
        <f t="array" ref="E530">_xlfn.IFS(C530=":",":",C530&gt;=N$19,1,C530&gt;=N$20,2,C530&gt;=N$21,3,C530&gt;=N$22,4,C530&gt;=N$23,5,C530&lt;N$23,6)</f>
        <v>5</v>
      </c>
      <c r="F530" s="30"/>
      <c r="G530" s="5"/>
      <c r="H530" s="5"/>
    </row>
    <row r="531" spans="1:8" ht="12" customHeight="1">
      <c r="A531" s="10" t="s">
        <v>1605</v>
      </c>
      <c r="B531" s="114" t="s">
        <v>1606</v>
      </c>
      <c r="C531" s="82">
        <v>948</v>
      </c>
      <c r="D531" s="43"/>
      <c r="E531" s="29" cm="1">
        <f t="array" ref="E531">_xlfn.IFS(C531=":",":",C531&gt;=N$19,1,C531&gt;=N$20,2,C531&gt;=N$21,3,C531&gt;=N$22,4,C531&gt;=N$23,5,C531&lt;N$23,6)</f>
        <v>6</v>
      </c>
      <c r="F531" s="30"/>
      <c r="G531" s="5"/>
      <c r="H531" s="5"/>
    </row>
    <row r="532" spans="1:8" ht="12" customHeight="1">
      <c r="A532" s="10" t="s">
        <v>1607</v>
      </c>
      <c r="B532" s="114" t="s">
        <v>1608</v>
      </c>
      <c r="C532" s="82">
        <v>21231</v>
      </c>
      <c r="D532" s="43"/>
      <c r="E532" s="29" cm="1">
        <f t="array" ref="E532">_xlfn.IFS(C532=":",":",C532&gt;=N$19,1,C532&gt;=N$20,2,C532&gt;=N$21,3,C532&gt;=N$22,4,C532&gt;=N$23,5,C532&lt;N$23,6)</f>
        <v>1</v>
      </c>
      <c r="F532" s="30"/>
      <c r="G532" s="5"/>
      <c r="H532" s="5"/>
    </row>
    <row r="533" spans="1:8" ht="12" customHeight="1">
      <c r="A533" s="10" t="s">
        <v>1609</v>
      </c>
      <c r="B533" s="114" t="s">
        <v>1610</v>
      </c>
      <c r="C533" s="82">
        <v>1101</v>
      </c>
      <c r="D533" s="43"/>
      <c r="E533" s="29" cm="1">
        <f t="array" ref="E533">_xlfn.IFS(C533=":",":",C533&gt;=N$19,1,C533&gt;=N$20,2,C533&gt;=N$21,3,C533&gt;=N$22,4,C533&gt;=N$23,5,C533&lt;N$23,6)</f>
        <v>5</v>
      </c>
      <c r="F533" s="30"/>
      <c r="G533" s="5"/>
      <c r="H533" s="5"/>
    </row>
    <row r="534" spans="1:8" ht="12" customHeight="1">
      <c r="A534" s="10" t="s">
        <v>1611</v>
      </c>
      <c r="B534" s="114" t="s">
        <v>1612</v>
      </c>
      <c r="C534" s="82">
        <v>3466</v>
      </c>
      <c r="D534" s="43"/>
      <c r="E534" s="29" cm="1">
        <f t="array" ref="E534">_xlfn.IFS(C534=":",":",C534&gt;=N$19,1,C534&gt;=N$20,2,C534&gt;=N$21,3,C534&gt;=N$22,4,C534&gt;=N$23,5,C534&lt;N$23,6)</f>
        <v>4</v>
      </c>
      <c r="F534" s="30"/>
      <c r="G534" s="5"/>
      <c r="H534" s="5"/>
    </row>
    <row r="535" spans="1:8" ht="12" customHeight="1">
      <c r="A535" s="10" t="s">
        <v>1613</v>
      </c>
      <c r="B535" s="114" t="s">
        <v>1614</v>
      </c>
      <c r="C535" s="82">
        <v>1649</v>
      </c>
      <c r="D535" s="43"/>
      <c r="E535" s="29" cm="1">
        <f t="array" ref="E535">_xlfn.IFS(C535=":",":",C535&gt;=N$19,1,C535&gt;=N$20,2,C535&gt;=N$21,3,C535&gt;=N$22,4,C535&gt;=N$23,5,C535&lt;N$23,6)</f>
        <v>5</v>
      </c>
      <c r="F535" s="30"/>
      <c r="G535" s="5"/>
      <c r="H535" s="5"/>
    </row>
    <row r="536" spans="1:8" ht="12" customHeight="1">
      <c r="A536" s="10" t="s">
        <v>1615</v>
      </c>
      <c r="B536" s="114" t="s">
        <v>1616</v>
      </c>
      <c r="C536" s="82">
        <v>1726</v>
      </c>
      <c r="D536" s="43"/>
      <c r="E536" s="29" cm="1">
        <f t="array" ref="E536">_xlfn.IFS(C536=":",":",C536&gt;=N$19,1,C536&gt;=N$20,2,C536&gt;=N$21,3,C536&gt;=N$22,4,C536&gt;=N$23,5,C536&lt;N$23,6)</f>
        <v>5</v>
      </c>
      <c r="F536" s="30"/>
      <c r="G536" s="5"/>
      <c r="H536" s="5"/>
    </row>
    <row r="537" spans="1:8" ht="12" customHeight="1">
      <c r="A537" s="10" t="s">
        <v>1617</v>
      </c>
      <c r="B537" s="114" t="s">
        <v>1618</v>
      </c>
      <c r="C537" s="82">
        <v>32117</v>
      </c>
      <c r="D537" s="43"/>
      <c r="E537" s="29" cm="1">
        <f t="array" ref="E537">_xlfn.IFS(C537=":",":",C537&gt;=N$19,1,C537&gt;=N$20,2,C537&gt;=N$21,3,C537&gt;=N$22,4,C537&gt;=N$23,5,C537&lt;N$23,6)</f>
        <v>1</v>
      </c>
      <c r="F537" s="30"/>
      <c r="G537" s="5"/>
      <c r="H537" s="5"/>
    </row>
    <row r="538" spans="1:8" ht="12" customHeight="1">
      <c r="A538" s="10" t="s">
        <v>1619</v>
      </c>
      <c r="B538" s="114" t="s">
        <v>1620</v>
      </c>
      <c r="C538" s="82">
        <v>1991</v>
      </c>
      <c r="D538" s="43"/>
      <c r="E538" s="29" cm="1">
        <f t="array" ref="E538">_xlfn.IFS(C538=":",":",C538&gt;=N$19,1,C538&gt;=N$20,2,C538&gt;=N$21,3,C538&gt;=N$22,4,C538&gt;=N$23,5,C538&lt;N$23,6)</f>
        <v>5</v>
      </c>
      <c r="F538" s="30"/>
      <c r="G538" s="5"/>
      <c r="H538" s="5"/>
    </row>
    <row r="539" spans="1:8" ht="12" customHeight="1">
      <c r="A539" s="10" t="s">
        <v>1621</v>
      </c>
      <c r="B539" s="114" t="s">
        <v>1622</v>
      </c>
      <c r="C539" s="82">
        <v>83785</v>
      </c>
      <c r="D539" s="43"/>
      <c r="E539" s="29" cm="1">
        <f t="array" ref="E539">_xlfn.IFS(C539=":",":",C539&gt;=N$19,1,C539&gt;=N$20,2,C539&gt;=N$21,3,C539&gt;=N$22,4,C539&gt;=N$23,5,C539&lt;N$23,6)</f>
        <v>1</v>
      </c>
      <c r="F539" s="30"/>
      <c r="G539" s="5"/>
      <c r="H539" s="5"/>
    </row>
    <row r="540" spans="1:8" ht="12" customHeight="1">
      <c r="A540" s="10" t="s">
        <v>1623</v>
      </c>
      <c r="B540" s="114" t="s">
        <v>1624</v>
      </c>
      <c r="C540" s="82">
        <v>920</v>
      </c>
      <c r="D540" s="43"/>
      <c r="E540" s="29" cm="1">
        <f t="array" ref="E540">_xlfn.IFS(C540=":",":",C540&gt;=N$19,1,C540&gt;=N$20,2,C540&gt;=N$21,3,C540&gt;=N$22,4,C540&gt;=N$23,5,C540&lt;N$23,6)</f>
        <v>6</v>
      </c>
      <c r="F540" s="30"/>
      <c r="G540" s="5"/>
      <c r="H540" s="5"/>
    </row>
    <row r="541" spans="1:8" ht="12" customHeight="1">
      <c r="A541" s="10" t="s">
        <v>1625</v>
      </c>
      <c r="B541" s="114" t="s">
        <v>1626</v>
      </c>
      <c r="C541" s="82">
        <v>2781</v>
      </c>
      <c r="D541" s="43"/>
      <c r="E541" s="29" cm="1">
        <f t="array" ref="E541">_xlfn.IFS(C541=":",":",C541&gt;=N$19,1,C541&gt;=N$20,2,C541&gt;=N$21,3,C541&gt;=N$22,4,C541&gt;=N$23,5,C541&lt;N$23,6)</f>
        <v>4</v>
      </c>
      <c r="F541" s="30"/>
      <c r="G541" s="5"/>
      <c r="H541" s="5"/>
    </row>
    <row r="542" spans="1:8" ht="12" customHeight="1">
      <c r="A542" s="10" t="s">
        <v>1627</v>
      </c>
      <c r="B542" s="114" t="s">
        <v>1628</v>
      </c>
      <c r="C542" s="82">
        <v>1263</v>
      </c>
      <c r="D542" s="43"/>
      <c r="E542" s="29" cm="1">
        <f t="array" ref="E542">_xlfn.IFS(C542=":",":",C542&gt;=N$19,1,C542&gt;=N$20,2,C542&gt;=N$21,3,C542&gt;=N$22,4,C542&gt;=N$23,5,C542&lt;N$23,6)</f>
        <v>5</v>
      </c>
      <c r="F542" s="30"/>
      <c r="G542" s="5"/>
      <c r="H542" s="5"/>
    </row>
    <row r="543" spans="1:8" ht="12" customHeight="1">
      <c r="A543" s="10" t="s">
        <v>1629</v>
      </c>
      <c r="B543" s="114" t="s">
        <v>1630</v>
      </c>
      <c r="C543" s="82">
        <v>11990</v>
      </c>
      <c r="D543" s="43"/>
      <c r="E543" s="29" cm="1">
        <f t="array" ref="E543">_xlfn.IFS(C543=":",":",C543&gt;=N$19,1,C543&gt;=N$20,2,C543&gt;=N$21,3,C543&gt;=N$22,4,C543&gt;=N$23,5,C543&lt;N$23,6)</f>
        <v>2</v>
      </c>
      <c r="F543" s="30"/>
      <c r="G543" s="5"/>
      <c r="H543" s="5"/>
    </row>
    <row r="544" spans="1:8" ht="12" customHeight="1">
      <c r="A544" s="10" t="s">
        <v>1631</v>
      </c>
      <c r="B544" s="114" t="s">
        <v>1632</v>
      </c>
      <c r="C544" s="82">
        <v>13500</v>
      </c>
      <c r="D544" s="43"/>
      <c r="E544" s="29" cm="1">
        <f t="array" ref="E544">_xlfn.IFS(C544=":",":",C544&gt;=N$19,1,C544&gt;=N$20,2,C544&gt;=N$21,3,C544&gt;=N$22,4,C544&gt;=N$23,5,C544&lt;N$23,6)</f>
        <v>2</v>
      </c>
      <c r="F544" s="30"/>
      <c r="G544" s="5"/>
      <c r="H544" s="5"/>
    </row>
    <row r="545" spans="1:8" ht="12" customHeight="1">
      <c r="A545" s="10" t="s">
        <v>1633</v>
      </c>
      <c r="B545" s="114" t="s">
        <v>1634</v>
      </c>
      <c r="C545" s="82">
        <v>6142</v>
      </c>
      <c r="D545" s="43"/>
      <c r="E545" s="29" cm="1">
        <f t="array" ref="E545">_xlfn.IFS(C545=":",":",C545&gt;=N$19,1,C545&gt;=N$20,2,C545&gt;=N$21,3,C545&gt;=N$22,4,C545&gt;=N$23,5,C545&lt;N$23,6)</f>
        <v>3</v>
      </c>
      <c r="F545" s="30"/>
      <c r="G545" s="5"/>
      <c r="H545" s="5"/>
    </row>
    <row r="546" spans="1:8" ht="12" customHeight="1">
      <c r="A546" s="10" t="s">
        <v>1635</v>
      </c>
      <c r="B546" s="114" t="s">
        <v>1636</v>
      </c>
      <c r="C546" s="82">
        <v>3344</v>
      </c>
      <c r="D546" s="43"/>
      <c r="E546" s="29" cm="1">
        <f t="array" ref="E546">_xlfn.IFS(C546=":",":",C546&gt;=N$19,1,C546&gt;=N$20,2,C546&gt;=N$21,3,C546&gt;=N$22,4,C546&gt;=N$23,5,C546&lt;N$23,6)</f>
        <v>4</v>
      </c>
      <c r="F546" s="30"/>
      <c r="G546" s="5"/>
      <c r="H546" s="5"/>
    </row>
    <row r="547" spans="1:8" ht="12" customHeight="1">
      <c r="A547" s="10" t="s">
        <v>1637</v>
      </c>
      <c r="B547" s="114" t="s">
        <v>1638</v>
      </c>
      <c r="C547" s="82">
        <v>1401</v>
      </c>
      <c r="D547" s="43"/>
      <c r="E547" s="29" cm="1">
        <f t="array" ref="E547">_xlfn.IFS(C547=":",":",C547&gt;=N$19,1,C547&gt;=N$20,2,C547&gt;=N$21,3,C547&gt;=N$22,4,C547&gt;=N$23,5,C547&lt;N$23,6)</f>
        <v>5</v>
      </c>
      <c r="F547" s="30"/>
      <c r="G547" s="5"/>
      <c r="H547" s="5"/>
    </row>
    <row r="548" spans="1:8" ht="12" customHeight="1">
      <c r="A548" s="10" t="s">
        <v>1639</v>
      </c>
      <c r="B548" s="114" t="s">
        <v>2872</v>
      </c>
      <c r="C548" s="82">
        <v>14545</v>
      </c>
      <c r="D548" s="43"/>
      <c r="E548" s="29" cm="1">
        <f t="array" ref="E548">_xlfn.IFS(C548=":",":",C548&gt;=N$19,1,C548&gt;=N$20,2,C548&gt;=N$21,3,C548&gt;=N$22,4,C548&gt;=N$23,5,C548&lt;N$23,6)</f>
        <v>2</v>
      </c>
      <c r="F548" s="30"/>
      <c r="G548" s="5"/>
      <c r="H548" s="5"/>
    </row>
    <row r="549" spans="1:8" ht="12" customHeight="1">
      <c r="A549" s="10" t="s">
        <v>1640</v>
      </c>
      <c r="B549" s="114" t="s">
        <v>1641</v>
      </c>
      <c r="C549" s="82">
        <v>162722</v>
      </c>
      <c r="D549" s="43"/>
      <c r="E549" s="29" cm="1">
        <f t="array" ref="E549">_xlfn.IFS(C549=":",":",C549&gt;=N$19,1,C549&gt;=N$20,2,C549&gt;=N$21,3,C549&gt;=N$22,4,C549&gt;=N$23,5,C549&lt;N$23,6)</f>
        <v>1</v>
      </c>
      <c r="F549" s="30"/>
      <c r="G549" s="5"/>
      <c r="H549" s="5"/>
    </row>
    <row r="550" spans="1:8" ht="12" customHeight="1">
      <c r="A550" s="10" t="s">
        <v>1642</v>
      </c>
      <c r="B550" s="114" t="s">
        <v>1643</v>
      </c>
      <c r="C550" s="82">
        <v>102731</v>
      </c>
      <c r="D550" s="43"/>
      <c r="E550" s="29" cm="1">
        <f t="array" ref="E550">_xlfn.IFS(C550=":",":",C550&gt;=N$19,1,C550&gt;=N$20,2,C550&gt;=N$21,3,C550&gt;=N$22,4,C550&gt;=N$23,5,C550&lt;N$23,6)</f>
        <v>1</v>
      </c>
      <c r="F550" s="30"/>
      <c r="G550" s="5"/>
      <c r="H550" s="5"/>
    </row>
    <row r="551" spans="1:8" ht="12" customHeight="1">
      <c r="A551" s="10" t="s">
        <v>1644</v>
      </c>
      <c r="B551" s="114" t="s">
        <v>1645</v>
      </c>
      <c r="C551" s="82">
        <v>53873</v>
      </c>
      <c r="D551" s="43"/>
      <c r="E551" s="29" cm="1">
        <f t="array" ref="E551">_xlfn.IFS(C551=":",":",C551&gt;=N$19,1,C551&gt;=N$20,2,C551&gt;=N$21,3,C551&gt;=N$22,4,C551&gt;=N$23,5,C551&lt;N$23,6)</f>
        <v>1</v>
      </c>
      <c r="F551" s="30"/>
      <c r="G551" s="5"/>
      <c r="H551" s="5"/>
    </row>
    <row r="552" spans="1:8" ht="12" customHeight="1">
      <c r="A552" s="10" t="s">
        <v>1646</v>
      </c>
      <c r="B552" s="114" t="s">
        <v>1647</v>
      </c>
      <c r="C552" s="82">
        <v>70675</v>
      </c>
      <c r="D552" s="43"/>
      <c r="E552" s="29" cm="1">
        <f t="array" ref="E552">_xlfn.IFS(C552=":",":",C552&gt;=N$19,1,C552&gt;=N$20,2,C552&gt;=N$21,3,C552&gt;=N$22,4,C552&gt;=N$23,5,C552&lt;N$23,6)</f>
        <v>1</v>
      </c>
      <c r="F552" s="30"/>
      <c r="G552" s="5"/>
      <c r="H552" s="5"/>
    </row>
    <row r="553" spans="1:8" ht="12" customHeight="1">
      <c r="A553" s="10" t="s">
        <v>1648</v>
      </c>
      <c r="B553" s="114" t="s">
        <v>1649</v>
      </c>
      <c r="C553" s="82">
        <v>2291</v>
      </c>
      <c r="D553" s="43"/>
      <c r="E553" s="29" cm="1">
        <f t="array" ref="E553">_xlfn.IFS(C553=":",":",C553&gt;=N$19,1,C553&gt;=N$20,2,C553&gt;=N$21,3,C553&gt;=N$22,4,C553&gt;=N$23,5,C553&lt;N$23,6)</f>
        <v>4</v>
      </c>
      <c r="F553" s="30"/>
      <c r="G553" s="5"/>
      <c r="H553" s="5"/>
    </row>
    <row r="554" spans="1:8" ht="12" customHeight="1">
      <c r="A554" s="10" t="s">
        <v>1650</v>
      </c>
      <c r="B554" s="114" t="s">
        <v>1651</v>
      </c>
      <c r="C554" s="82">
        <v>3285</v>
      </c>
      <c r="D554" s="43"/>
      <c r="E554" s="29" cm="1">
        <f t="array" ref="E554">_xlfn.IFS(C554=":",":",C554&gt;=N$19,1,C554&gt;=N$20,2,C554&gt;=N$21,3,C554&gt;=N$22,4,C554&gt;=N$23,5,C554&lt;N$23,6)</f>
        <v>4</v>
      </c>
      <c r="F554" s="30"/>
      <c r="G554" s="5"/>
      <c r="H554" s="5"/>
    </row>
    <row r="555" spans="1:8" ht="12" customHeight="1">
      <c r="A555" s="10" t="s">
        <v>1652</v>
      </c>
      <c r="B555" s="114" t="s">
        <v>1653</v>
      </c>
      <c r="C555" s="82">
        <v>6013</v>
      </c>
      <c r="D555" s="43"/>
      <c r="E555" s="29" cm="1">
        <f t="array" ref="E555">_xlfn.IFS(C555=":",":",C555&gt;=N$19,1,C555&gt;=N$20,2,C555&gt;=N$21,3,C555&gt;=N$22,4,C555&gt;=N$23,5,C555&lt;N$23,6)</f>
        <v>3</v>
      </c>
      <c r="F555" s="30"/>
      <c r="G555" s="5"/>
      <c r="H555" s="5"/>
    </row>
    <row r="556" spans="1:8" ht="12" customHeight="1">
      <c r="A556" s="10" t="s">
        <v>1654</v>
      </c>
      <c r="B556" s="114" t="s">
        <v>1655</v>
      </c>
      <c r="C556" s="82">
        <v>2026</v>
      </c>
      <c r="D556" s="43"/>
      <c r="E556" s="29" cm="1">
        <f t="array" ref="E556">_xlfn.IFS(C556=":",":",C556&gt;=N$19,1,C556&gt;=N$20,2,C556&gt;=N$21,3,C556&gt;=N$22,4,C556&gt;=N$23,5,C556&lt;N$23,6)</f>
        <v>4</v>
      </c>
      <c r="F556" s="30"/>
      <c r="G556" s="5"/>
      <c r="H556" s="5"/>
    </row>
    <row r="557" spans="1:8" ht="12" customHeight="1">
      <c r="A557" s="10" t="s">
        <v>1656</v>
      </c>
      <c r="B557" s="114" t="s">
        <v>1657</v>
      </c>
      <c r="C557" s="82">
        <v>8111</v>
      </c>
      <c r="D557" s="43"/>
      <c r="E557" s="29" cm="1">
        <f t="array" ref="E557">_xlfn.IFS(C557=":",":",C557&gt;=N$19,1,C557&gt;=N$20,2,C557&gt;=N$21,3,C557&gt;=N$22,4,C557&gt;=N$23,5,C557&lt;N$23,6)</f>
        <v>2</v>
      </c>
      <c r="F557" s="30"/>
      <c r="G557" s="5"/>
      <c r="H557" s="5"/>
    </row>
    <row r="558" spans="1:8" ht="12" customHeight="1">
      <c r="A558" s="10" t="s">
        <v>1658</v>
      </c>
      <c r="B558" s="114" t="s">
        <v>1659</v>
      </c>
      <c r="C558" s="82">
        <v>6757</v>
      </c>
      <c r="D558" s="43"/>
      <c r="E558" s="29" cm="1">
        <f t="array" ref="E558">_xlfn.IFS(C558=":",":",C558&gt;=N$19,1,C558&gt;=N$20,2,C558&gt;=N$21,3,C558&gt;=N$22,4,C558&gt;=N$23,5,C558&lt;N$23,6)</f>
        <v>3</v>
      </c>
      <c r="F558" s="30"/>
      <c r="G558" s="5"/>
      <c r="H558" s="5"/>
    </row>
    <row r="559" spans="1:8" ht="12" customHeight="1">
      <c r="A559" s="10" t="s">
        <v>1660</v>
      </c>
      <c r="B559" s="114" t="s">
        <v>1661</v>
      </c>
      <c r="C559" s="82">
        <v>2156</v>
      </c>
      <c r="D559" s="43"/>
      <c r="E559" s="29" cm="1">
        <f t="array" ref="E559">_xlfn.IFS(C559=":",":",C559&gt;=N$19,1,C559&gt;=N$20,2,C559&gt;=N$21,3,C559&gt;=N$22,4,C559&gt;=N$23,5,C559&lt;N$23,6)</f>
        <v>4</v>
      </c>
      <c r="F559" s="30"/>
      <c r="G559" s="5"/>
      <c r="H559" s="5"/>
    </row>
    <row r="560" spans="1:8" ht="12" customHeight="1">
      <c r="A560" s="10" t="s">
        <v>1662</v>
      </c>
      <c r="B560" s="114" t="s">
        <v>1663</v>
      </c>
      <c r="C560" s="82">
        <v>12080</v>
      </c>
      <c r="D560" s="43"/>
      <c r="E560" s="29" cm="1">
        <f t="array" ref="E560">_xlfn.IFS(C560=":",":",C560&gt;=N$19,1,C560&gt;=N$20,2,C560&gt;=N$21,3,C560&gt;=N$22,4,C560&gt;=N$23,5,C560&lt;N$23,6)</f>
        <v>2</v>
      </c>
      <c r="F560" s="30"/>
      <c r="G560" s="5"/>
      <c r="H560" s="5"/>
    </row>
    <row r="561" spans="1:8" ht="12" customHeight="1">
      <c r="A561" s="10" t="s">
        <v>1664</v>
      </c>
      <c r="B561" s="114" t="s">
        <v>1665</v>
      </c>
      <c r="C561" s="82">
        <v>9783</v>
      </c>
      <c r="D561" s="43"/>
      <c r="E561" s="29" cm="1">
        <f t="array" ref="E561">_xlfn.IFS(C561=":",":",C561&gt;=N$19,1,C561&gt;=N$20,2,C561&gt;=N$21,3,C561&gt;=N$22,4,C561&gt;=N$23,5,C561&lt;N$23,6)</f>
        <v>2</v>
      </c>
      <c r="F561" s="30"/>
      <c r="G561" s="5"/>
      <c r="H561" s="5"/>
    </row>
    <row r="562" spans="1:8" ht="12" customHeight="1">
      <c r="A562" s="10" t="s">
        <v>1666</v>
      </c>
      <c r="B562" s="114" t="s">
        <v>1667</v>
      </c>
      <c r="C562" s="82">
        <v>6446</v>
      </c>
      <c r="D562" s="43"/>
      <c r="E562" s="29" cm="1">
        <f t="array" ref="E562">_xlfn.IFS(C562=":",":",C562&gt;=N$19,1,C562&gt;=N$20,2,C562&gt;=N$21,3,C562&gt;=N$22,4,C562&gt;=N$23,5,C562&lt;N$23,6)</f>
        <v>3</v>
      </c>
      <c r="F562" s="30"/>
      <c r="G562" s="5"/>
      <c r="H562" s="5"/>
    </row>
    <row r="563" spans="1:8" ht="12" customHeight="1">
      <c r="A563" s="10" t="s">
        <v>1668</v>
      </c>
      <c r="B563" s="114" t="s">
        <v>1669</v>
      </c>
      <c r="C563" s="82">
        <v>13145</v>
      </c>
      <c r="D563" s="43"/>
      <c r="E563" s="29" cm="1">
        <f t="array" ref="E563">_xlfn.IFS(C563=":",":",C563&gt;=N$19,1,C563&gt;=N$20,2,C563&gt;=N$21,3,C563&gt;=N$22,4,C563&gt;=N$23,5,C563&lt;N$23,6)</f>
        <v>2</v>
      </c>
      <c r="F563" s="30"/>
      <c r="G563" s="5"/>
      <c r="H563" s="5"/>
    </row>
    <row r="564" spans="1:8" ht="12" customHeight="1">
      <c r="A564" s="10" t="s">
        <v>1670</v>
      </c>
      <c r="B564" s="112" t="s">
        <v>1671</v>
      </c>
      <c r="C564" s="82">
        <v>4957</v>
      </c>
      <c r="D564" s="43"/>
      <c r="E564" s="29" cm="1">
        <f t="array" ref="E564">_xlfn.IFS(C564=":",":",C564&gt;=N$19,1,C564&gt;=N$20,2,C564&gt;=N$21,3,C564&gt;=N$22,4,C564&gt;=N$23,5,C564&lt;N$23,6)</f>
        <v>3</v>
      </c>
      <c r="F564" s="30"/>
      <c r="G564" s="5"/>
      <c r="H564" s="5"/>
    </row>
    <row r="565" spans="1:8" ht="12" customHeight="1">
      <c r="A565" s="10" t="s">
        <v>1672</v>
      </c>
      <c r="B565" s="112" t="s">
        <v>1673</v>
      </c>
      <c r="C565" s="82">
        <v>5782</v>
      </c>
      <c r="D565" s="43"/>
      <c r="E565" s="29" cm="1">
        <f t="array" ref="E565">_xlfn.IFS(C565=":",":",C565&gt;=N$19,1,C565&gt;=N$20,2,C565&gt;=N$21,3,C565&gt;=N$22,4,C565&gt;=N$23,5,C565&lt;N$23,6)</f>
        <v>3</v>
      </c>
      <c r="F565" s="30"/>
      <c r="G565" s="5"/>
      <c r="H565" s="5"/>
    </row>
    <row r="566" spans="1:8" ht="12" customHeight="1">
      <c r="A566" s="10" t="s">
        <v>1674</v>
      </c>
      <c r="B566" s="112" t="s">
        <v>1675</v>
      </c>
      <c r="C566" s="82">
        <v>2950</v>
      </c>
      <c r="D566" s="43"/>
      <c r="E566" s="29" cm="1">
        <f t="array" ref="E566">_xlfn.IFS(C566=":",":",C566&gt;=N$19,1,C566&gt;=N$20,2,C566&gt;=N$21,3,C566&gt;=N$22,4,C566&gt;=N$23,5,C566&lt;N$23,6)</f>
        <v>4</v>
      </c>
      <c r="F566" s="30"/>
      <c r="G566" s="5"/>
      <c r="H566" s="5"/>
    </row>
    <row r="567" spans="1:8" ht="12" customHeight="1">
      <c r="A567" s="10" t="s">
        <v>1676</v>
      </c>
      <c r="B567" s="112" t="s">
        <v>1677</v>
      </c>
      <c r="C567" s="82">
        <v>5254</v>
      </c>
      <c r="D567" s="43"/>
      <c r="E567" s="29" cm="1">
        <f t="array" ref="E567">_xlfn.IFS(C567=":",":",C567&gt;=N$19,1,C567&gt;=N$20,2,C567&gt;=N$21,3,C567&gt;=N$22,4,C567&gt;=N$23,5,C567&lt;N$23,6)</f>
        <v>3</v>
      </c>
      <c r="F567" s="30"/>
      <c r="G567" s="5"/>
      <c r="H567" s="5"/>
    </row>
    <row r="568" spans="1:8" ht="12" customHeight="1">
      <c r="A568" s="10" t="s">
        <v>1678</v>
      </c>
      <c r="B568" s="112" t="s">
        <v>1679</v>
      </c>
      <c r="C568" s="82">
        <v>6605</v>
      </c>
      <c r="D568" s="43"/>
      <c r="E568" s="29" cm="1">
        <f t="array" ref="E568">_xlfn.IFS(C568=":",":",C568&gt;=N$19,1,C568&gt;=N$20,2,C568&gt;=N$21,3,C568&gt;=N$22,4,C568&gt;=N$23,5,C568&lt;N$23,6)</f>
        <v>3</v>
      </c>
      <c r="F568" s="30"/>
      <c r="G568" s="5"/>
      <c r="H568" s="5"/>
    </row>
    <row r="569" spans="1:8" ht="12" customHeight="1">
      <c r="A569" s="10" t="s">
        <v>1680</v>
      </c>
      <c r="B569" s="112" t="s">
        <v>14</v>
      </c>
      <c r="C569" s="82">
        <v>10481</v>
      </c>
      <c r="D569" s="43"/>
      <c r="E569" s="29" cm="1">
        <f t="array" ref="E569">_xlfn.IFS(C569=":",":",C569&gt;=N$19,1,C569&gt;=N$20,2,C569&gt;=N$21,3,C569&gt;=N$22,4,C569&gt;=N$23,5,C569&lt;N$23,6)</f>
        <v>2</v>
      </c>
      <c r="F569" s="30"/>
      <c r="G569" s="5"/>
      <c r="H569" s="5"/>
    </row>
    <row r="570" spans="1:8" ht="12" customHeight="1">
      <c r="A570" s="10" t="s">
        <v>1681</v>
      </c>
      <c r="B570" s="112" t="s">
        <v>1682</v>
      </c>
      <c r="C570" s="82">
        <v>4389</v>
      </c>
      <c r="D570" s="43"/>
      <c r="E570" s="29" cm="1">
        <f t="array" ref="E570">_xlfn.IFS(C570=":",":",C570&gt;=N$19,1,C570&gt;=N$20,2,C570&gt;=N$21,3,C570&gt;=N$22,4,C570&gt;=N$23,5,C570&lt;N$23,6)</f>
        <v>3</v>
      </c>
      <c r="F570" s="30"/>
      <c r="G570" s="5"/>
      <c r="H570" s="5"/>
    </row>
    <row r="571" spans="1:8" ht="12" customHeight="1">
      <c r="A571" s="10" t="s">
        <v>1683</v>
      </c>
      <c r="B571" s="112" t="s">
        <v>1684</v>
      </c>
      <c r="C571" s="82">
        <v>6319</v>
      </c>
      <c r="D571" s="43"/>
      <c r="E571" s="29" cm="1">
        <f t="array" ref="E571">_xlfn.IFS(C571=":",":",C571&gt;=N$19,1,C571&gt;=N$20,2,C571&gt;=N$21,3,C571&gt;=N$22,4,C571&gt;=N$23,5,C571&lt;N$23,6)</f>
        <v>3</v>
      </c>
      <c r="F571" s="30"/>
      <c r="G571" s="5"/>
      <c r="H571" s="5"/>
    </row>
    <row r="572" spans="1:8" ht="12" customHeight="1">
      <c r="A572" s="10" t="s">
        <v>1685</v>
      </c>
      <c r="B572" s="112" t="s">
        <v>1686</v>
      </c>
      <c r="C572" s="82">
        <v>3755</v>
      </c>
      <c r="D572" s="43"/>
      <c r="E572" s="29" cm="1">
        <f t="array" ref="E572">_xlfn.IFS(C572=":",":",C572&gt;=N$19,1,C572&gt;=N$20,2,C572&gt;=N$21,3,C572&gt;=N$22,4,C572&gt;=N$23,5,C572&lt;N$23,6)</f>
        <v>3</v>
      </c>
      <c r="F572" s="30"/>
      <c r="G572" s="5"/>
      <c r="H572" s="5"/>
    </row>
    <row r="573" spans="1:8" ht="12" customHeight="1">
      <c r="A573" s="10" t="s">
        <v>1687</v>
      </c>
      <c r="B573" s="112" t="s">
        <v>1688</v>
      </c>
      <c r="C573" s="82">
        <v>6208</v>
      </c>
      <c r="D573" s="43"/>
      <c r="E573" s="29" cm="1">
        <f t="array" ref="E573">_xlfn.IFS(C573=":",":",C573&gt;=N$19,1,C573&gt;=N$20,2,C573&gt;=N$21,3,C573&gt;=N$22,4,C573&gt;=N$23,5,C573&lt;N$23,6)</f>
        <v>3</v>
      </c>
      <c r="F573" s="30"/>
      <c r="G573" s="5"/>
      <c r="H573" s="5"/>
    </row>
    <row r="574" spans="1:8" ht="12" customHeight="1">
      <c r="A574" s="10" t="s">
        <v>1689</v>
      </c>
      <c r="B574" s="112" t="s">
        <v>191</v>
      </c>
      <c r="C574" s="82">
        <v>5300</v>
      </c>
      <c r="D574" s="43"/>
      <c r="E574" s="29" cm="1">
        <f t="array" ref="E574">_xlfn.IFS(C574=":",":",C574&gt;=N$19,1,C574&gt;=N$20,2,C574&gt;=N$21,3,C574&gt;=N$22,4,C574&gt;=N$23,5,C574&lt;N$23,6)</f>
        <v>3</v>
      </c>
      <c r="F574" s="30"/>
      <c r="G574" s="5"/>
      <c r="H574" s="5"/>
    </row>
    <row r="575" spans="1:8" ht="12" customHeight="1">
      <c r="A575" s="10" t="s">
        <v>1690</v>
      </c>
      <c r="B575" s="112" t="s">
        <v>1691</v>
      </c>
      <c r="C575" s="82">
        <v>17326</v>
      </c>
      <c r="D575" s="43"/>
      <c r="E575" s="29" cm="1">
        <f t="array" ref="E575">_xlfn.IFS(C575=":",":",C575&gt;=N$19,1,C575&gt;=N$20,2,C575&gt;=N$21,3,C575&gt;=N$22,4,C575&gt;=N$23,5,C575&lt;N$23,6)</f>
        <v>1</v>
      </c>
      <c r="F575" s="30"/>
      <c r="G575" s="5"/>
      <c r="H575" s="5"/>
    </row>
    <row r="576" spans="1:8" ht="12" customHeight="1">
      <c r="A576" s="10" t="s">
        <v>1692</v>
      </c>
      <c r="B576" s="112" t="s">
        <v>1693</v>
      </c>
      <c r="C576" s="82">
        <v>10711</v>
      </c>
      <c r="D576" s="43"/>
      <c r="E576" s="29" cm="1">
        <f t="array" ref="E576">_xlfn.IFS(C576=":",":",C576&gt;=N$19,1,C576&gt;=N$20,2,C576&gt;=N$21,3,C576&gt;=N$22,4,C576&gt;=N$23,5,C576&lt;N$23,6)</f>
        <v>2</v>
      </c>
      <c r="F576" s="30"/>
      <c r="G576" s="5"/>
      <c r="H576" s="5"/>
    </row>
    <row r="577" spans="1:8" ht="12" customHeight="1">
      <c r="A577" s="10" t="s">
        <v>1694</v>
      </c>
      <c r="B577" s="112" t="s">
        <v>1695</v>
      </c>
      <c r="C577" s="82">
        <v>3483</v>
      </c>
      <c r="D577" s="43"/>
      <c r="E577" s="29" cm="1">
        <f t="array" ref="E577">_xlfn.IFS(C577=":",":",C577&gt;=N$19,1,C577&gt;=N$20,2,C577&gt;=N$21,3,C577&gt;=N$22,4,C577&gt;=N$23,5,C577&lt;N$23,6)</f>
        <v>4</v>
      </c>
      <c r="F577" s="30"/>
      <c r="G577" s="5"/>
      <c r="H577" s="5"/>
    </row>
    <row r="578" spans="1:8" ht="12" customHeight="1">
      <c r="A578" s="10" t="s">
        <v>1696</v>
      </c>
      <c r="B578" s="112" t="s">
        <v>1697</v>
      </c>
      <c r="C578" s="82">
        <v>4784</v>
      </c>
      <c r="D578" s="43"/>
      <c r="E578" s="29" cm="1">
        <f t="array" ref="E578">_xlfn.IFS(C578=":",":",C578&gt;=N$19,1,C578&gt;=N$20,2,C578&gt;=N$21,3,C578&gt;=N$22,4,C578&gt;=N$23,5,C578&lt;N$23,6)</f>
        <v>3</v>
      </c>
      <c r="F578" s="30"/>
      <c r="G578" s="5"/>
      <c r="H578" s="5"/>
    </row>
    <row r="579" spans="1:8" ht="12" customHeight="1">
      <c r="A579" s="10" t="s">
        <v>1698</v>
      </c>
      <c r="B579" s="112" t="s">
        <v>1699</v>
      </c>
      <c r="C579" s="82">
        <v>8481</v>
      </c>
      <c r="D579" s="43"/>
      <c r="E579" s="29" cm="1">
        <f t="array" ref="E579">_xlfn.IFS(C579=":",":",C579&gt;=N$19,1,C579&gt;=N$20,2,C579&gt;=N$21,3,C579&gt;=N$22,4,C579&gt;=N$23,5,C579&lt;N$23,6)</f>
        <v>2</v>
      </c>
      <c r="F579" s="30"/>
      <c r="G579" s="5"/>
      <c r="H579" s="5"/>
    </row>
    <row r="580" spans="1:8" ht="12" customHeight="1">
      <c r="A580" s="10" t="s">
        <v>1700</v>
      </c>
      <c r="B580" s="112" t="s">
        <v>1701</v>
      </c>
      <c r="C580" s="82">
        <v>5909</v>
      </c>
      <c r="D580" s="43"/>
      <c r="E580" s="29" cm="1">
        <f t="array" ref="E580">_xlfn.IFS(C580=":",":",C580&gt;=N$19,1,C580&gt;=N$20,2,C580&gt;=N$21,3,C580&gt;=N$22,4,C580&gt;=N$23,5,C580&lt;N$23,6)</f>
        <v>3</v>
      </c>
      <c r="F580" s="30"/>
      <c r="G580" s="5"/>
      <c r="H580" s="5"/>
    </row>
    <row r="581" spans="1:8" ht="12" customHeight="1">
      <c r="A581" s="10" t="s">
        <v>1702</v>
      </c>
      <c r="B581" s="112" t="s">
        <v>1703</v>
      </c>
      <c r="C581" s="82">
        <v>4401</v>
      </c>
      <c r="D581" s="43"/>
      <c r="E581" s="29" cm="1">
        <f t="array" ref="E581">_xlfn.IFS(C581=":",":",C581&gt;=N$19,1,C581&gt;=N$20,2,C581&gt;=N$21,3,C581&gt;=N$22,4,C581&gt;=N$23,5,C581&lt;N$23,6)</f>
        <v>3</v>
      </c>
      <c r="F581" s="30"/>
      <c r="G581" s="5"/>
      <c r="H581" s="5"/>
    </row>
    <row r="582" spans="1:8" ht="12" customHeight="1">
      <c r="A582" s="10" t="s">
        <v>1704</v>
      </c>
      <c r="B582" s="112" t="s">
        <v>1705</v>
      </c>
      <c r="C582" s="82">
        <v>4784</v>
      </c>
      <c r="D582" s="43"/>
      <c r="E582" s="29" cm="1">
        <f t="array" ref="E582">_xlfn.IFS(C582=":",":",C582&gt;=N$19,1,C582&gt;=N$20,2,C582&gt;=N$21,3,C582&gt;=N$22,4,C582&gt;=N$23,5,C582&lt;N$23,6)</f>
        <v>3</v>
      </c>
      <c r="F582" s="30"/>
      <c r="G582" s="5"/>
      <c r="H582" s="5"/>
    </row>
    <row r="583" spans="1:8" ht="12" customHeight="1">
      <c r="A583" s="10" t="s">
        <v>1706</v>
      </c>
      <c r="B583" s="112" t="s">
        <v>1707</v>
      </c>
      <c r="C583" s="82">
        <v>7324</v>
      </c>
      <c r="D583" s="43"/>
      <c r="E583" s="29" cm="1">
        <f t="array" ref="E583">_xlfn.IFS(C583=":",":",C583&gt;=N$19,1,C583&gt;=N$20,2,C583&gt;=N$21,3,C583&gt;=N$22,4,C583&gt;=N$23,5,C583&lt;N$23,6)</f>
        <v>3</v>
      </c>
      <c r="F583" s="30"/>
      <c r="G583" s="5"/>
      <c r="H583" s="5"/>
    </row>
    <row r="584" spans="1:8" ht="12" customHeight="1">
      <c r="A584" s="10" t="s">
        <v>1708</v>
      </c>
      <c r="B584" s="112" t="s">
        <v>1709</v>
      </c>
      <c r="C584" s="82">
        <v>9136</v>
      </c>
      <c r="D584" s="43"/>
      <c r="E584" s="29" cm="1">
        <f t="array" ref="E584">_xlfn.IFS(C584=":",":",C584&gt;=N$19,1,C584&gt;=N$20,2,C584&gt;=N$21,3,C584&gt;=N$22,4,C584&gt;=N$23,5,C584&lt;N$23,6)</f>
        <v>2</v>
      </c>
      <c r="F584" s="30"/>
      <c r="G584" s="5"/>
      <c r="H584" s="5"/>
    </row>
    <row r="585" spans="1:8" ht="12" customHeight="1">
      <c r="A585" s="10" t="s">
        <v>1710</v>
      </c>
      <c r="B585" s="112" t="s">
        <v>1711</v>
      </c>
      <c r="C585" s="82">
        <v>9870</v>
      </c>
      <c r="D585" s="43"/>
      <c r="E585" s="29" cm="1">
        <f t="array" ref="E585">_xlfn.IFS(C585=":",":",C585&gt;=N$19,1,C585&gt;=N$20,2,C585&gt;=N$21,3,C585&gt;=N$22,4,C585&gt;=N$23,5,C585&lt;N$23,6)</f>
        <v>2</v>
      </c>
      <c r="F585" s="30"/>
      <c r="G585" s="5"/>
      <c r="H585" s="5"/>
    </row>
    <row r="586" spans="1:8" ht="12" customHeight="1">
      <c r="A586" s="10" t="s">
        <v>1712</v>
      </c>
      <c r="B586" s="112" t="s">
        <v>1713</v>
      </c>
      <c r="C586" s="82">
        <v>3008</v>
      </c>
      <c r="D586" s="43"/>
      <c r="E586" s="29" cm="1">
        <f t="array" ref="E586">_xlfn.IFS(C586=":",":",C586&gt;=N$19,1,C586&gt;=N$20,2,C586&gt;=N$21,3,C586&gt;=N$22,4,C586&gt;=N$23,5,C586&lt;N$23,6)</f>
        <v>4</v>
      </c>
      <c r="F586" s="30"/>
      <c r="G586" s="5"/>
      <c r="H586" s="5"/>
    </row>
    <row r="587" spans="1:8" ht="12" customHeight="1">
      <c r="A587" s="10" t="s">
        <v>1714</v>
      </c>
      <c r="B587" s="112" t="s">
        <v>1715</v>
      </c>
      <c r="C587" s="82">
        <v>3597</v>
      </c>
      <c r="D587" s="43"/>
      <c r="E587" s="29" cm="1">
        <f t="array" ref="E587">_xlfn.IFS(C587=":",":",C587&gt;=N$19,1,C587&gt;=N$20,2,C587&gt;=N$21,3,C587&gt;=N$22,4,C587&gt;=N$23,5,C587&lt;N$23,6)</f>
        <v>3</v>
      </c>
      <c r="F587" s="30"/>
      <c r="G587" s="5"/>
      <c r="H587" s="5"/>
    </row>
    <row r="588" spans="1:8" ht="12" customHeight="1">
      <c r="A588" s="10" t="s">
        <v>1716</v>
      </c>
      <c r="B588" s="112" t="s">
        <v>1717</v>
      </c>
      <c r="C588" s="82">
        <v>3384</v>
      </c>
      <c r="D588" s="43"/>
      <c r="E588" s="29" cm="1">
        <f t="array" ref="E588">_xlfn.IFS(C588=":",":",C588&gt;=N$19,1,C588&gt;=N$20,2,C588&gt;=N$21,3,C588&gt;=N$22,4,C588&gt;=N$23,5,C588&lt;N$23,6)</f>
        <v>4</v>
      </c>
      <c r="F588" s="30"/>
      <c r="G588" s="5"/>
      <c r="H588" s="5"/>
    </row>
    <row r="589" spans="1:8" ht="12" customHeight="1">
      <c r="A589" s="10" t="s">
        <v>1718</v>
      </c>
      <c r="B589" s="112" t="s">
        <v>1719</v>
      </c>
      <c r="C589" s="82">
        <v>1902</v>
      </c>
      <c r="D589" s="43"/>
      <c r="E589" s="29" cm="1">
        <f t="array" ref="E589">_xlfn.IFS(C589=":",":",C589&gt;=N$19,1,C589&gt;=N$20,2,C589&gt;=N$21,3,C589&gt;=N$22,4,C589&gt;=N$23,5,C589&lt;N$23,6)</f>
        <v>5</v>
      </c>
      <c r="F589" s="30"/>
      <c r="G589" s="5"/>
      <c r="H589" s="5"/>
    </row>
    <row r="590" spans="1:8" ht="12" customHeight="1">
      <c r="A590" s="10" t="s">
        <v>1720</v>
      </c>
      <c r="B590" s="112" t="s">
        <v>1721</v>
      </c>
      <c r="C590" s="82">
        <v>4848</v>
      </c>
      <c r="D590" s="43"/>
      <c r="E590" s="29" cm="1">
        <f t="array" ref="E590">_xlfn.IFS(C590=":",":",C590&gt;=N$19,1,C590&gt;=N$20,2,C590&gt;=N$21,3,C590&gt;=N$22,4,C590&gt;=N$23,5,C590&lt;N$23,6)</f>
        <v>3</v>
      </c>
      <c r="F590" s="30"/>
      <c r="G590" s="5"/>
      <c r="H590" s="5"/>
    </row>
    <row r="591" spans="1:8" ht="12" customHeight="1">
      <c r="A591" s="10" t="s">
        <v>1722</v>
      </c>
      <c r="B591" s="112" t="s">
        <v>1723</v>
      </c>
      <c r="C591" s="82">
        <v>2903</v>
      </c>
      <c r="D591" s="43"/>
      <c r="E591" s="29" cm="1">
        <f t="array" ref="E591">_xlfn.IFS(C591=":",":",C591&gt;=N$19,1,C591&gt;=N$20,2,C591&gt;=N$21,3,C591&gt;=N$22,4,C591&gt;=N$23,5,C591&lt;N$23,6)</f>
        <v>4</v>
      </c>
      <c r="F591" s="30"/>
      <c r="G591" s="5"/>
      <c r="H591" s="5"/>
    </row>
    <row r="592" spans="1:8" ht="12" customHeight="1">
      <c r="A592" s="10" t="s">
        <v>1724</v>
      </c>
      <c r="B592" s="112" t="s">
        <v>1725</v>
      </c>
      <c r="C592" s="82">
        <v>2801</v>
      </c>
      <c r="D592" s="43"/>
      <c r="E592" s="29" cm="1">
        <f t="array" ref="E592">_xlfn.IFS(C592=":",":",C592&gt;=N$19,1,C592&gt;=N$20,2,C592&gt;=N$21,3,C592&gt;=N$22,4,C592&gt;=N$23,5,C592&lt;N$23,6)</f>
        <v>4</v>
      </c>
      <c r="F592" s="30"/>
      <c r="G592" s="5"/>
      <c r="H592" s="5"/>
    </row>
    <row r="593" spans="1:8" ht="12" customHeight="1">
      <c r="A593" s="10" t="s">
        <v>1726</v>
      </c>
      <c r="B593" s="112" t="s">
        <v>1727</v>
      </c>
      <c r="C593" s="82">
        <v>2470</v>
      </c>
      <c r="D593" s="43"/>
      <c r="E593" s="29" cm="1">
        <f t="array" ref="E593">_xlfn.IFS(C593=":",":",C593&gt;=N$19,1,C593&gt;=N$20,2,C593&gt;=N$21,3,C593&gt;=N$22,4,C593&gt;=N$23,5,C593&lt;N$23,6)</f>
        <v>4</v>
      </c>
      <c r="F593" s="30"/>
      <c r="G593" s="5"/>
      <c r="H593" s="5"/>
    </row>
    <row r="594" spans="1:8" ht="12" customHeight="1">
      <c r="A594" s="10" t="s">
        <v>1728</v>
      </c>
      <c r="B594" s="112" t="s">
        <v>1729</v>
      </c>
      <c r="C594" s="82">
        <v>6251</v>
      </c>
      <c r="D594" s="43"/>
      <c r="E594" s="29" cm="1">
        <f t="array" ref="E594">_xlfn.IFS(C594=":",":",C594&gt;=N$19,1,C594&gt;=N$20,2,C594&gt;=N$21,3,C594&gt;=N$22,4,C594&gt;=N$23,5,C594&lt;N$23,6)</f>
        <v>3</v>
      </c>
      <c r="F594" s="30"/>
      <c r="G594" s="5"/>
      <c r="H594" s="5"/>
    </row>
    <row r="595" spans="1:8" ht="12" customHeight="1">
      <c r="A595" s="10" t="s">
        <v>1730</v>
      </c>
      <c r="B595" s="112" t="s">
        <v>1731</v>
      </c>
      <c r="C595" s="82">
        <v>7309</v>
      </c>
      <c r="D595" s="43"/>
      <c r="E595" s="29" cm="1">
        <f t="array" ref="E595">_xlfn.IFS(C595=":",":",C595&gt;=N$19,1,C595&gt;=N$20,2,C595&gt;=N$21,3,C595&gt;=N$22,4,C595&gt;=N$23,5,C595&lt;N$23,6)</f>
        <v>3</v>
      </c>
      <c r="F595" s="30"/>
      <c r="G595" s="5"/>
      <c r="H595" s="5"/>
    </row>
    <row r="596" spans="1:8" ht="12" customHeight="1">
      <c r="A596" s="10" t="s">
        <v>1732</v>
      </c>
      <c r="B596" s="112" t="s">
        <v>1733</v>
      </c>
      <c r="C596" s="82">
        <v>31630</v>
      </c>
      <c r="D596" s="43"/>
      <c r="E596" s="29" cm="1">
        <f t="array" ref="E596">_xlfn.IFS(C596=":",":",C596&gt;=N$19,1,C596&gt;=N$20,2,C596&gt;=N$21,3,C596&gt;=N$22,4,C596&gt;=N$23,5,C596&lt;N$23,6)</f>
        <v>1</v>
      </c>
      <c r="F596" s="30"/>
      <c r="G596" s="5"/>
      <c r="H596" s="5"/>
    </row>
    <row r="597" spans="1:8" ht="12" customHeight="1">
      <c r="A597" s="10" t="s">
        <v>1734</v>
      </c>
      <c r="B597" s="112" t="s">
        <v>1735</v>
      </c>
      <c r="C597" s="82">
        <v>7505</v>
      </c>
      <c r="D597" s="43"/>
      <c r="E597" s="29" cm="1">
        <f t="array" ref="E597">_xlfn.IFS(C597=":",":",C597&gt;=N$19,1,C597&gt;=N$20,2,C597&gt;=N$21,3,C597&gt;=N$22,4,C597&gt;=N$23,5,C597&lt;N$23,6)</f>
        <v>2</v>
      </c>
      <c r="F597" s="30"/>
      <c r="G597" s="5"/>
      <c r="H597" s="5"/>
    </row>
    <row r="598" spans="1:8" ht="12" customHeight="1">
      <c r="A598" s="10" t="s">
        <v>1736</v>
      </c>
      <c r="B598" s="112" t="s">
        <v>1737</v>
      </c>
      <c r="C598" s="82">
        <v>23985</v>
      </c>
      <c r="D598" s="43"/>
      <c r="E598" s="29" cm="1">
        <f t="array" ref="E598">_xlfn.IFS(C598=":",":",C598&gt;=N$19,1,C598&gt;=N$20,2,C598&gt;=N$21,3,C598&gt;=N$22,4,C598&gt;=N$23,5,C598&lt;N$23,6)</f>
        <v>1</v>
      </c>
      <c r="F598" s="30"/>
      <c r="G598" s="5"/>
      <c r="H598" s="5"/>
    </row>
    <row r="599" spans="1:8" ht="12" customHeight="1">
      <c r="A599" s="10" t="s">
        <v>1738</v>
      </c>
      <c r="B599" s="112" t="s">
        <v>1739</v>
      </c>
      <c r="C599" s="82">
        <v>17191</v>
      </c>
      <c r="D599" s="43"/>
      <c r="E599" s="29" cm="1">
        <f t="array" ref="E599">_xlfn.IFS(C599=":",":",C599&gt;=N$19,1,C599&gt;=N$20,2,C599&gt;=N$21,3,C599&gt;=N$22,4,C599&gt;=N$23,5,C599&lt;N$23,6)</f>
        <v>1</v>
      </c>
      <c r="F599" s="30"/>
      <c r="G599" s="5"/>
      <c r="H599" s="5"/>
    </row>
    <row r="600" spans="1:8" ht="12" customHeight="1">
      <c r="A600" s="10" t="s">
        <v>1740</v>
      </c>
      <c r="B600" s="112" t="s">
        <v>1741</v>
      </c>
      <c r="C600" s="82">
        <v>13712</v>
      </c>
      <c r="D600" s="43"/>
      <c r="E600" s="29" cm="1">
        <f t="array" ref="E600">_xlfn.IFS(C600=":",":",C600&gt;=N$19,1,C600&gt;=N$20,2,C600&gt;=N$21,3,C600&gt;=N$22,4,C600&gt;=N$23,5,C600&lt;N$23,6)</f>
        <v>2</v>
      </c>
      <c r="F600" s="30"/>
      <c r="G600" s="5"/>
      <c r="H600" s="5"/>
    </row>
    <row r="601" spans="1:8" ht="12" customHeight="1">
      <c r="A601" s="10" t="s">
        <v>1742</v>
      </c>
      <c r="B601" s="112" t="s">
        <v>1743</v>
      </c>
      <c r="C601" s="82">
        <v>5115</v>
      </c>
      <c r="D601" s="43"/>
      <c r="E601" s="29" cm="1">
        <f t="array" ref="E601">_xlfn.IFS(C601=":",":",C601&gt;=N$19,1,C601&gt;=N$20,2,C601&gt;=N$21,3,C601&gt;=N$22,4,C601&gt;=N$23,5,C601&lt;N$23,6)</f>
        <v>3</v>
      </c>
      <c r="F601" s="30"/>
      <c r="G601" s="5"/>
      <c r="H601" s="5"/>
    </row>
    <row r="602" spans="1:8" ht="12" customHeight="1">
      <c r="A602" s="10" t="s">
        <v>1744</v>
      </c>
      <c r="B602" s="112" t="s">
        <v>2873</v>
      </c>
      <c r="C602" s="82">
        <v>68688</v>
      </c>
      <c r="D602" s="43"/>
      <c r="E602" s="29" cm="1">
        <f t="array" ref="E602">_xlfn.IFS(C602=":",":",C602&gt;=N$19,1,C602&gt;=N$20,2,C602&gt;=N$21,3,C602&gt;=N$22,4,C602&gt;=N$23,5,C602&lt;N$23,6)</f>
        <v>1</v>
      </c>
      <c r="F602" s="30"/>
      <c r="G602" s="5"/>
      <c r="H602" s="5"/>
    </row>
    <row r="603" spans="1:8" ht="12" customHeight="1">
      <c r="A603" s="10" t="s">
        <v>1745</v>
      </c>
      <c r="B603" s="112" t="s">
        <v>1746</v>
      </c>
      <c r="C603" s="82">
        <v>58297</v>
      </c>
      <c r="D603" s="43"/>
      <c r="E603" s="29" cm="1">
        <f t="array" ref="E603">_xlfn.IFS(C603=":",":",C603&gt;=N$19,1,C603&gt;=N$20,2,C603&gt;=N$21,3,C603&gt;=N$22,4,C603&gt;=N$23,5,C603&lt;N$23,6)</f>
        <v>1</v>
      </c>
      <c r="F603" s="30"/>
      <c r="G603" s="5"/>
      <c r="H603" s="5"/>
    </row>
    <row r="604" spans="1:8" ht="12" customHeight="1">
      <c r="A604" s="10" t="s">
        <v>1747</v>
      </c>
      <c r="B604" s="112" t="s">
        <v>1748</v>
      </c>
      <c r="C604" s="82">
        <v>67802</v>
      </c>
      <c r="D604" s="43"/>
      <c r="E604" s="29" cm="1">
        <f t="array" ref="E604">_xlfn.IFS(C604=":",":",C604&gt;=N$19,1,C604&gt;=N$20,2,C604&gt;=N$21,3,C604&gt;=N$22,4,C604&gt;=N$23,5,C604&lt;N$23,6)</f>
        <v>1</v>
      </c>
      <c r="F604" s="30"/>
      <c r="G604" s="5"/>
      <c r="H604" s="5"/>
    </row>
    <row r="605" spans="1:8" ht="12" customHeight="1">
      <c r="A605" s="10" t="s">
        <v>1749</v>
      </c>
      <c r="B605" s="112" t="s">
        <v>1750</v>
      </c>
      <c r="C605" s="82">
        <v>9945</v>
      </c>
      <c r="D605" s="43"/>
      <c r="E605" s="29" cm="1">
        <f t="array" ref="E605">_xlfn.IFS(C605=":",":",C605&gt;=N$19,1,C605&gt;=N$20,2,C605&gt;=N$21,3,C605&gt;=N$22,4,C605&gt;=N$23,5,C605&lt;N$23,6)</f>
        <v>2</v>
      </c>
      <c r="F605" s="30"/>
      <c r="G605" s="5"/>
      <c r="H605" s="5"/>
    </row>
    <row r="606" spans="1:8" ht="12" customHeight="1">
      <c r="A606" s="10" t="s">
        <v>1751</v>
      </c>
      <c r="B606" s="112" t="s">
        <v>1752</v>
      </c>
      <c r="C606" s="82">
        <v>8853</v>
      </c>
      <c r="D606" s="43"/>
      <c r="E606" s="29" cm="1">
        <f t="array" ref="E606">_xlfn.IFS(C606=":",":",C606&gt;=N$19,1,C606&gt;=N$20,2,C606&gt;=N$21,3,C606&gt;=N$22,4,C606&gt;=N$23,5,C606&lt;N$23,6)</f>
        <v>2</v>
      </c>
      <c r="F606" s="30"/>
      <c r="G606" s="5"/>
      <c r="H606" s="5"/>
    </row>
    <row r="607" spans="1:8" ht="12" customHeight="1">
      <c r="A607" s="10" t="s">
        <v>1753</v>
      </c>
      <c r="B607" s="112" t="s">
        <v>1754</v>
      </c>
      <c r="C607" s="82">
        <v>3040</v>
      </c>
      <c r="D607" s="43"/>
      <c r="E607" s="29" cm="1">
        <f t="array" ref="E607">_xlfn.IFS(C607=":",":",C607&gt;=N$19,1,C607&gt;=N$20,2,C607&gt;=N$21,3,C607&gt;=N$22,4,C607&gt;=N$23,5,C607&lt;N$23,6)</f>
        <v>4</v>
      </c>
      <c r="F607" s="30"/>
      <c r="G607" s="5"/>
      <c r="H607" s="5"/>
    </row>
    <row r="608" spans="1:8" ht="12" customHeight="1">
      <c r="A608" s="10" t="s">
        <v>1755</v>
      </c>
      <c r="B608" s="112" t="s">
        <v>1756</v>
      </c>
      <c r="C608" s="82">
        <v>8448</v>
      </c>
      <c r="D608" s="43"/>
      <c r="E608" s="29" cm="1">
        <f t="array" ref="E608">_xlfn.IFS(C608=":",":",C608&gt;=N$19,1,C608&gt;=N$20,2,C608&gt;=N$21,3,C608&gt;=N$22,4,C608&gt;=N$23,5,C608&lt;N$23,6)</f>
        <v>2</v>
      </c>
      <c r="F608" s="30"/>
      <c r="G608" s="5"/>
      <c r="H608" s="5"/>
    </row>
    <row r="609" spans="1:8" ht="12" customHeight="1">
      <c r="A609" s="10" t="s">
        <v>1757</v>
      </c>
      <c r="B609" s="112" t="s">
        <v>1758</v>
      </c>
      <c r="C609" s="82">
        <v>11827</v>
      </c>
      <c r="D609" s="43"/>
      <c r="E609" s="29" cm="1">
        <f t="array" ref="E609">_xlfn.IFS(C609=":",":",C609&gt;=N$19,1,C609&gt;=N$20,2,C609&gt;=N$21,3,C609&gt;=N$22,4,C609&gt;=N$23,5,C609&lt;N$23,6)</f>
        <v>2</v>
      </c>
      <c r="F609" s="30"/>
      <c r="G609" s="5"/>
      <c r="H609" s="5"/>
    </row>
    <row r="610" spans="1:8" ht="12" customHeight="1">
      <c r="A610" s="10" t="s">
        <v>1759</v>
      </c>
      <c r="B610" s="112" t="s">
        <v>1760</v>
      </c>
      <c r="C610" s="82">
        <v>2892</v>
      </c>
      <c r="D610" s="43"/>
      <c r="E610" s="29" cm="1">
        <f t="array" ref="E610">_xlfn.IFS(C610=":",":",C610&gt;=N$19,1,C610&gt;=N$20,2,C610&gt;=N$21,3,C610&gt;=N$22,4,C610&gt;=N$23,5,C610&lt;N$23,6)</f>
        <v>4</v>
      </c>
      <c r="F610" s="30"/>
      <c r="G610" s="5"/>
      <c r="H610" s="5"/>
    </row>
    <row r="611" spans="1:8" ht="12" customHeight="1">
      <c r="A611" s="10" t="s">
        <v>1761</v>
      </c>
      <c r="B611" s="112" t="s">
        <v>1762</v>
      </c>
      <c r="C611" s="82">
        <v>17953</v>
      </c>
      <c r="D611" s="43"/>
      <c r="E611" s="29" cm="1">
        <f t="array" ref="E611">_xlfn.IFS(C611=":",":",C611&gt;=N$19,1,C611&gt;=N$20,2,C611&gt;=N$21,3,C611&gt;=N$22,4,C611&gt;=N$23,5,C611&lt;N$23,6)</f>
        <v>1</v>
      </c>
      <c r="F611" s="30"/>
      <c r="G611" s="5"/>
      <c r="H611" s="5"/>
    </row>
    <row r="612" spans="1:8" ht="12" customHeight="1">
      <c r="A612" s="10" t="s">
        <v>1763</v>
      </c>
      <c r="B612" s="112" t="s">
        <v>1764</v>
      </c>
      <c r="C612" s="82">
        <v>5226</v>
      </c>
      <c r="D612" s="43"/>
      <c r="E612" s="29" cm="1">
        <f t="array" ref="E612">_xlfn.IFS(C612=":",":",C612&gt;=N$19,1,C612&gt;=N$20,2,C612&gt;=N$21,3,C612&gt;=N$22,4,C612&gt;=N$23,5,C612&lt;N$23,6)</f>
        <v>3</v>
      </c>
      <c r="F612" s="30"/>
      <c r="G612" s="5"/>
      <c r="H612" s="5"/>
    </row>
    <row r="613" spans="1:8" ht="12" customHeight="1">
      <c r="A613" s="10" t="s">
        <v>1765</v>
      </c>
      <c r="B613" s="112" t="s">
        <v>1766</v>
      </c>
      <c r="C613" s="82">
        <v>3774</v>
      </c>
      <c r="D613" s="43"/>
      <c r="E613" s="29" cm="1">
        <f t="array" ref="E613">_xlfn.IFS(C613=":",":",C613&gt;=N$19,1,C613&gt;=N$20,2,C613&gt;=N$21,3,C613&gt;=N$22,4,C613&gt;=N$23,5,C613&lt;N$23,6)</f>
        <v>3</v>
      </c>
      <c r="F613" s="30"/>
      <c r="G613" s="5"/>
      <c r="H613" s="5"/>
    </row>
    <row r="614" spans="1:8" ht="12" customHeight="1">
      <c r="A614" s="10" t="s">
        <v>1767</v>
      </c>
      <c r="B614" s="112" t="s">
        <v>1768</v>
      </c>
      <c r="C614" s="82">
        <v>1611</v>
      </c>
      <c r="D614" s="43"/>
      <c r="E614" s="29" cm="1">
        <f t="array" ref="E614">_xlfn.IFS(C614=":",":",C614&gt;=N$19,1,C614&gt;=N$20,2,C614&gt;=N$21,3,C614&gt;=N$22,4,C614&gt;=N$23,5,C614&lt;N$23,6)</f>
        <v>5</v>
      </c>
      <c r="F614" s="30"/>
      <c r="G614" s="5"/>
      <c r="H614" s="5"/>
    </row>
    <row r="615" spans="1:8" ht="12" customHeight="1">
      <c r="A615" s="10" t="s">
        <v>1769</v>
      </c>
      <c r="B615" s="112" t="s">
        <v>1770</v>
      </c>
      <c r="C615" s="82">
        <v>1593</v>
      </c>
      <c r="D615" s="43"/>
      <c r="E615" s="29" cm="1">
        <f t="array" ref="E615">_xlfn.IFS(C615=":",":",C615&gt;=N$19,1,C615&gt;=N$20,2,C615&gt;=N$21,3,C615&gt;=N$22,4,C615&gt;=N$23,5,C615&lt;N$23,6)</f>
        <v>5</v>
      </c>
      <c r="F615" s="30"/>
      <c r="G615" s="5"/>
      <c r="H615" s="5"/>
    </row>
    <row r="616" spans="1:8" ht="12" customHeight="1">
      <c r="A616" s="10" t="s">
        <v>1771</v>
      </c>
      <c r="B616" s="112" t="s">
        <v>1772</v>
      </c>
      <c r="C616" s="82">
        <v>13204</v>
      </c>
      <c r="D616" s="43"/>
      <c r="E616" s="29" cm="1">
        <f t="array" ref="E616">_xlfn.IFS(C616=":",":",C616&gt;=N$19,1,C616&gt;=N$20,2,C616&gt;=N$21,3,C616&gt;=N$22,4,C616&gt;=N$23,5,C616&lt;N$23,6)</f>
        <v>2</v>
      </c>
      <c r="F616" s="30"/>
      <c r="G616" s="5"/>
      <c r="H616" s="5"/>
    </row>
    <row r="617" spans="1:8" ht="12" customHeight="1">
      <c r="A617" s="10" t="s">
        <v>1773</v>
      </c>
      <c r="B617" s="112" t="s">
        <v>1774</v>
      </c>
      <c r="C617" s="82">
        <v>128057</v>
      </c>
      <c r="D617" s="43"/>
      <c r="E617" s="29" cm="1">
        <f t="array" ref="E617">_xlfn.IFS(C617=":",":",C617&gt;=N$19,1,C617&gt;=N$20,2,C617&gt;=N$21,3,C617&gt;=N$22,4,C617&gt;=N$23,5,C617&lt;N$23,6)</f>
        <v>1</v>
      </c>
      <c r="F617" s="30"/>
      <c r="G617" s="5"/>
      <c r="H617" s="5"/>
    </row>
    <row r="618" spans="1:8" ht="12" customHeight="1">
      <c r="A618" s="10" t="s">
        <v>1775</v>
      </c>
      <c r="B618" s="112" t="s">
        <v>1776</v>
      </c>
      <c r="C618" s="82">
        <v>30901</v>
      </c>
      <c r="D618" s="43"/>
      <c r="E618" s="29" cm="1">
        <f t="array" ref="E618">_xlfn.IFS(C618=":",":",C618&gt;=N$19,1,C618&gt;=N$20,2,C618&gt;=N$21,3,C618&gt;=N$22,4,C618&gt;=N$23,5,C618&lt;N$23,6)</f>
        <v>1</v>
      </c>
      <c r="F618" s="30"/>
      <c r="G618" s="5"/>
      <c r="H618" s="5"/>
    </row>
    <row r="619" spans="1:8" ht="12" customHeight="1">
      <c r="A619" s="10" t="s">
        <v>1777</v>
      </c>
      <c r="B619" s="112" t="s">
        <v>1778</v>
      </c>
      <c r="C619" s="82">
        <v>39228</v>
      </c>
      <c r="D619" s="43"/>
      <c r="E619" s="29" cm="1">
        <f t="array" ref="E619">_xlfn.IFS(C619=":",":",C619&gt;=N$19,1,C619&gt;=N$20,2,C619&gt;=N$21,3,C619&gt;=N$22,4,C619&gt;=N$23,5,C619&lt;N$23,6)</f>
        <v>1</v>
      </c>
      <c r="F619" s="30"/>
      <c r="G619" s="5"/>
      <c r="H619" s="5"/>
    </row>
    <row r="620" spans="1:8" ht="12" customHeight="1">
      <c r="A620" s="10" t="s">
        <v>1779</v>
      </c>
      <c r="B620" s="112" t="s">
        <v>1780</v>
      </c>
      <c r="C620" s="82">
        <v>14466</v>
      </c>
      <c r="D620" s="43"/>
      <c r="E620" s="29" cm="1">
        <f t="array" ref="E620">_xlfn.IFS(C620=":",":",C620&gt;=N$19,1,C620&gt;=N$20,2,C620&gt;=N$21,3,C620&gt;=N$22,4,C620&gt;=N$23,5,C620&lt;N$23,6)</f>
        <v>2</v>
      </c>
      <c r="F620" s="30"/>
      <c r="G620" s="5"/>
      <c r="H620" s="5"/>
    </row>
    <row r="621" spans="1:8" ht="12" customHeight="1">
      <c r="A621" s="10" t="s">
        <v>1781</v>
      </c>
      <c r="B621" s="112" t="s">
        <v>1782</v>
      </c>
      <c r="C621" s="82">
        <v>120137</v>
      </c>
      <c r="D621" s="43"/>
      <c r="E621" s="29" cm="1">
        <f t="array" ref="E621">_xlfn.IFS(C621=":",":",C621&gt;=N$19,1,C621&gt;=N$20,2,C621&gt;=N$21,3,C621&gt;=N$22,4,C621&gt;=N$23,5,C621&lt;N$23,6)</f>
        <v>1</v>
      </c>
      <c r="F621" s="30"/>
      <c r="G621" s="5"/>
      <c r="H621" s="5"/>
    </row>
    <row r="622" spans="1:8" ht="12" customHeight="1">
      <c r="A622" s="10" t="s">
        <v>1783</v>
      </c>
      <c r="B622" s="112" t="s">
        <v>1784</v>
      </c>
      <c r="C622" s="82">
        <v>36798</v>
      </c>
      <c r="D622" s="43"/>
      <c r="E622" s="29" cm="1">
        <f t="array" ref="E622">_xlfn.IFS(C622=":",":",C622&gt;=N$19,1,C622&gt;=N$20,2,C622&gt;=N$21,3,C622&gt;=N$22,4,C622&gt;=N$23,5,C622&lt;N$23,6)</f>
        <v>1</v>
      </c>
      <c r="F622" s="30"/>
      <c r="G622" s="5"/>
      <c r="H622" s="5"/>
    </row>
    <row r="623" spans="1:8" ht="12" customHeight="1">
      <c r="A623" s="10" t="s">
        <v>1785</v>
      </c>
      <c r="B623" s="112" t="s">
        <v>1786</v>
      </c>
      <c r="C623" s="82">
        <v>20097</v>
      </c>
      <c r="D623" s="43"/>
      <c r="E623" s="29" cm="1">
        <f t="array" ref="E623">_xlfn.IFS(C623=":",":",C623&gt;=N$19,1,C623&gt;=N$20,2,C623&gt;=N$21,3,C623&gt;=N$22,4,C623&gt;=N$23,5,C623&lt;N$23,6)</f>
        <v>1</v>
      </c>
      <c r="F623" s="30"/>
      <c r="G623" s="5"/>
      <c r="H623" s="5"/>
    </row>
    <row r="624" spans="1:8" ht="12" customHeight="1">
      <c r="A624" s="10" t="s">
        <v>1787</v>
      </c>
      <c r="B624" s="112" t="s">
        <v>2822</v>
      </c>
      <c r="C624" s="82">
        <v>9343</v>
      </c>
      <c r="D624" s="43"/>
      <c r="E624" s="29" cm="1">
        <f t="array" ref="E624">_xlfn.IFS(C624=":",":",C624&gt;=N$19,1,C624&gt;=N$20,2,C624&gt;=N$21,3,C624&gt;=N$22,4,C624&gt;=N$23,5,C624&lt;N$23,6)</f>
        <v>2</v>
      </c>
      <c r="F624" s="30"/>
      <c r="G624" s="5"/>
      <c r="H624" s="5"/>
    </row>
    <row r="625" spans="1:8" ht="12" customHeight="1">
      <c r="A625" s="10" t="s">
        <v>1788</v>
      </c>
      <c r="B625" s="112" t="s">
        <v>2823</v>
      </c>
      <c r="C625" s="82">
        <v>2048</v>
      </c>
      <c r="D625" s="43"/>
      <c r="E625" s="29" cm="1">
        <f t="array" ref="E625">_xlfn.IFS(C625=":",":",C625&gt;=N$19,1,C625&gt;=N$20,2,C625&gt;=N$21,3,C625&gt;=N$22,4,C625&gt;=N$23,5,C625&lt;N$23,6)</f>
        <v>4</v>
      </c>
      <c r="F625" s="30"/>
      <c r="G625" s="5"/>
      <c r="H625" s="5"/>
    </row>
    <row r="626" spans="1:8" ht="12" customHeight="1">
      <c r="A626" s="10" t="s">
        <v>1789</v>
      </c>
      <c r="B626" s="112" t="s">
        <v>1790</v>
      </c>
      <c r="C626" s="82">
        <v>2109</v>
      </c>
      <c r="D626" s="43"/>
      <c r="E626" s="29" cm="1">
        <f t="array" ref="E626">_xlfn.IFS(C626=":",":",C626&gt;=N$19,1,C626&gt;=N$20,2,C626&gt;=N$21,3,C626&gt;=N$22,4,C626&gt;=N$23,5,C626&lt;N$23,6)</f>
        <v>4</v>
      </c>
      <c r="F626" s="30"/>
      <c r="G626" s="5"/>
      <c r="H626" s="5"/>
    </row>
    <row r="627" spans="1:8" ht="12" customHeight="1">
      <c r="A627" s="10" t="s">
        <v>1791</v>
      </c>
      <c r="B627" s="112" t="s">
        <v>2824</v>
      </c>
      <c r="C627" s="82">
        <v>4963</v>
      </c>
      <c r="D627" s="43"/>
      <c r="E627" s="29" cm="1">
        <f t="array" ref="E627">_xlfn.IFS(C627=":",":",C627&gt;=N$19,1,C627&gt;=N$20,2,C627&gt;=N$21,3,C627&gt;=N$22,4,C627&gt;=N$23,5,C627&lt;N$23,6)</f>
        <v>3</v>
      </c>
      <c r="F627" s="30"/>
      <c r="G627" s="5"/>
      <c r="H627" s="5"/>
    </row>
    <row r="628" spans="1:8" ht="12" customHeight="1">
      <c r="A628" s="10" t="s">
        <v>1792</v>
      </c>
      <c r="B628" s="112" t="s">
        <v>2825</v>
      </c>
      <c r="C628" s="82">
        <v>2797</v>
      </c>
      <c r="D628" s="43"/>
      <c r="E628" s="29" cm="1">
        <f t="array" ref="E628">_xlfn.IFS(C628=":",":",C628&gt;=N$19,1,C628&gt;=N$20,2,C628&gt;=N$21,3,C628&gt;=N$22,4,C628&gt;=N$23,5,C628&lt;N$23,6)</f>
        <v>4</v>
      </c>
      <c r="F628" s="30"/>
      <c r="G628" s="5"/>
      <c r="H628" s="5"/>
    </row>
    <row r="629" spans="1:8" ht="12" customHeight="1">
      <c r="A629" s="10" t="s">
        <v>1793</v>
      </c>
      <c r="B629" s="112" t="s">
        <v>1794</v>
      </c>
      <c r="C629" s="82">
        <v>2937</v>
      </c>
      <c r="D629" s="43"/>
      <c r="E629" s="29" cm="1">
        <f t="array" ref="E629">_xlfn.IFS(C629=":",":",C629&gt;=N$19,1,C629&gt;=N$20,2,C629&gt;=N$21,3,C629&gt;=N$22,4,C629&gt;=N$23,5,C629&lt;N$23,6)</f>
        <v>4</v>
      </c>
      <c r="F629" s="30"/>
      <c r="G629" s="5"/>
      <c r="H629" s="5"/>
    </row>
    <row r="630" spans="1:8" ht="12" customHeight="1">
      <c r="A630" s="10" t="s">
        <v>1795</v>
      </c>
      <c r="B630" s="112" t="s">
        <v>2874</v>
      </c>
      <c r="C630" s="82">
        <v>3458</v>
      </c>
      <c r="D630" s="43"/>
      <c r="E630" s="29" cm="1">
        <f t="array" ref="E630">_xlfn.IFS(C630=":",":",C630&gt;=N$19,1,C630&gt;=N$20,2,C630&gt;=N$21,3,C630&gt;=N$22,4,C630&gt;=N$23,5,C630&lt;N$23,6)</f>
        <v>4</v>
      </c>
      <c r="F630" s="30"/>
      <c r="G630" s="5"/>
      <c r="H630" s="5"/>
    </row>
    <row r="631" spans="1:8" ht="12" customHeight="1">
      <c r="A631" s="10" t="s">
        <v>1796</v>
      </c>
      <c r="B631" s="112" t="s">
        <v>1797</v>
      </c>
      <c r="C631" s="82">
        <v>2860</v>
      </c>
      <c r="D631" s="43"/>
      <c r="E631" s="29" cm="1">
        <f t="array" ref="E631">_xlfn.IFS(C631=":",":",C631&gt;=N$19,1,C631&gt;=N$20,2,C631&gt;=N$21,3,C631&gt;=N$22,4,C631&gt;=N$23,5,C631&lt;N$23,6)</f>
        <v>4</v>
      </c>
      <c r="F631" s="30"/>
      <c r="G631" s="5"/>
      <c r="H631" s="5"/>
    </row>
    <row r="632" spans="1:8" ht="12" customHeight="1">
      <c r="A632" s="10" t="s">
        <v>1798</v>
      </c>
      <c r="B632" s="112" t="s">
        <v>1799</v>
      </c>
      <c r="C632" s="82">
        <v>2153</v>
      </c>
      <c r="D632" s="43"/>
      <c r="E632" s="29" cm="1">
        <f t="array" ref="E632">_xlfn.IFS(C632=":",":",C632&gt;=N$19,1,C632&gt;=N$20,2,C632&gt;=N$21,3,C632&gt;=N$22,4,C632&gt;=N$23,5,C632&lt;N$23,6)</f>
        <v>4</v>
      </c>
      <c r="F632" s="30"/>
      <c r="G632" s="5"/>
      <c r="H632" s="5"/>
    </row>
    <row r="633" spans="1:8" ht="12" customHeight="1">
      <c r="A633" s="10" t="s">
        <v>1800</v>
      </c>
      <c r="B633" s="112" t="s">
        <v>1801</v>
      </c>
      <c r="C633" s="82">
        <v>2738</v>
      </c>
      <c r="D633" s="43"/>
      <c r="E633" s="29" cm="1">
        <f t="array" ref="E633">_xlfn.IFS(C633=":",":",C633&gt;=N$19,1,C633&gt;=N$20,2,C633&gt;=N$21,3,C633&gt;=N$22,4,C633&gt;=N$23,5,C633&lt;N$23,6)</f>
        <v>4</v>
      </c>
      <c r="F633" s="30"/>
      <c r="G633" s="5"/>
      <c r="H633" s="5"/>
    </row>
    <row r="634" spans="1:8" ht="12" customHeight="1">
      <c r="A634" s="10" t="s">
        <v>1802</v>
      </c>
      <c r="B634" s="112" t="s">
        <v>1803</v>
      </c>
      <c r="C634" s="82">
        <v>5018</v>
      </c>
      <c r="D634" s="43"/>
      <c r="E634" s="29" cm="1">
        <f t="array" ref="E634">_xlfn.IFS(C634=":",":",C634&gt;=N$19,1,C634&gt;=N$20,2,C634&gt;=N$21,3,C634&gt;=N$22,4,C634&gt;=N$23,5,C634&lt;N$23,6)</f>
        <v>3</v>
      </c>
      <c r="F634" s="30"/>
      <c r="G634" s="5"/>
      <c r="H634" s="5"/>
    </row>
    <row r="635" spans="1:8" ht="12" customHeight="1">
      <c r="A635" s="10" t="s">
        <v>1804</v>
      </c>
      <c r="B635" s="112" t="s">
        <v>1805</v>
      </c>
      <c r="C635" s="82">
        <v>9183</v>
      </c>
      <c r="D635" s="43"/>
      <c r="E635" s="29" cm="1">
        <f t="array" ref="E635">_xlfn.IFS(C635=":",":",C635&gt;=N$19,1,C635&gt;=N$20,2,C635&gt;=N$21,3,C635&gt;=N$22,4,C635&gt;=N$23,5,C635&lt;N$23,6)</f>
        <v>2</v>
      </c>
      <c r="F635" s="30"/>
      <c r="G635" s="5"/>
      <c r="H635" s="5"/>
    </row>
    <row r="636" spans="1:8" ht="12" customHeight="1">
      <c r="A636" s="10" t="s">
        <v>1806</v>
      </c>
      <c r="B636" s="112" t="s">
        <v>1807</v>
      </c>
      <c r="C636" s="82">
        <v>2614</v>
      </c>
      <c r="D636" s="43"/>
      <c r="E636" s="29" cm="1">
        <f t="array" ref="E636">_xlfn.IFS(C636=":",":",C636&gt;=N$19,1,C636&gt;=N$20,2,C636&gt;=N$21,3,C636&gt;=N$22,4,C636&gt;=N$23,5,C636&lt;N$23,6)</f>
        <v>4</v>
      </c>
      <c r="F636" s="30"/>
      <c r="G636" s="5"/>
      <c r="H636" s="5"/>
    </row>
    <row r="637" spans="1:8" ht="12" customHeight="1">
      <c r="A637" s="10" t="s">
        <v>1808</v>
      </c>
      <c r="B637" s="112" t="s">
        <v>2875</v>
      </c>
      <c r="C637" s="82">
        <v>6380</v>
      </c>
      <c r="D637" s="43"/>
      <c r="E637" s="29" cm="1">
        <f t="array" ref="E637">_xlfn.IFS(C637=":",":",C637&gt;=N$19,1,C637&gt;=N$20,2,C637&gt;=N$21,3,C637&gt;=N$22,4,C637&gt;=N$23,5,C637&lt;N$23,6)</f>
        <v>3</v>
      </c>
      <c r="F637" s="30"/>
      <c r="G637" s="5"/>
      <c r="H637" s="5"/>
    </row>
    <row r="638" spans="1:8" ht="12" customHeight="1">
      <c r="A638" s="10" t="s">
        <v>1809</v>
      </c>
      <c r="B638" s="112" t="s">
        <v>1810</v>
      </c>
      <c r="C638" s="82">
        <v>3563</v>
      </c>
      <c r="D638" s="43"/>
      <c r="E638" s="29" cm="1">
        <f t="array" ref="E638">_xlfn.IFS(C638=":",":",C638&gt;=N$19,1,C638&gt;=N$20,2,C638&gt;=N$21,3,C638&gt;=N$22,4,C638&gt;=N$23,5,C638&lt;N$23,6)</f>
        <v>3</v>
      </c>
      <c r="F638" s="30"/>
      <c r="G638" s="5"/>
      <c r="H638" s="5"/>
    </row>
    <row r="639" spans="1:8" ht="12" customHeight="1">
      <c r="A639" s="10" t="s">
        <v>1811</v>
      </c>
      <c r="B639" s="112" t="s">
        <v>1812</v>
      </c>
      <c r="C639" s="82">
        <v>3803</v>
      </c>
      <c r="D639" s="43"/>
      <c r="E639" s="29" cm="1">
        <f t="array" ref="E639">_xlfn.IFS(C639=":",":",C639&gt;=N$19,1,C639&gt;=N$20,2,C639&gt;=N$21,3,C639&gt;=N$22,4,C639&gt;=N$23,5,C639&lt;N$23,6)</f>
        <v>3</v>
      </c>
      <c r="F639" s="30"/>
      <c r="G639" s="5"/>
      <c r="H639" s="5"/>
    </row>
    <row r="640" spans="1:8" ht="12" customHeight="1">
      <c r="A640" s="10" t="s">
        <v>1813</v>
      </c>
      <c r="B640" s="112" t="s">
        <v>1814</v>
      </c>
      <c r="C640" s="82">
        <v>2798</v>
      </c>
      <c r="D640" s="43"/>
      <c r="E640" s="29" cm="1">
        <f t="array" ref="E640">_xlfn.IFS(C640=":",":",C640&gt;=N$19,1,C640&gt;=N$20,2,C640&gt;=N$21,3,C640&gt;=N$22,4,C640&gt;=N$23,5,C640&lt;N$23,6)</f>
        <v>4</v>
      </c>
      <c r="F640" s="30"/>
      <c r="G640" s="5"/>
      <c r="H640" s="5"/>
    </row>
    <row r="641" spans="1:8" ht="12" customHeight="1">
      <c r="A641" s="10" t="s">
        <v>1815</v>
      </c>
      <c r="B641" s="112" t="s">
        <v>1816</v>
      </c>
      <c r="C641" s="82">
        <v>3051</v>
      </c>
      <c r="D641" s="43"/>
      <c r="E641" s="29" cm="1">
        <f t="array" ref="E641">_xlfn.IFS(C641=":",":",C641&gt;=N$19,1,C641&gt;=N$20,2,C641&gt;=N$21,3,C641&gt;=N$22,4,C641&gt;=N$23,5,C641&lt;N$23,6)</f>
        <v>4</v>
      </c>
      <c r="F641" s="30"/>
      <c r="G641" s="5"/>
      <c r="H641" s="5"/>
    </row>
    <row r="642" spans="1:8" ht="12" customHeight="1">
      <c r="A642" s="10" t="s">
        <v>1817</v>
      </c>
      <c r="B642" s="112" t="s">
        <v>1818</v>
      </c>
      <c r="C642" s="82">
        <v>7680</v>
      </c>
      <c r="D642" s="43"/>
      <c r="E642" s="29" cm="1">
        <f t="array" ref="E642">_xlfn.IFS(C642=":",":",C642&gt;=N$19,1,C642&gt;=N$20,2,C642&gt;=N$21,3,C642&gt;=N$22,4,C642&gt;=N$23,5,C642&lt;N$23,6)</f>
        <v>2</v>
      </c>
      <c r="F642" s="30"/>
      <c r="G642" s="5"/>
      <c r="H642" s="5"/>
    </row>
    <row r="643" spans="1:8" ht="12" customHeight="1">
      <c r="A643" s="10" t="s">
        <v>1819</v>
      </c>
      <c r="B643" s="112" t="s">
        <v>1820</v>
      </c>
      <c r="C643" s="82">
        <v>1476</v>
      </c>
      <c r="D643" s="43"/>
      <c r="E643" s="29" cm="1">
        <f t="array" ref="E643">_xlfn.IFS(C643=":",":",C643&gt;=N$19,1,C643&gt;=N$20,2,C643&gt;=N$21,3,C643&gt;=N$22,4,C643&gt;=N$23,5,C643&lt;N$23,6)</f>
        <v>5</v>
      </c>
      <c r="F643" s="30"/>
      <c r="G643" s="5"/>
      <c r="H643" s="5"/>
    </row>
    <row r="644" spans="1:8" ht="12" customHeight="1">
      <c r="A644" s="10" t="s">
        <v>1821</v>
      </c>
      <c r="B644" s="112" t="s">
        <v>1822</v>
      </c>
      <c r="C644" s="82">
        <v>2487</v>
      </c>
      <c r="D644" s="43"/>
      <c r="E644" s="29" cm="1">
        <f t="array" ref="E644">_xlfn.IFS(C644=":",":",C644&gt;=N$19,1,C644&gt;=N$20,2,C644&gt;=N$21,3,C644&gt;=N$22,4,C644&gt;=N$23,5,C644&lt;N$23,6)</f>
        <v>4</v>
      </c>
      <c r="F644" s="30"/>
      <c r="G644" s="5"/>
      <c r="H644" s="5"/>
    </row>
    <row r="645" spans="1:8" ht="12" customHeight="1">
      <c r="A645" s="15" t="s">
        <v>1823</v>
      </c>
      <c r="B645" s="11" t="s">
        <v>2826</v>
      </c>
      <c r="C645" s="82">
        <v>10531</v>
      </c>
      <c r="D645" s="43"/>
      <c r="E645" s="29" cm="1">
        <f t="array" ref="E645">_xlfn.IFS(C645=":",":",C645&gt;=N$19,1,C645&gt;=N$20,2,C645&gt;=N$21,3,C645&gt;=N$22,4,C645&gt;=N$23,5,C645&lt;N$23,6)</f>
        <v>2</v>
      </c>
      <c r="F645" s="30"/>
      <c r="G645" s="5"/>
      <c r="H645" s="5"/>
    </row>
    <row r="646" spans="1:8" ht="12" customHeight="1">
      <c r="A646" s="15" t="s">
        <v>1824</v>
      </c>
      <c r="B646" s="11" t="s">
        <v>2827</v>
      </c>
      <c r="C646" s="82">
        <v>6264</v>
      </c>
      <c r="D646" s="43"/>
      <c r="E646" s="29" cm="1">
        <f t="array" ref="E646">_xlfn.IFS(C646=":",":",C646&gt;=N$19,1,C646&gt;=N$20,2,C646&gt;=N$21,3,C646&gt;=N$22,4,C646&gt;=N$23,5,C646&lt;N$23,6)</f>
        <v>3</v>
      </c>
      <c r="F646" s="30"/>
      <c r="G646" s="5"/>
      <c r="H646" s="5"/>
    </row>
    <row r="647" spans="1:8" ht="12" customHeight="1">
      <c r="A647" s="15" t="s">
        <v>1825</v>
      </c>
      <c r="B647" s="11" t="s">
        <v>1826</v>
      </c>
      <c r="C647" s="82">
        <v>2007</v>
      </c>
      <c r="D647" s="43"/>
      <c r="E647" s="29" cm="1">
        <f t="array" ref="E647">_xlfn.IFS(C647=":",":",C647&gt;=N$19,1,C647&gt;=N$20,2,C647&gt;=N$21,3,C647&gt;=N$22,4,C647&gt;=N$23,5,C647&lt;N$23,6)</f>
        <v>4</v>
      </c>
      <c r="F647" s="30"/>
      <c r="G647" s="5"/>
      <c r="H647" s="5"/>
    </row>
    <row r="648" spans="1:8" ht="12" customHeight="1">
      <c r="A648" s="15" t="s">
        <v>1827</v>
      </c>
      <c r="B648" s="11" t="s">
        <v>1828</v>
      </c>
      <c r="C648" s="82">
        <v>2850</v>
      </c>
      <c r="D648" s="43"/>
      <c r="E648" s="29" cm="1">
        <f t="array" ref="E648">_xlfn.IFS(C648=":",":",C648&gt;=N$19,1,C648&gt;=N$20,2,C648&gt;=N$21,3,C648&gt;=N$22,4,C648&gt;=N$23,5,C648&lt;N$23,6)</f>
        <v>4</v>
      </c>
      <c r="F648" s="30"/>
      <c r="G648" s="5"/>
      <c r="H648" s="5"/>
    </row>
    <row r="649" spans="1:8" ht="12" customHeight="1">
      <c r="A649" s="15" t="s">
        <v>1829</v>
      </c>
      <c r="B649" s="11" t="s">
        <v>1830</v>
      </c>
      <c r="C649" s="82">
        <v>2964</v>
      </c>
      <c r="D649" s="43"/>
      <c r="E649" s="29" cm="1">
        <f t="array" ref="E649">_xlfn.IFS(C649=":",":",C649&gt;=N$19,1,C649&gt;=N$20,2,C649&gt;=N$21,3,C649&gt;=N$22,4,C649&gt;=N$23,5,C649&lt;N$23,6)</f>
        <v>4</v>
      </c>
      <c r="F649" s="30"/>
      <c r="G649" s="5"/>
      <c r="H649" s="5"/>
    </row>
    <row r="650" spans="1:8" ht="12" customHeight="1">
      <c r="A650" s="10" t="s">
        <v>1831</v>
      </c>
      <c r="B650" s="112" t="s">
        <v>1832</v>
      </c>
      <c r="C650" s="82">
        <v>1929</v>
      </c>
      <c r="D650" s="43"/>
      <c r="E650" s="29" cm="1">
        <f t="array" ref="E650">_xlfn.IFS(C650=":",":",C650&gt;=N$19,1,C650&gt;=N$20,2,C650&gt;=N$21,3,C650&gt;=N$22,4,C650&gt;=N$23,5,C650&lt;N$23,6)</f>
        <v>5</v>
      </c>
      <c r="F650" s="30"/>
      <c r="G650" s="5"/>
      <c r="H650" s="5"/>
    </row>
    <row r="651" spans="1:8" ht="12" customHeight="1">
      <c r="A651" s="10" t="s">
        <v>1833</v>
      </c>
      <c r="B651" s="112" t="s">
        <v>1834</v>
      </c>
      <c r="C651" s="82">
        <v>2804</v>
      </c>
      <c r="D651" s="43"/>
      <c r="E651" s="29" cm="1">
        <f t="array" ref="E651">_xlfn.IFS(C651=":",":",C651&gt;=N$19,1,C651&gt;=N$20,2,C651&gt;=N$21,3,C651&gt;=N$22,4,C651&gt;=N$23,5,C651&lt;N$23,6)</f>
        <v>4</v>
      </c>
      <c r="F651" s="30"/>
      <c r="G651" s="5"/>
      <c r="H651" s="5"/>
    </row>
    <row r="652" spans="1:8" ht="12" customHeight="1">
      <c r="A652" s="10" t="s">
        <v>1835</v>
      </c>
      <c r="B652" s="112" t="s">
        <v>1836</v>
      </c>
      <c r="C652" s="82">
        <v>3291</v>
      </c>
      <c r="D652" s="43"/>
      <c r="E652" s="29" cm="1">
        <f t="array" ref="E652">_xlfn.IFS(C652=":",":",C652&gt;=N$19,1,C652&gt;=N$20,2,C652&gt;=N$21,3,C652&gt;=N$22,4,C652&gt;=N$23,5,C652&lt;N$23,6)</f>
        <v>4</v>
      </c>
      <c r="F652" s="30"/>
      <c r="G652" s="5"/>
      <c r="H652" s="5"/>
    </row>
    <row r="653" spans="1:8" ht="12" customHeight="1">
      <c r="A653" s="10" t="s">
        <v>1837</v>
      </c>
      <c r="B653" s="112" t="s">
        <v>1838</v>
      </c>
      <c r="C653" s="82">
        <v>1996</v>
      </c>
      <c r="D653" s="43"/>
      <c r="E653" s="29" cm="1">
        <f t="array" ref="E653">_xlfn.IFS(C653=":",":",C653&gt;=N$19,1,C653&gt;=N$20,2,C653&gt;=N$21,3,C653&gt;=N$22,4,C653&gt;=N$23,5,C653&lt;N$23,6)</f>
        <v>5</v>
      </c>
      <c r="F653" s="30"/>
      <c r="G653" s="5"/>
      <c r="H653" s="5"/>
    </row>
    <row r="654" spans="1:8" ht="12" customHeight="1">
      <c r="A654" s="10" t="s">
        <v>1839</v>
      </c>
      <c r="B654" s="112" t="s">
        <v>1840</v>
      </c>
      <c r="C654" s="82">
        <v>5334</v>
      </c>
      <c r="D654" s="43"/>
      <c r="E654" s="29" cm="1">
        <f t="array" ref="E654">_xlfn.IFS(C654=":",":",C654&gt;=N$19,1,C654&gt;=N$20,2,C654&gt;=N$21,3,C654&gt;=N$22,4,C654&gt;=N$23,5,C654&lt;N$23,6)</f>
        <v>3</v>
      </c>
      <c r="F654" s="30"/>
      <c r="G654" s="5"/>
      <c r="H654" s="5"/>
    </row>
    <row r="655" spans="1:8" ht="12" customHeight="1">
      <c r="A655" s="10" t="s">
        <v>1841</v>
      </c>
      <c r="B655" s="112" t="s">
        <v>1842</v>
      </c>
      <c r="C655" s="82">
        <v>5446</v>
      </c>
      <c r="D655" s="43"/>
      <c r="E655" s="29" cm="1">
        <f t="array" ref="E655">_xlfn.IFS(C655=":",":",C655&gt;=N$19,1,C655&gt;=N$20,2,C655&gt;=N$21,3,C655&gt;=N$22,4,C655&gt;=N$23,5,C655&lt;N$23,6)</f>
        <v>3</v>
      </c>
      <c r="F655" s="30"/>
      <c r="G655" s="5"/>
      <c r="H655" s="5"/>
    </row>
    <row r="656" spans="1:8" ht="12" customHeight="1">
      <c r="A656" s="10" t="s">
        <v>1843</v>
      </c>
      <c r="B656" s="112" t="s">
        <v>1844</v>
      </c>
      <c r="C656" s="82">
        <v>6230</v>
      </c>
      <c r="D656" s="43"/>
      <c r="E656" s="29" cm="1">
        <f t="array" ref="E656">_xlfn.IFS(C656=":",":",C656&gt;=N$19,1,C656&gt;=N$20,2,C656&gt;=N$21,3,C656&gt;=N$22,4,C656&gt;=N$23,5,C656&lt;N$23,6)</f>
        <v>3</v>
      </c>
      <c r="F656" s="30"/>
      <c r="G656" s="5"/>
      <c r="H656" s="5"/>
    </row>
    <row r="657" spans="1:8" ht="12" customHeight="1">
      <c r="A657" s="10" t="s">
        <v>1845</v>
      </c>
      <c r="B657" s="112" t="s">
        <v>1846</v>
      </c>
      <c r="C657" s="82">
        <v>1735</v>
      </c>
      <c r="D657" s="43"/>
      <c r="E657" s="29" cm="1">
        <f t="array" ref="E657">_xlfn.IFS(C657=":",":",C657&gt;=N$19,1,C657&gt;=N$20,2,C657&gt;=N$21,3,C657&gt;=N$22,4,C657&gt;=N$23,5,C657&lt;N$23,6)</f>
        <v>5</v>
      </c>
      <c r="F657" s="30"/>
      <c r="G657" s="5"/>
      <c r="H657" s="5"/>
    </row>
    <row r="658" spans="1:8" ht="12" customHeight="1">
      <c r="A658" s="10" t="s">
        <v>1847</v>
      </c>
      <c r="B658" s="112" t="s">
        <v>1848</v>
      </c>
      <c r="C658" s="82">
        <v>3554</v>
      </c>
      <c r="D658" s="43"/>
      <c r="E658" s="29" cm="1">
        <f t="array" ref="E658">_xlfn.IFS(C658=":",":",C658&gt;=N$19,1,C658&gt;=N$20,2,C658&gt;=N$21,3,C658&gt;=N$22,4,C658&gt;=N$23,5,C658&lt;N$23,6)</f>
        <v>3</v>
      </c>
      <c r="F658" s="30"/>
      <c r="G658" s="5"/>
      <c r="H658" s="5"/>
    </row>
    <row r="659" spans="1:8" ht="12" customHeight="1">
      <c r="A659" s="10" t="s">
        <v>1849</v>
      </c>
      <c r="B659" s="112" t="s">
        <v>1850</v>
      </c>
      <c r="C659" s="82">
        <v>3860</v>
      </c>
      <c r="D659" s="43"/>
      <c r="E659" s="29" cm="1">
        <f t="array" ref="E659">_xlfn.IFS(C659=":",":",C659&gt;=N$19,1,C659&gt;=N$20,2,C659&gt;=N$21,3,C659&gt;=N$22,4,C659&gt;=N$23,5,C659&lt;N$23,6)</f>
        <v>3</v>
      </c>
      <c r="F659" s="30"/>
      <c r="G659" s="5"/>
      <c r="H659" s="5"/>
    </row>
    <row r="660" spans="1:8" ht="12" customHeight="1">
      <c r="A660" s="10" t="s">
        <v>1851</v>
      </c>
      <c r="B660" s="112" t="s">
        <v>1852</v>
      </c>
      <c r="C660" s="82">
        <v>3651</v>
      </c>
      <c r="D660" s="43"/>
      <c r="E660" s="29" cm="1">
        <f t="array" ref="E660">_xlfn.IFS(C660=":",":",C660&gt;=N$19,1,C660&gt;=N$20,2,C660&gt;=N$21,3,C660&gt;=N$22,4,C660&gt;=N$23,5,C660&lt;N$23,6)</f>
        <v>3</v>
      </c>
      <c r="F660" s="30"/>
      <c r="G660" s="5"/>
      <c r="H660" s="5"/>
    </row>
    <row r="661" spans="1:8" ht="12" customHeight="1">
      <c r="A661" s="10" t="s">
        <v>1853</v>
      </c>
      <c r="B661" s="112" t="s">
        <v>2828</v>
      </c>
      <c r="C661" s="82">
        <v>1895</v>
      </c>
      <c r="D661" s="43"/>
      <c r="E661" s="29" cm="1">
        <f t="array" ref="E661">_xlfn.IFS(C661=":",":",C661&gt;=N$19,1,C661&gt;=N$20,2,C661&gt;=N$21,3,C661&gt;=N$22,4,C661&gt;=N$23,5,C661&lt;N$23,6)</f>
        <v>5</v>
      </c>
      <c r="F661" s="30"/>
      <c r="G661" s="5"/>
      <c r="H661" s="5"/>
    </row>
    <row r="662" spans="1:8" ht="12" customHeight="1">
      <c r="A662" s="10" t="s">
        <v>1854</v>
      </c>
      <c r="B662" s="112" t="s">
        <v>2829</v>
      </c>
      <c r="C662" s="82">
        <v>1635</v>
      </c>
      <c r="D662" s="43"/>
      <c r="E662" s="29" cm="1">
        <f t="array" ref="E662">_xlfn.IFS(C662=":",":",C662&gt;=N$19,1,C662&gt;=N$20,2,C662&gt;=N$21,3,C662&gt;=N$22,4,C662&gt;=N$23,5,C662&lt;N$23,6)</f>
        <v>5</v>
      </c>
      <c r="F662" s="30"/>
      <c r="G662" s="5"/>
      <c r="H662" s="5"/>
    </row>
    <row r="663" spans="1:8" ht="12" customHeight="1">
      <c r="A663" s="10" t="s">
        <v>1855</v>
      </c>
      <c r="B663" s="112" t="s">
        <v>1856</v>
      </c>
      <c r="C663" s="82">
        <v>3498</v>
      </c>
      <c r="D663" s="43"/>
      <c r="E663" s="29" cm="1">
        <f t="array" ref="E663">_xlfn.IFS(C663=":",":",C663&gt;=N$19,1,C663&gt;=N$20,2,C663&gt;=N$21,3,C663&gt;=N$22,4,C663&gt;=N$23,5,C663&lt;N$23,6)</f>
        <v>4</v>
      </c>
      <c r="F663" s="30"/>
      <c r="G663" s="5"/>
      <c r="H663" s="5"/>
    </row>
    <row r="664" spans="1:8" ht="12" customHeight="1">
      <c r="A664" s="10" t="s">
        <v>1857</v>
      </c>
      <c r="B664" s="112" t="s">
        <v>1858</v>
      </c>
      <c r="C664" s="82">
        <v>5614</v>
      </c>
      <c r="D664" s="43"/>
      <c r="E664" s="29" cm="1">
        <f t="array" ref="E664">_xlfn.IFS(C664=":",":",C664&gt;=N$19,1,C664&gt;=N$20,2,C664&gt;=N$21,3,C664&gt;=N$22,4,C664&gt;=N$23,5,C664&lt;N$23,6)</f>
        <v>3</v>
      </c>
      <c r="F664" s="30"/>
      <c r="G664" s="5"/>
      <c r="H664" s="5"/>
    </row>
    <row r="665" spans="1:8" ht="12" customHeight="1">
      <c r="A665" s="10" t="s">
        <v>1859</v>
      </c>
      <c r="B665" s="112" t="s">
        <v>1860</v>
      </c>
      <c r="C665" s="82">
        <v>5633</v>
      </c>
      <c r="D665" s="43"/>
      <c r="E665" s="29" cm="1">
        <f t="array" ref="E665">_xlfn.IFS(C665=":",":",C665&gt;=N$19,1,C665&gt;=N$20,2,C665&gt;=N$21,3,C665&gt;=N$22,4,C665&gt;=N$23,5,C665&lt;N$23,6)</f>
        <v>3</v>
      </c>
      <c r="F665" s="30"/>
      <c r="G665" s="5"/>
      <c r="H665" s="5"/>
    </row>
    <row r="666" spans="1:8" ht="12" customHeight="1">
      <c r="A666" s="10" t="s">
        <v>1861</v>
      </c>
      <c r="B666" s="112" t="s">
        <v>1862</v>
      </c>
      <c r="C666" s="82">
        <v>3174</v>
      </c>
      <c r="D666" s="43"/>
      <c r="E666" s="29" cm="1">
        <f t="array" ref="E666">_xlfn.IFS(C666=":",":",C666&gt;=N$19,1,C666&gt;=N$20,2,C666&gt;=N$21,3,C666&gt;=N$22,4,C666&gt;=N$23,5,C666&lt;N$23,6)</f>
        <v>4</v>
      </c>
      <c r="F666" s="30"/>
      <c r="G666" s="5"/>
      <c r="H666" s="5"/>
    </row>
    <row r="667" spans="1:8" ht="12" customHeight="1">
      <c r="A667" s="10" t="s">
        <v>1863</v>
      </c>
      <c r="B667" s="112" t="s">
        <v>1864</v>
      </c>
      <c r="C667" s="82">
        <v>1566</v>
      </c>
      <c r="D667" s="43"/>
      <c r="E667" s="29" cm="1">
        <f t="array" ref="E667">_xlfn.IFS(C667=":",":",C667&gt;=N$19,1,C667&gt;=N$20,2,C667&gt;=N$21,3,C667&gt;=N$22,4,C667&gt;=N$23,5,C667&lt;N$23,6)</f>
        <v>5</v>
      </c>
      <c r="F667" s="30"/>
      <c r="G667" s="5"/>
      <c r="H667" s="5"/>
    </row>
    <row r="668" spans="1:8" ht="12" customHeight="1">
      <c r="A668" s="10" t="s">
        <v>1865</v>
      </c>
      <c r="B668" s="112" t="s">
        <v>1866</v>
      </c>
      <c r="C668" s="82">
        <v>2434</v>
      </c>
      <c r="D668" s="43"/>
      <c r="E668" s="29" cm="1">
        <f t="array" ref="E668">_xlfn.IFS(C668=":",":",C668&gt;=N$19,1,C668&gt;=N$20,2,C668&gt;=N$21,3,C668&gt;=N$22,4,C668&gt;=N$23,5,C668&lt;N$23,6)</f>
        <v>4</v>
      </c>
      <c r="F668" s="30"/>
      <c r="G668" s="5"/>
      <c r="H668" s="5"/>
    </row>
    <row r="669" spans="1:8" ht="12" customHeight="1">
      <c r="A669" s="10" t="s">
        <v>1867</v>
      </c>
      <c r="B669" s="112" t="s">
        <v>1868</v>
      </c>
      <c r="C669" s="82">
        <v>17913</v>
      </c>
      <c r="D669" s="43"/>
      <c r="E669" s="29" cm="1">
        <f t="array" ref="E669">_xlfn.IFS(C669=":",":",C669&gt;=N$19,1,C669&gt;=N$20,2,C669&gt;=N$21,3,C669&gt;=N$22,4,C669&gt;=N$23,5,C669&lt;N$23,6)</f>
        <v>1</v>
      </c>
      <c r="F669" s="30"/>
      <c r="G669" s="5"/>
      <c r="H669" s="5"/>
    </row>
    <row r="670" spans="1:8" ht="12" customHeight="1">
      <c r="A670" s="10" t="s">
        <v>1869</v>
      </c>
      <c r="B670" s="112" t="s">
        <v>2876</v>
      </c>
      <c r="C670" s="82">
        <v>6926</v>
      </c>
      <c r="D670" s="43"/>
      <c r="E670" s="29" cm="1">
        <f t="array" ref="E670">_xlfn.IFS(C670=":",":",C670&gt;=N$19,1,C670&gt;=N$20,2,C670&gt;=N$21,3,C670&gt;=N$22,4,C670&gt;=N$23,5,C670&lt;N$23,6)</f>
        <v>3</v>
      </c>
      <c r="F670" s="30"/>
      <c r="G670" s="5"/>
      <c r="H670" s="5"/>
    </row>
    <row r="671" spans="1:8" ht="12" customHeight="1">
      <c r="A671" s="10" t="s">
        <v>1870</v>
      </c>
      <c r="B671" s="112" t="s">
        <v>1871</v>
      </c>
      <c r="C671" s="82">
        <v>8983</v>
      </c>
      <c r="D671" s="43"/>
      <c r="E671" s="29" cm="1">
        <f t="array" ref="E671">_xlfn.IFS(C671=":",":",C671&gt;=N$19,1,C671&gt;=N$20,2,C671&gt;=N$21,3,C671&gt;=N$22,4,C671&gt;=N$23,5,C671&lt;N$23,6)</f>
        <v>2</v>
      </c>
      <c r="F671" s="30"/>
      <c r="G671" s="5"/>
      <c r="H671" s="5"/>
    </row>
    <row r="672" spans="1:8" ht="12" customHeight="1">
      <c r="A672" s="10" t="s">
        <v>1872</v>
      </c>
      <c r="B672" s="112" t="s">
        <v>1873</v>
      </c>
      <c r="C672" s="82">
        <v>5005</v>
      </c>
      <c r="D672" s="43"/>
      <c r="E672" s="29" cm="1">
        <f t="array" ref="E672">_xlfn.IFS(C672=":",":",C672&gt;=N$19,1,C672&gt;=N$20,2,C672&gt;=N$21,3,C672&gt;=N$22,4,C672&gt;=N$23,5,C672&lt;N$23,6)</f>
        <v>3</v>
      </c>
      <c r="F672" s="30"/>
      <c r="G672" s="5"/>
      <c r="H672" s="5"/>
    </row>
    <row r="673" spans="1:8" ht="12" customHeight="1">
      <c r="A673" s="10" t="s">
        <v>1874</v>
      </c>
      <c r="B673" s="112" t="s">
        <v>1875</v>
      </c>
      <c r="C673" s="82">
        <v>9895</v>
      </c>
      <c r="D673" s="43"/>
      <c r="E673" s="29" cm="1">
        <f t="array" ref="E673">_xlfn.IFS(C673=":",":",C673&gt;=N$19,1,C673&gt;=N$20,2,C673&gt;=N$21,3,C673&gt;=N$22,4,C673&gt;=N$23,5,C673&lt;N$23,6)</f>
        <v>2</v>
      </c>
      <c r="F673" s="30"/>
      <c r="G673" s="5"/>
      <c r="H673" s="5"/>
    </row>
    <row r="674" spans="1:8" ht="12" customHeight="1">
      <c r="A674" s="10" t="s">
        <v>1876</v>
      </c>
      <c r="B674" s="112" t="s">
        <v>1877</v>
      </c>
      <c r="C674" s="82">
        <v>12447</v>
      </c>
      <c r="D674" s="43"/>
      <c r="E674" s="29" cm="1">
        <f t="array" ref="E674">_xlfn.IFS(C674=":",":",C674&gt;=N$19,1,C674&gt;=N$20,2,C674&gt;=N$21,3,C674&gt;=N$22,4,C674&gt;=N$23,5,C674&lt;N$23,6)</f>
        <v>2</v>
      </c>
      <c r="F674" s="30"/>
      <c r="G674" s="5"/>
      <c r="H674" s="5"/>
    </row>
    <row r="675" spans="1:8" ht="12" customHeight="1">
      <c r="A675" s="10" t="s">
        <v>1878</v>
      </c>
      <c r="B675" s="112" t="s">
        <v>1879</v>
      </c>
      <c r="C675" s="82">
        <v>7946</v>
      </c>
      <c r="D675" s="43"/>
      <c r="E675" s="29" cm="1">
        <f t="array" ref="E675">_xlfn.IFS(C675=":",":",C675&gt;=N$19,1,C675&gt;=N$20,2,C675&gt;=N$21,3,C675&gt;=N$22,4,C675&gt;=N$23,5,C675&lt;N$23,6)</f>
        <v>2</v>
      </c>
      <c r="F675" s="30"/>
      <c r="G675" s="5"/>
      <c r="H675" s="5"/>
    </row>
    <row r="676" spans="1:8" ht="12" customHeight="1">
      <c r="A676" s="10" t="s">
        <v>1880</v>
      </c>
      <c r="B676" s="112" t="s">
        <v>1881</v>
      </c>
      <c r="C676" s="82">
        <v>24472</v>
      </c>
      <c r="D676" s="43"/>
      <c r="E676" s="29" cm="1">
        <f t="array" ref="E676">_xlfn.IFS(C676=":",":",C676&gt;=N$19,1,C676&gt;=N$20,2,C676&gt;=N$21,3,C676&gt;=N$22,4,C676&gt;=N$23,5,C676&lt;N$23,6)</f>
        <v>1</v>
      </c>
      <c r="F676" s="30"/>
      <c r="G676" s="5"/>
      <c r="H676" s="5"/>
    </row>
    <row r="677" spans="1:8" ht="12" customHeight="1">
      <c r="A677" s="10" t="s">
        <v>1882</v>
      </c>
      <c r="B677" s="112" t="s">
        <v>1883</v>
      </c>
      <c r="C677" s="82">
        <v>4623</v>
      </c>
      <c r="D677" s="43"/>
      <c r="E677" s="29" cm="1">
        <f t="array" ref="E677">_xlfn.IFS(C677=":",":",C677&gt;=N$19,1,C677&gt;=N$20,2,C677&gt;=N$21,3,C677&gt;=N$22,4,C677&gt;=N$23,5,C677&lt;N$23,6)</f>
        <v>3</v>
      </c>
      <c r="F677" s="30"/>
      <c r="G677" s="5"/>
      <c r="H677" s="5"/>
    </row>
    <row r="678" spans="1:8" ht="12" customHeight="1">
      <c r="A678" s="10" t="s">
        <v>1884</v>
      </c>
      <c r="B678" s="112" t="s">
        <v>1885</v>
      </c>
      <c r="C678" s="82">
        <v>10257</v>
      </c>
      <c r="D678" s="43"/>
      <c r="E678" s="29" cm="1">
        <f t="array" ref="E678">_xlfn.IFS(C678=":",":",C678&gt;=N$19,1,C678&gt;=N$20,2,C678&gt;=N$21,3,C678&gt;=N$22,4,C678&gt;=N$23,5,C678&lt;N$23,6)</f>
        <v>2</v>
      </c>
      <c r="F678" s="30"/>
      <c r="G678" s="5"/>
      <c r="H678" s="5"/>
    </row>
    <row r="679" spans="1:8" ht="12" customHeight="1">
      <c r="A679" s="10" t="s">
        <v>1886</v>
      </c>
      <c r="B679" s="112" t="s">
        <v>1887</v>
      </c>
      <c r="C679" s="82">
        <v>5410</v>
      </c>
      <c r="D679" s="43"/>
      <c r="E679" s="29" cm="1">
        <f t="array" ref="E679">_xlfn.IFS(C679=":",":",C679&gt;=N$19,1,C679&gt;=N$20,2,C679&gt;=N$21,3,C679&gt;=N$22,4,C679&gt;=N$23,5,C679&lt;N$23,6)</f>
        <v>3</v>
      </c>
      <c r="F679" s="30"/>
      <c r="G679" s="5"/>
      <c r="H679" s="5"/>
    </row>
    <row r="680" spans="1:8" ht="12" customHeight="1">
      <c r="A680" s="10" t="s">
        <v>1888</v>
      </c>
      <c r="B680" s="112" t="s">
        <v>1889</v>
      </c>
      <c r="C680" s="82">
        <v>2885</v>
      </c>
      <c r="D680" s="43"/>
      <c r="E680" s="29" cm="1">
        <f t="array" ref="E680">_xlfn.IFS(C680=":",":",C680&gt;=N$19,1,C680&gt;=N$20,2,C680&gt;=N$21,3,C680&gt;=N$22,4,C680&gt;=N$23,5,C680&lt;N$23,6)</f>
        <v>4</v>
      </c>
      <c r="F680" s="30"/>
      <c r="G680" s="5"/>
      <c r="H680" s="5"/>
    </row>
    <row r="681" spans="1:8" ht="12" customHeight="1">
      <c r="A681" s="10" t="s">
        <v>1890</v>
      </c>
      <c r="B681" s="112" t="s">
        <v>1891</v>
      </c>
      <c r="C681" s="82">
        <v>2533</v>
      </c>
      <c r="D681" s="43"/>
      <c r="E681" s="29" cm="1">
        <f t="array" ref="E681">_xlfn.IFS(C681=":",":",C681&gt;=N$19,1,C681&gt;=N$20,2,C681&gt;=N$21,3,C681&gt;=N$22,4,C681&gt;=N$23,5,C681&lt;N$23,6)</f>
        <v>4</v>
      </c>
      <c r="F681" s="30"/>
      <c r="G681" s="5"/>
      <c r="H681" s="5"/>
    </row>
    <row r="682" spans="1:8" ht="12" customHeight="1">
      <c r="A682" s="10" t="s">
        <v>1892</v>
      </c>
      <c r="B682" s="112" t="s">
        <v>1893</v>
      </c>
      <c r="C682" s="82">
        <v>1997</v>
      </c>
      <c r="D682" s="43"/>
      <c r="E682" s="29" cm="1">
        <f t="array" ref="E682">_xlfn.IFS(C682=":",":",C682&gt;=N$19,1,C682&gt;=N$20,2,C682&gt;=N$21,3,C682&gt;=N$22,4,C682&gt;=N$23,5,C682&lt;N$23,6)</f>
        <v>5</v>
      </c>
      <c r="F682" s="30"/>
      <c r="G682" s="5"/>
      <c r="H682" s="5"/>
    </row>
    <row r="683" spans="1:8" ht="12" customHeight="1">
      <c r="A683" s="10" t="s">
        <v>1894</v>
      </c>
      <c r="B683" s="112" t="s">
        <v>1895</v>
      </c>
      <c r="C683" s="82">
        <v>18607</v>
      </c>
      <c r="D683" s="43"/>
      <c r="E683" s="29" cm="1">
        <f t="array" ref="E683">_xlfn.IFS(C683=":",":",C683&gt;=N$19,1,C683&gt;=N$20,2,C683&gt;=N$21,3,C683&gt;=N$22,4,C683&gt;=N$23,5,C683&lt;N$23,6)</f>
        <v>1</v>
      </c>
      <c r="F683" s="30"/>
      <c r="G683" s="5"/>
      <c r="H683" s="5"/>
    </row>
    <row r="684" spans="1:8" ht="12" customHeight="1">
      <c r="A684" s="10" t="s">
        <v>1896</v>
      </c>
      <c r="B684" s="112" t="s">
        <v>1897</v>
      </c>
      <c r="C684" s="82">
        <v>1982</v>
      </c>
      <c r="D684" s="43"/>
      <c r="E684" s="29" cm="1">
        <f t="array" ref="E684">_xlfn.IFS(C684=":",":",C684&gt;=N$19,1,C684&gt;=N$20,2,C684&gt;=N$21,3,C684&gt;=N$22,4,C684&gt;=N$23,5,C684&lt;N$23,6)</f>
        <v>5</v>
      </c>
      <c r="F684" s="30"/>
      <c r="G684" s="5"/>
      <c r="H684" s="5"/>
    </row>
    <row r="685" spans="1:8" ht="12" customHeight="1">
      <c r="A685" s="10" t="s">
        <v>1898</v>
      </c>
      <c r="B685" s="112" t="s">
        <v>1899</v>
      </c>
      <c r="C685" s="82">
        <v>8082</v>
      </c>
      <c r="D685" s="43"/>
      <c r="E685" s="29" cm="1">
        <f t="array" ref="E685">_xlfn.IFS(C685=":",":",C685&gt;=N$19,1,C685&gt;=N$20,2,C685&gt;=N$21,3,C685&gt;=N$22,4,C685&gt;=N$23,5,C685&lt;N$23,6)</f>
        <v>2</v>
      </c>
      <c r="F685" s="30"/>
      <c r="G685" s="5"/>
      <c r="H685" s="5"/>
    </row>
    <row r="686" spans="1:8" ht="12" customHeight="1">
      <c r="A686" s="10" t="s">
        <v>1900</v>
      </c>
      <c r="B686" s="112" t="s">
        <v>1901</v>
      </c>
      <c r="C686" s="82">
        <v>9653</v>
      </c>
      <c r="D686" s="43"/>
      <c r="E686" s="29" cm="1">
        <f t="array" ref="E686">_xlfn.IFS(C686=":",":",C686&gt;=N$19,1,C686&gt;=N$20,2,C686&gt;=N$21,3,C686&gt;=N$22,4,C686&gt;=N$23,5,C686&lt;N$23,6)</f>
        <v>2</v>
      </c>
      <c r="F686" s="30"/>
      <c r="G686" s="5"/>
      <c r="H686" s="5"/>
    </row>
    <row r="687" spans="1:8" ht="12" customHeight="1">
      <c r="A687" s="10" t="s">
        <v>1902</v>
      </c>
      <c r="B687" s="112" t="s">
        <v>1903</v>
      </c>
      <c r="C687" s="82">
        <v>7792</v>
      </c>
      <c r="D687" s="43"/>
      <c r="E687" s="29" cm="1">
        <f t="array" ref="E687">_xlfn.IFS(C687=":",":",C687&gt;=N$19,1,C687&gt;=N$20,2,C687&gt;=N$21,3,C687&gt;=N$22,4,C687&gt;=N$23,5,C687&lt;N$23,6)</f>
        <v>2</v>
      </c>
      <c r="F687" s="30"/>
      <c r="G687" s="5"/>
      <c r="H687" s="5"/>
    </row>
    <row r="688" spans="1:8" ht="12" customHeight="1">
      <c r="A688" s="10" t="s">
        <v>1904</v>
      </c>
      <c r="B688" s="112" t="s">
        <v>1905</v>
      </c>
      <c r="C688" s="82">
        <v>13723</v>
      </c>
      <c r="D688" s="43"/>
      <c r="E688" s="29" cm="1">
        <f t="array" ref="E688">_xlfn.IFS(C688=":",":",C688&gt;=N$19,1,C688&gt;=N$20,2,C688&gt;=N$21,3,C688&gt;=N$22,4,C688&gt;=N$23,5,C688&lt;N$23,6)</f>
        <v>2</v>
      </c>
      <c r="F688" s="30"/>
      <c r="G688" s="5"/>
      <c r="H688" s="5"/>
    </row>
    <row r="689" spans="1:8" ht="12" customHeight="1">
      <c r="A689" s="10" t="s">
        <v>1906</v>
      </c>
      <c r="B689" s="112" t="s">
        <v>1907</v>
      </c>
      <c r="C689" s="82">
        <v>16860</v>
      </c>
      <c r="D689" s="43"/>
      <c r="E689" s="29" cm="1">
        <f t="array" ref="E689">_xlfn.IFS(C689=":",":",C689&gt;=N$19,1,C689&gt;=N$20,2,C689&gt;=N$21,3,C689&gt;=N$22,4,C689&gt;=N$23,5,C689&lt;N$23,6)</f>
        <v>1</v>
      </c>
      <c r="F689" s="30"/>
      <c r="G689" s="5"/>
      <c r="H689" s="5"/>
    </row>
    <row r="690" spans="1:8" ht="12" customHeight="1">
      <c r="A690" s="10" t="s">
        <v>1908</v>
      </c>
      <c r="B690" s="112" t="s">
        <v>1909</v>
      </c>
      <c r="C690" s="82">
        <v>23000</v>
      </c>
      <c r="D690" s="43"/>
      <c r="E690" s="29" cm="1">
        <f t="array" ref="E690">_xlfn.IFS(C690=":",":",C690&gt;=N$19,1,C690&gt;=N$20,2,C690&gt;=N$21,3,C690&gt;=N$22,4,C690&gt;=N$23,5,C690&lt;N$23,6)</f>
        <v>1</v>
      </c>
      <c r="F690" s="30"/>
      <c r="G690" s="5"/>
      <c r="H690" s="5"/>
    </row>
    <row r="691" spans="1:8" ht="12" customHeight="1">
      <c r="A691" s="10" t="s">
        <v>1910</v>
      </c>
      <c r="B691" s="112" t="s">
        <v>1911</v>
      </c>
      <c r="C691" s="82">
        <v>7371</v>
      </c>
      <c r="D691" s="43"/>
      <c r="E691" s="29" cm="1">
        <f t="array" ref="E691">_xlfn.IFS(C691=":",":",C691&gt;=N$19,1,C691&gt;=N$20,2,C691&gt;=N$21,3,C691&gt;=N$22,4,C691&gt;=N$23,5,C691&lt;N$23,6)</f>
        <v>3</v>
      </c>
      <c r="F691" s="30"/>
      <c r="G691" s="5"/>
      <c r="H691" s="5"/>
    </row>
    <row r="692" spans="1:8" ht="12" customHeight="1">
      <c r="A692" s="10" t="s">
        <v>1912</v>
      </c>
      <c r="B692" s="112" t="s">
        <v>1913</v>
      </c>
      <c r="C692" s="82">
        <v>7845</v>
      </c>
      <c r="D692" s="43"/>
      <c r="E692" s="29" cm="1">
        <f t="array" ref="E692">_xlfn.IFS(C692=":",":",C692&gt;=N$19,1,C692&gt;=N$20,2,C692&gt;=N$21,3,C692&gt;=N$22,4,C692&gt;=N$23,5,C692&lt;N$23,6)</f>
        <v>2</v>
      </c>
      <c r="F692" s="30"/>
      <c r="G692" s="5"/>
      <c r="H692" s="5"/>
    </row>
    <row r="693" spans="1:8" ht="12" customHeight="1">
      <c r="A693" s="10" t="s">
        <v>1914</v>
      </c>
      <c r="B693" s="112" t="s">
        <v>1915</v>
      </c>
      <c r="C693" s="82">
        <v>3843</v>
      </c>
      <c r="D693" s="43"/>
      <c r="E693" s="29" cm="1">
        <f t="array" ref="E693">_xlfn.IFS(C693=":",":",C693&gt;=N$19,1,C693&gt;=N$20,2,C693&gt;=N$21,3,C693&gt;=N$22,4,C693&gt;=N$23,5,C693&lt;N$23,6)</f>
        <v>3</v>
      </c>
      <c r="F693" s="30"/>
      <c r="G693" s="5"/>
      <c r="H693" s="5"/>
    </row>
    <row r="694" spans="1:8" ht="12" customHeight="1">
      <c r="A694" s="10" t="s">
        <v>1916</v>
      </c>
      <c r="B694" s="112" t="s">
        <v>1917</v>
      </c>
      <c r="C694" s="82">
        <v>3964</v>
      </c>
      <c r="D694" s="43"/>
      <c r="E694" s="29" cm="1">
        <f t="array" ref="E694">_xlfn.IFS(C694=":",":",C694&gt;=N$19,1,C694&gt;=N$20,2,C694&gt;=N$21,3,C694&gt;=N$22,4,C694&gt;=N$23,5,C694&lt;N$23,6)</f>
        <v>3</v>
      </c>
      <c r="F694" s="30"/>
      <c r="G694" s="5"/>
      <c r="H694" s="5"/>
    </row>
    <row r="695" spans="1:8" ht="12" customHeight="1">
      <c r="A695" s="10" t="s">
        <v>1918</v>
      </c>
      <c r="B695" s="112" t="s">
        <v>1919</v>
      </c>
      <c r="C695" s="82">
        <v>10798</v>
      </c>
      <c r="D695" s="43"/>
      <c r="E695" s="29" cm="1">
        <f t="array" ref="E695">_xlfn.IFS(C695=":",":",C695&gt;=N$19,1,C695&gt;=N$20,2,C695&gt;=N$21,3,C695&gt;=N$22,4,C695&gt;=N$23,5,C695&lt;N$23,6)</f>
        <v>2</v>
      </c>
      <c r="F695" s="30"/>
      <c r="G695" s="5"/>
      <c r="H695" s="5"/>
    </row>
    <row r="696" spans="1:8" ht="12" customHeight="1">
      <c r="A696" s="10" t="s">
        <v>1920</v>
      </c>
      <c r="B696" s="112" t="s">
        <v>2830</v>
      </c>
      <c r="C696" s="82">
        <v>21128</v>
      </c>
      <c r="D696" s="43"/>
      <c r="E696" s="29" cm="1">
        <f t="array" ref="E696">_xlfn.IFS(C696=":",":",C696&gt;=N$19,1,C696&gt;=N$20,2,C696&gt;=N$21,3,C696&gt;=N$22,4,C696&gt;=N$23,5,C696&lt;N$23,6)</f>
        <v>1</v>
      </c>
      <c r="F696" s="30"/>
      <c r="G696" s="5"/>
      <c r="H696" s="5"/>
    </row>
    <row r="697" spans="1:8" ht="12" customHeight="1">
      <c r="A697" s="10" t="s">
        <v>1921</v>
      </c>
      <c r="B697" s="112" t="s">
        <v>1922</v>
      </c>
      <c r="C697" s="82">
        <v>2195</v>
      </c>
      <c r="D697" s="43"/>
      <c r="E697" s="29" cm="1">
        <f t="array" ref="E697">_xlfn.IFS(C697=":",":",C697&gt;=N$19,1,C697&gt;=N$20,2,C697&gt;=N$21,3,C697&gt;=N$22,4,C697&gt;=N$23,5,C697&lt;N$23,6)</f>
        <v>4</v>
      </c>
      <c r="F697" s="30"/>
      <c r="G697" s="5"/>
      <c r="H697" s="5"/>
    </row>
    <row r="698" spans="1:8" ht="12" customHeight="1">
      <c r="A698" s="10" t="s">
        <v>1923</v>
      </c>
      <c r="B698" s="112" t="s">
        <v>1924</v>
      </c>
      <c r="C698" s="82">
        <v>2313</v>
      </c>
      <c r="D698" s="43"/>
      <c r="E698" s="29" cm="1">
        <f t="array" ref="E698">_xlfn.IFS(C698=":",":",C698&gt;=N$19,1,C698&gt;=N$20,2,C698&gt;=N$21,3,C698&gt;=N$22,4,C698&gt;=N$23,5,C698&lt;N$23,6)</f>
        <v>4</v>
      </c>
      <c r="F698" s="30"/>
      <c r="G698" s="5"/>
      <c r="H698" s="5"/>
    </row>
    <row r="699" spans="1:8" ht="12" customHeight="1">
      <c r="A699" s="10" t="s">
        <v>1925</v>
      </c>
      <c r="B699" s="112" t="s">
        <v>1926</v>
      </c>
      <c r="C699" s="82">
        <v>3466</v>
      </c>
      <c r="D699" s="43"/>
      <c r="E699" s="29" cm="1">
        <f t="array" ref="E699">_xlfn.IFS(C699=":",":",C699&gt;=N$19,1,C699&gt;=N$20,2,C699&gt;=N$21,3,C699&gt;=N$22,4,C699&gt;=N$23,5,C699&lt;N$23,6)</f>
        <v>4</v>
      </c>
      <c r="F699" s="30"/>
      <c r="G699" s="5"/>
      <c r="H699" s="5"/>
    </row>
    <row r="700" spans="1:8" ht="12" customHeight="1">
      <c r="A700" s="10" t="s">
        <v>1927</v>
      </c>
      <c r="B700" s="112" t="s">
        <v>1928</v>
      </c>
      <c r="C700" s="82">
        <v>7371</v>
      </c>
      <c r="D700" s="43"/>
      <c r="E700" s="29" cm="1">
        <f t="array" ref="E700">_xlfn.IFS(C700=":",":",C700&gt;=N$19,1,C700&gt;=N$20,2,C700&gt;=N$21,3,C700&gt;=N$22,4,C700&gt;=N$23,5,C700&lt;N$23,6)</f>
        <v>3</v>
      </c>
      <c r="F700" s="30"/>
      <c r="G700" s="5"/>
      <c r="H700" s="5"/>
    </row>
    <row r="701" spans="1:8" ht="12" customHeight="1">
      <c r="A701" s="10" t="s">
        <v>1929</v>
      </c>
      <c r="B701" s="112" t="s">
        <v>1930</v>
      </c>
      <c r="C701" s="82">
        <v>3684</v>
      </c>
      <c r="D701" s="43"/>
      <c r="E701" s="29" cm="1">
        <f t="array" ref="E701">_xlfn.IFS(C701=":",":",C701&gt;=N$19,1,C701&gt;=N$20,2,C701&gt;=N$21,3,C701&gt;=N$22,4,C701&gt;=N$23,5,C701&lt;N$23,6)</f>
        <v>3</v>
      </c>
      <c r="F701" s="30"/>
      <c r="G701" s="5"/>
      <c r="H701" s="5"/>
    </row>
    <row r="702" spans="1:8" ht="12" customHeight="1">
      <c r="A702" s="10" t="s">
        <v>1931</v>
      </c>
      <c r="B702" s="112" t="s">
        <v>1932</v>
      </c>
      <c r="C702" s="82">
        <v>6191</v>
      </c>
      <c r="D702" s="43"/>
      <c r="E702" s="29" cm="1">
        <f t="array" ref="E702">_xlfn.IFS(C702=":",":",C702&gt;=N$19,1,C702&gt;=N$20,2,C702&gt;=N$21,3,C702&gt;=N$22,4,C702&gt;=N$23,5,C702&lt;N$23,6)</f>
        <v>3</v>
      </c>
      <c r="F702" s="30"/>
      <c r="G702" s="5"/>
      <c r="H702" s="5"/>
    </row>
    <row r="703" spans="1:8" ht="12" customHeight="1">
      <c r="A703" s="10" t="s">
        <v>1933</v>
      </c>
      <c r="B703" s="112" t="s">
        <v>1934</v>
      </c>
      <c r="C703" s="82">
        <v>3576</v>
      </c>
      <c r="D703" s="43"/>
      <c r="E703" s="29" cm="1">
        <f t="array" ref="E703">_xlfn.IFS(C703=":",":",C703&gt;=N$19,1,C703&gt;=N$20,2,C703&gt;=N$21,3,C703&gt;=N$22,4,C703&gt;=N$23,5,C703&lt;N$23,6)</f>
        <v>3</v>
      </c>
      <c r="F703" s="30"/>
      <c r="G703" s="5"/>
      <c r="H703" s="5"/>
    </row>
    <row r="704" spans="1:8" ht="12" customHeight="1">
      <c r="A704" s="10" t="s">
        <v>1935</v>
      </c>
      <c r="B704" s="112" t="s">
        <v>1936</v>
      </c>
      <c r="C704" s="82">
        <v>17332</v>
      </c>
      <c r="D704" s="43"/>
      <c r="E704" s="29" cm="1">
        <f t="array" ref="E704">_xlfn.IFS(C704=":",":",C704&gt;=N$19,1,C704&gt;=N$20,2,C704&gt;=N$21,3,C704&gt;=N$22,4,C704&gt;=N$23,5,C704&lt;N$23,6)</f>
        <v>1</v>
      </c>
      <c r="F704" s="30"/>
      <c r="G704" s="5"/>
      <c r="H704" s="5"/>
    </row>
    <row r="705" spans="1:8" ht="12" customHeight="1">
      <c r="A705" s="10" t="s">
        <v>1937</v>
      </c>
      <c r="B705" s="112" t="s">
        <v>1938</v>
      </c>
      <c r="C705" s="82">
        <v>6476</v>
      </c>
      <c r="D705" s="43"/>
      <c r="E705" s="29" cm="1">
        <f t="array" ref="E705">_xlfn.IFS(C705=":",":",C705&gt;=N$19,1,C705&gt;=N$20,2,C705&gt;=N$21,3,C705&gt;=N$22,4,C705&gt;=N$23,5,C705&lt;N$23,6)</f>
        <v>3</v>
      </c>
      <c r="F705" s="30"/>
      <c r="G705" s="5"/>
      <c r="H705" s="5"/>
    </row>
    <row r="706" spans="1:8" ht="12" customHeight="1">
      <c r="A706" s="10" t="s">
        <v>1939</v>
      </c>
      <c r="B706" s="112" t="s">
        <v>1940</v>
      </c>
      <c r="C706" s="82">
        <v>4448</v>
      </c>
      <c r="D706" s="43"/>
      <c r="E706" s="29" cm="1">
        <f t="array" ref="E706">_xlfn.IFS(C706=":",":",C706&gt;=N$19,1,C706&gt;=N$20,2,C706&gt;=N$21,3,C706&gt;=N$22,4,C706&gt;=N$23,5,C706&lt;N$23,6)</f>
        <v>3</v>
      </c>
      <c r="F706" s="30"/>
      <c r="G706" s="5"/>
      <c r="H706" s="5"/>
    </row>
    <row r="707" spans="1:8" ht="12" customHeight="1">
      <c r="A707" s="10" t="s">
        <v>1941</v>
      </c>
      <c r="B707" s="112" t="s">
        <v>1942</v>
      </c>
      <c r="C707" s="82">
        <v>1204</v>
      </c>
      <c r="D707" s="43"/>
      <c r="E707" s="29" cm="1">
        <f t="array" ref="E707">_xlfn.IFS(C707=":",":",C707&gt;=N$19,1,C707&gt;=N$20,2,C707&gt;=N$21,3,C707&gt;=N$22,4,C707&gt;=N$23,5,C707&lt;N$23,6)</f>
        <v>5</v>
      </c>
      <c r="F707" s="30"/>
      <c r="G707" s="5"/>
      <c r="H707" s="5"/>
    </row>
    <row r="708" spans="1:8" ht="12" customHeight="1">
      <c r="A708" s="10" t="s">
        <v>1943</v>
      </c>
      <c r="B708" s="112" t="s">
        <v>1944</v>
      </c>
      <c r="C708" s="82">
        <v>4360</v>
      </c>
      <c r="D708" s="43"/>
      <c r="E708" s="29" cm="1">
        <f t="array" ref="E708">_xlfn.IFS(C708=":",":",C708&gt;=N$19,1,C708&gt;=N$20,2,C708&gt;=N$21,3,C708&gt;=N$22,4,C708&gt;=N$23,5,C708&lt;N$23,6)</f>
        <v>3</v>
      </c>
      <c r="F708" s="30"/>
      <c r="G708" s="5"/>
      <c r="H708" s="5"/>
    </row>
    <row r="709" spans="1:8" ht="12" customHeight="1">
      <c r="A709" s="10" t="s">
        <v>1945</v>
      </c>
      <c r="B709" s="112" t="s">
        <v>1946</v>
      </c>
      <c r="C709" s="82">
        <v>36373</v>
      </c>
      <c r="D709" s="43"/>
      <c r="E709" s="29" cm="1">
        <f t="array" ref="E709">_xlfn.IFS(C709=":",":",C709&gt;=N$19,1,C709&gt;=N$20,2,C709&gt;=N$21,3,C709&gt;=N$22,4,C709&gt;=N$23,5,C709&lt;N$23,6)</f>
        <v>1</v>
      </c>
      <c r="F709" s="30"/>
      <c r="G709" s="5"/>
      <c r="H709" s="5"/>
    </row>
    <row r="710" spans="1:8" ht="12" customHeight="1">
      <c r="A710" s="10" t="s">
        <v>1947</v>
      </c>
      <c r="B710" s="112" t="s">
        <v>1948</v>
      </c>
      <c r="C710" s="82">
        <v>14281</v>
      </c>
      <c r="D710" s="43"/>
      <c r="E710" s="29" cm="1">
        <f t="array" ref="E710">_xlfn.IFS(C710=":",":",C710&gt;=N$19,1,C710&gt;=N$20,2,C710&gt;=N$21,3,C710&gt;=N$22,4,C710&gt;=N$23,5,C710&lt;N$23,6)</f>
        <v>2</v>
      </c>
      <c r="F710" s="30"/>
      <c r="G710" s="5"/>
      <c r="H710" s="5"/>
    </row>
    <row r="711" spans="1:8" ht="12" customHeight="1">
      <c r="A711" s="10" t="s">
        <v>1949</v>
      </c>
      <c r="B711" s="112" t="s">
        <v>1950</v>
      </c>
      <c r="C711" s="82">
        <v>23731</v>
      </c>
      <c r="D711" s="43"/>
      <c r="E711" s="29" cm="1">
        <f t="array" ref="E711">_xlfn.IFS(C711=":",":",C711&gt;=N$19,1,C711&gt;=N$20,2,C711&gt;=N$21,3,C711&gt;=N$22,4,C711&gt;=N$23,5,C711&lt;N$23,6)</f>
        <v>1</v>
      </c>
      <c r="F711" s="30"/>
      <c r="G711" s="5"/>
      <c r="H711" s="5"/>
    </row>
    <row r="712" spans="1:8" ht="12" customHeight="1">
      <c r="A712" s="10" t="s">
        <v>1951</v>
      </c>
      <c r="B712" s="112" t="s">
        <v>2831</v>
      </c>
      <c r="C712" s="82">
        <v>32040</v>
      </c>
      <c r="D712" s="43"/>
      <c r="E712" s="29" cm="1">
        <f t="array" ref="E712">_xlfn.IFS(C712=":",":",C712&gt;=N$19,1,C712&gt;=N$20,2,C712&gt;=N$21,3,C712&gt;=N$22,4,C712&gt;=N$23,5,C712&lt;N$23,6)</f>
        <v>1</v>
      </c>
      <c r="F712" s="30"/>
      <c r="G712" s="5"/>
      <c r="H712" s="5"/>
    </row>
    <row r="713" spans="1:8" ht="12" customHeight="1">
      <c r="A713" s="10" t="s">
        <v>1952</v>
      </c>
      <c r="B713" s="112" t="s">
        <v>1953</v>
      </c>
      <c r="C713" s="82">
        <v>12473</v>
      </c>
      <c r="D713" s="43"/>
      <c r="E713" s="29" cm="1">
        <f t="array" ref="E713">_xlfn.IFS(C713=":",":",C713&gt;=N$19,1,C713&gt;=N$20,2,C713&gt;=N$21,3,C713&gt;=N$22,4,C713&gt;=N$23,5,C713&lt;N$23,6)</f>
        <v>2</v>
      </c>
      <c r="F713" s="30"/>
      <c r="G713" s="5"/>
      <c r="H713" s="5"/>
    </row>
    <row r="714" spans="1:8" ht="12" customHeight="1">
      <c r="A714" s="10" t="s">
        <v>1954</v>
      </c>
      <c r="B714" s="112" t="s">
        <v>1955</v>
      </c>
      <c r="C714" s="82">
        <v>5719</v>
      </c>
      <c r="D714" s="43"/>
      <c r="E714" s="29" cm="1">
        <f t="array" ref="E714">_xlfn.IFS(C714=":",":",C714&gt;=N$19,1,C714&gt;=N$20,2,C714&gt;=N$21,3,C714&gt;=N$22,4,C714&gt;=N$23,5,C714&lt;N$23,6)</f>
        <v>3</v>
      </c>
      <c r="F714" s="30"/>
      <c r="G714" s="5"/>
      <c r="H714" s="5"/>
    </row>
    <row r="715" spans="1:8" ht="12" customHeight="1">
      <c r="A715" s="10" t="s">
        <v>1956</v>
      </c>
      <c r="B715" s="112" t="s">
        <v>1957</v>
      </c>
      <c r="C715" s="82">
        <v>16254</v>
      </c>
      <c r="D715" s="43"/>
      <c r="E715" s="29" cm="1">
        <f t="array" ref="E715">_xlfn.IFS(C715=":",":",C715&gt;=N$19,1,C715&gt;=N$20,2,C715&gt;=N$21,3,C715&gt;=N$22,4,C715&gt;=N$23,5,C715&lt;N$23,6)</f>
        <v>1</v>
      </c>
      <c r="F715" s="30"/>
      <c r="G715" s="5"/>
      <c r="H715" s="5"/>
    </row>
    <row r="716" spans="1:8" ht="12" customHeight="1">
      <c r="A716" s="10" t="s">
        <v>1958</v>
      </c>
      <c r="B716" s="112" t="s">
        <v>1959</v>
      </c>
      <c r="C716" s="82">
        <v>8758</v>
      </c>
      <c r="D716" s="43"/>
      <c r="E716" s="29" cm="1">
        <f t="array" ref="E716">_xlfn.IFS(C716=":",":",C716&gt;=N$19,1,C716&gt;=N$20,2,C716&gt;=N$21,3,C716&gt;=N$22,4,C716&gt;=N$23,5,C716&lt;N$23,6)</f>
        <v>2</v>
      </c>
      <c r="F716" s="30"/>
      <c r="G716" s="5"/>
      <c r="H716" s="5"/>
    </row>
    <row r="717" spans="1:8" ht="12" customHeight="1">
      <c r="A717" s="10" t="s">
        <v>1960</v>
      </c>
      <c r="B717" s="112" t="s">
        <v>1961</v>
      </c>
      <c r="C717" s="82">
        <v>36409</v>
      </c>
      <c r="D717" s="43"/>
      <c r="E717" s="29" cm="1">
        <f t="array" ref="E717">_xlfn.IFS(C717=":",":",C717&gt;=N$19,1,C717&gt;=N$20,2,C717&gt;=N$21,3,C717&gt;=N$22,4,C717&gt;=N$23,5,C717&lt;N$23,6)</f>
        <v>1</v>
      </c>
      <c r="F717" s="30"/>
      <c r="G717" s="5"/>
      <c r="H717" s="5"/>
    </row>
    <row r="718" spans="1:8" ht="12" customHeight="1">
      <c r="A718" s="10" t="s">
        <v>1962</v>
      </c>
      <c r="B718" s="112" t="s">
        <v>1963</v>
      </c>
      <c r="C718" s="82">
        <v>27054</v>
      </c>
      <c r="D718" s="43"/>
      <c r="E718" s="29" cm="1">
        <f t="array" ref="E718">_xlfn.IFS(C718=":",":",C718&gt;=N$19,1,C718&gt;=N$20,2,C718&gt;=N$21,3,C718&gt;=N$22,4,C718&gt;=N$23,5,C718&lt;N$23,6)</f>
        <v>1</v>
      </c>
      <c r="F718" s="30"/>
      <c r="G718" s="5"/>
      <c r="H718" s="5"/>
    </row>
    <row r="719" spans="1:8" ht="12" customHeight="1">
      <c r="A719" s="10" t="s">
        <v>1964</v>
      </c>
      <c r="B719" s="112" t="s">
        <v>253</v>
      </c>
      <c r="C719" s="82">
        <v>3138</v>
      </c>
      <c r="D719" s="43"/>
      <c r="E719" s="29" cm="1">
        <f t="array" ref="E719">_xlfn.IFS(C719=":",":",C719&gt;=N$19,1,C719&gt;=N$20,2,C719&gt;=N$21,3,C719&gt;=N$22,4,C719&gt;=N$23,5,C719&lt;N$23,6)</f>
        <v>4</v>
      </c>
      <c r="F719" s="30"/>
      <c r="G719" s="5"/>
      <c r="H719" s="5"/>
    </row>
    <row r="720" spans="1:8" ht="12" customHeight="1">
      <c r="A720" s="10" t="s">
        <v>1965</v>
      </c>
      <c r="B720" s="112" t="s">
        <v>255</v>
      </c>
      <c r="C720" s="82">
        <v>3399</v>
      </c>
      <c r="D720" s="43"/>
      <c r="E720" s="29" cm="1">
        <f t="array" ref="E720">_xlfn.IFS(C720=":",":",C720&gt;=N$19,1,C720&gt;=N$20,2,C720&gt;=N$21,3,C720&gt;=N$22,4,C720&gt;=N$23,5,C720&lt;N$23,6)</f>
        <v>4</v>
      </c>
      <c r="F720" s="30"/>
      <c r="G720" s="5"/>
      <c r="H720" s="5"/>
    </row>
    <row r="721" spans="1:8" ht="12" customHeight="1">
      <c r="A721" s="10" t="s">
        <v>1966</v>
      </c>
      <c r="B721" s="112" t="s">
        <v>257</v>
      </c>
      <c r="C721" s="82">
        <v>1428</v>
      </c>
      <c r="D721" s="43"/>
      <c r="E721" s="29" cm="1">
        <f t="array" ref="E721">_xlfn.IFS(C721=":",":",C721&gt;=N$19,1,C721&gt;=N$20,2,C721&gt;=N$21,3,C721&gt;=N$22,4,C721&gt;=N$23,5,C721&lt;N$23,6)</f>
        <v>5</v>
      </c>
      <c r="F721" s="30"/>
      <c r="G721" s="5"/>
      <c r="H721" s="5"/>
    </row>
    <row r="722" spans="1:8" ht="12" customHeight="1">
      <c r="A722" s="10" t="s">
        <v>1967</v>
      </c>
      <c r="B722" s="112" t="s">
        <v>259</v>
      </c>
      <c r="C722" s="82">
        <v>1788</v>
      </c>
      <c r="D722" s="43"/>
      <c r="E722" s="29" cm="1">
        <f t="array" ref="E722">_xlfn.IFS(C722=":",":",C722&gt;=N$19,1,C722&gt;=N$20,2,C722&gt;=N$21,3,C722&gt;=N$22,4,C722&gt;=N$23,5,C722&lt;N$23,6)</f>
        <v>5</v>
      </c>
      <c r="F722" s="30"/>
      <c r="G722" s="5"/>
      <c r="H722" s="5"/>
    </row>
    <row r="723" spans="1:8" ht="12" customHeight="1">
      <c r="A723" s="10" t="s">
        <v>1968</v>
      </c>
      <c r="B723" s="112" t="s">
        <v>18</v>
      </c>
      <c r="C723" s="82">
        <v>579</v>
      </c>
      <c r="D723" s="43"/>
      <c r="E723" s="29" cm="1">
        <f t="array" ref="E723">_xlfn.IFS(C723=":",":",C723&gt;=N$19,1,C723&gt;=N$20,2,C723&gt;=N$21,3,C723&gt;=N$22,4,C723&gt;=N$23,5,C723&lt;N$23,6)</f>
        <v>6</v>
      </c>
      <c r="F723" s="30"/>
      <c r="G723" s="5"/>
      <c r="H723" s="5"/>
    </row>
    <row r="724" spans="1:8" ht="12" customHeight="1">
      <c r="A724" s="10" t="s">
        <v>1969</v>
      </c>
      <c r="B724" s="112" t="s">
        <v>2877</v>
      </c>
      <c r="C724" s="82">
        <v>809</v>
      </c>
      <c r="D724" s="43"/>
      <c r="E724" s="29" cm="1">
        <f t="array" ref="E724">_xlfn.IFS(C724=":",":",C724&gt;=N$19,1,C724&gt;=N$20,2,C724&gt;=N$21,3,C724&gt;=N$22,4,C724&gt;=N$23,5,C724&lt;N$23,6)</f>
        <v>6</v>
      </c>
      <c r="F724" s="30"/>
      <c r="G724" s="5"/>
      <c r="H724" s="5"/>
    </row>
    <row r="725" spans="1:8" ht="12" customHeight="1">
      <c r="A725" s="10" t="s">
        <v>1970</v>
      </c>
      <c r="B725" s="112" t="s">
        <v>2878</v>
      </c>
      <c r="C725" s="82">
        <v>598</v>
      </c>
      <c r="D725" s="43"/>
      <c r="E725" s="29" cm="1">
        <f t="array" ref="E725">_xlfn.IFS(C725=":",":",C725&gt;=N$19,1,C725&gt;=N$20,2,C725&gt;=N$21,3,C725&gt;=N$22,4,C725&gt;=N$23,5,C725&lt;N$23,6)</f>
        <v>6</v>
      </c>
      <c r="F725" s="30"/>
      <c r="G725" s="5"/>
      <c r="H725" s="5"/>
    </row>
    <row r="726" spans="1:8" ht="12" customHeight="1">
      <c r="A726" s="10" t="s">
        <v>1971</v>
      </c>
      <c r="B726" s="112" t="s">
        <v>2879</v>
      </c>
      <c r="C726" s="82">
        <v>1031</v>
      </c>
      <c r="D726" s="43"/>
      <c r="E726" s="29" cm="1">
        <f t="array" ref="E726">_xlfn.IFS(C726=":",":",C726&gt;=N$19,1,C726&gt;=N$20,2,C726&gt;=N$21,3,C726&gt;=N$22,4,C726&gt;=N$23,5,C726&lt;N$23,6)</f>
        <v>5</v>
      </c>
      <c r="F726" s="30"/>
      <c r="G726" s="5"/>
      <c r="H726" s="5"/>
    </row>
    <row r="727" spans="1:8" ht="12" customHeight="1">
      <c r="A727" s="10" t="s">
        <v>1972</v>
      </c>
      <c r="B727" s="112" t="s">
        <v>2880</v>
      </c>
      <c r="C727" s="82">
        <v>531</v>
      </c>
      <c r="D727" s="43"/>
      <c r="E727" s="29" cm="1">
        <f t="array" ref="E727">_xlfn.IFS(C727=":",":",C727&gt;=N$19,1,C727&gt;=N$20,2,C727&gt;=N$21,3,C727&gt;=N$22,4,C727&gt;=N$23,5,C727&lt;N$23,6)</f>
        <v>6</v>
      </c>
      <c r="F727" s="30"/>
      <c r="G727" s="5"/>
      <c r="H727" s="5"/>
    </row>
    <row r="728" spans="1:8" ht="12" customHeight="1">
      <c r="A728" s="10" t="s">
        <v>1973</v>
      </c>
      <c r="B728" s="112" t="s">
        <v>2881</v>
      </c>
      <c r="C728" s="82">
        <v>992</v>
      </c>
      <c r="D728" s="43"/>
      <c r="E728" s="29" cm="1">
        <f t="array" ref="E728">_xlfn.IFS(C728=":",":",C728&gt;=N$19,1,C728&gt;=N$20,2,C728&gt;=N$21,3,C728&gt;=N$22,4,C728&gt;=N$23,5,C728&lt;N$23,6)</f>
        <v>6</v>
      </c>
      <c r="F728" s="30"/>
      <c r="G728" s="5"/>
      <c r="H728" s="5"/>
    </row>
    <row r="729" spans="1:8" ht="12" customHeight="1">
      <c r="A729" s="10" t="s">
        <v>1974</v>
      </c>
      <c r="B729" s="112" t="s">
        <v>2882</v>
      </c>
      <c r="C729" s="82">
        <v>1076</v>
      </c>
      <c r="D729" s="43"/>
      <c r="E729" s="29" cm="1">
        <f t="array" ref="E729">_xlfn.IFS(C729=":",":",C729&gt;=N$19,1,C729&gt;=N$20,2,C729&gt;=N$21,3,C729&gt;=N$22,4,C729&gt;=N$23,5,C729&lt;N$23,6)</f>
        <v>5</v>
      </c>
      <c r="F729" s="30"/>
      <c r="G729" s="5"/>
      <c r="H729" s="5"/>
    </row>
    <row r="730" spans="1:8" ht="12" customHeight="1">
      <c r="A730" s="10" t="s">
        <v>1975</v>
      </c>
      <c r="B730" s="112" t="s">
        <v>2883</v>
      </c>
      <c r="C730" s="82">
        <v>5272</v>
      </c>
      <c r="D730" s="43"/>
      <c r="E730" s="29" cm="1">
        <f t="array" ref="E730">_xlfn.IFS(C730=":",":",C730&gt;=N$19,1,C730&gt;=N$20,2,C730&gt;=N$21,3,C730&gt;=N$22,4,C730&gt;=N$23,5,C730&lt;N$23,6)</f>
        <v>3</v>
      </c>
      <c r="F730" s="30"/>
      <c r="G730" s="5"/>
      <c r="H730" s="5"/>
    </row>
    <row r="731" spans="1:8" ht="12" customHeight="1">
      <c r="A731" s="10" t="s">
        <v>1976</v>
      </c>
      <c r="B731" s="112" t="s">
        <v>2884</v>
      </c>
      <c r="C731" s="82">
        <v>513</v>
      </c>
      <c r="D731" s="43"/>
      <c r="E731" s="29" cm="1">
        <f t="array" ref="E731">_xlfn.IFS(C731=":",":",C731&gt;=N$19,1,C731&gt;=N$20,2,C731&gt;=N$21,3,C731&gt;=N$22,4,C731&gt;=N$23,5,C731&lt;N$23,6)</f>
        <v>6</v>
      </c>
      <c r="F731" s="30"/>
      <c r="G731" s="5"/>
      <c r="H731" s="5"/>
    </row>
    <row r="732" spans="1:8" ht="12" customHeight="1">
      <c r="A732" s="10" t="s">
        <v>1977</v>
      </c>
      <c r="B732" s="112" t="s">
        <v>2885</v>
      </c>
      <c r="C732" s="82">
        <v>55023</v>
      </c>
      <c r="D732" s="43"/>
      <c r="E732" s="29" cm="1">
        <f t="array" ref="E732">_xlfn.IFS(C732=":",":",C732&gt;=N$19,1,C732&gt;=N$20,2,C732&gt;=N$21,3,C732&gt;=N$22,4,C732&gt;=N$23,5,C732&lt;N$23,6)</f>
        <v>1</v>
      </c>
      <c r="F732" s="30"/>
      <c r="G732" s="5"/>
      <c r="H732" s="5"/>
    </row>
    <row r="733" spans="1:8" ht="12" customHeight="1">
      <c r="A733" s="10" t="s">
        <v>1978</v>
      </c>
      <c r="B733" s="112" t="s">
        <v>2886</v>
      </c>
      <c r="C733" s="82">
        <v>67146</v>
      </c>
      <c r="D733" s="43"/>
      <c r="E733" s="29" cm="1">
        <f t="array" ref="E733">_xlfn.IFS(C733=":",":",C733&gt;=N$19,1,C733&gt;=N$20,2,C733&gt;=N$21,3,C733&gt;=N$22,4,C733&gt;=N$23,5,C733&lt;N$23,6)</f>
        <v>1</v>
      </c>
      <c r="F733" s="30"/>
      <c r="G733" s="5"/>
      <c r="H733" s="5"/>
    </row>
    <row r="734" spans="1:8" ht="12" customHeight="1">
      <c r="A734" s="10" t="s">
        <v>1979</v>
      </c>
      <c r="B734" s="112" t="s">
        <v>2887</v>
      </c>
      <c r="C734" s="82">
        <v>62302</v>
      </c>
      <c r="D734" s="43"/>
      <c r="E734" s="29" cm="1">
        <f t="array" ref="E734">_xlfn.IFS(C734=":",":",C734&gt;=N$19,1,C734&gt;=N$20,2,C734&gt;=N$21,3,C734&gt;=N$22,4,C734&gt;=N$23,5,C734&lt;N$23,6)</f>
        <v>1</v>
      </c>
      <c r="F734" s="30"/>
      <c r="G734" s="5"/>
      <c r="H734" s="5"/>
    </row>
    <row r="735" spans="1:8" ht="12" customHeight="1">
      <c r="A735" s="10" t="s">
        <v>1980</v>
      </c>
      <c r="B735" s="112" t="s">
        <v>2888</v>
      </c>
      <c r="C735" s="82">
        <v>52416</v>
      </c>
      <c r="D735" s="43"/>
      <c r="E735" s="29" cm="1">
        <f t="array" ref="E735">_xlfn.IFS(C735=":",":",C735&gt;=N$19,1,C735&gt;=N$20,2,C735&gt;=N$21,3,C735&gt;=N$22,4,C735&gt;=N$23,5,C735&lt;N$23,6)</f>
        <v>1</v>
      </c>
      <c r="F735" s="30"/>
      <c r="G735" s="5"/>
      <c r="H735" s="5"/>
    </row>
    <row r="736" spans="1:8" ht="12" customHeight="1">
      <c r="A736" s="10" t="s">
        <v>1981</v>
      </c>
      <c r="B736" s="112" t="s">
        <v>1982</v>
      </c>
      <c r="C736" s="82">
        <v>40922</v>
      </c>
      <c r="D736" s="43"/>
      <c r="E736" s="29" cm="1">
        <f t="array" ref="E736">_xlfn.IFS(C736=":",":",C736&gt;=N$19,1,C736&gt;=N$20,2,C736&gt;=N$21,3,C736&gt;=N$22,4,C736&gt;=N$23,5,C736&lt;N$23,6)</f>
        <v>1</v>
      </c>
      <c r="F736" s="30"/>
      <c r="G736" s="5"/>
      <c r="H736" s="5"/>
    </row>
    <row r="737" spans="1:8" ht="12" customHeight="1">
      <c r="A737" s="10" t="s">
        <v>1983</v>
      </c>
      <c r="B737" s="112" t="s">
        <v>1984</v>
      </c>
      <c r="C737" s="82">
        <v>132426</v>
      </c>
      <c r="D737" s="43"/>
      <c r="E737" s="29" cm="1">
        <f t="array" ref="E737">_xlfn.IFS(C737=":",":",C737&gt;=N$19,1,C737&gt;=N$20,2,C737&gt;=N$21,3,C737&gt;=N$22,4,C737&gt;=N$23,5,C737&lt;N$23,6)</f>
        <v>1</v>
      </c>
      <c r="F737" s="30"/>
      <c r="G737" s="5"/>
      <c r="H737" s="5"/>
    </row>
    <row r="738" spans="1:8" ht="12" customHeight="1">
      <c r="A738" s="10" t="s">
        <v>1985</v>
      </c>
      <c r="B738" s="112" t="s">
        <v>2889</v>
      </c>
      <c r="C738" s="82">
        <v>67613</v>
      </c>
      <c r="D738" s="43"/>
      <c r="E738" s="29" cm="1">
        <f t="array" ref="E738">_xlfn.IFS(C738=":",":",C738&gt;=N$19,1,C738&gt;=N$20,2,C738&gt;=N$21,3,C738&gt;=N$22,4,C738&gt;=N$23,5,C738&lt;N$23,6)</f>
        <v>1</v>
      </c>
      <c r="F738" s="30"/>
      <c r="G738" s="5"/>
      <c r="H738" s="5"/>
    </row>
    <row r="739" spans="1:8" ht="12" customHeight="1">
      <c r="A739" s="10" t="s">
        <v>1986</v>
      </c>
      <c r="B739" s="112" t="s">
        <v>525</v>
      </c>
      <c r="C739" s="82">
        <v>3272</v>
      </c>
      <c r="D739" s="43"/>
      <c r="E739" s="29" cm="1">
        <f t="array" ref="E739">_xlfn.IFS(C739=":",":",C739&gt;=N$19,1,C739&gt;=N$20,2,C739&gt;=N$21,3,C739&gt;=N$22,4,C739&gt;=N$23,5,C739&lt;N$23,6)</f>
        <v>4</v>
      </c>
      <c r="F739" s="30"/>
      <c r="G739" s="5"/>
      <c r="H739" s="5"/>
    </row>
    <row r="740" spans="1:8" ht="12" customHeight="1">
      <c r="A740" s="10" t="s">
        <v>1987</v>
      </c>
      <c r="B740" s="112" t="s">
        <v>2890</v>
      </c>
      <c r="C740" s="82">
        <v>2069</v>
      </c>
      <c r="D740" s="43"/>
      <c r="E740" s="29" cm="1">
        <f t="array" ref="E740">_xlfn.IFS(C740=":",":",C740&gt;=N$19,1,C740&gt;=N$20,2,C740&gt;=N$21,3,C740&gt;=N$22,4,C740&gt;=N$23,5,C740&lt;N$23,6)</f>
        <v>4</v>
      </c>
      <c r="F740" s="30"/>
      <c r="G740" s="5"/>
      <c r="H740" s="5"/>
    </row>
    <row r="741" spans="1:8" ht="12" customHeight="1">
      <c r="A741" s="10" t="s">
        <v>1988</v>
      </c>
      <c r="B741" s="112" t="s">
        <v>2891</v>
      </c>
      <c r="C741" s="82">
        <v>1544</v>
      </c>
      <c r="D741" s="43"/>
      <c r="E741" s="29" cm="1">
        <f t="array" ref="E741">_xlfn.IFS(C741=":",":",C741&gt;=N$19,1,C741&gt;=N$20,2,C741&gt;=N$21,3,C741&gt;=N$22,4,C741&gt;=N$23,5,C741&lt;N$23,6)</f>
        <v>5</v>
      </c>
      <c r="F741" s="30"/>
      <c r="G741" s="5"/>
      <c r="H741" s="5"/>
    </row>
    <row r="742" spans="1:8" ht="12" customHeight="1">
      <c r="A742" s="10" t="s">
        <v>1989</v>
      </c>
      <c r="B742" s="112" t="s">
        <v>2892</v>
      </c>
      <c r="C742" s="82">
        <v>399</v>
      </c>
      <c r="D742" s="43"/>
      <c r="E742" s="29" cm="1">
        <f t="array" ref="E742">_xlfn.IFS(C742=":",":",C742&gt;=N$19,1,C742&gt;=N$20,2,C742&gt;=N$21,3,C742&gt;=N$22,4,C742&gt;=N$23,5,C742&lt;N$23,6)</f>
        <v>6</v>
      </c>
      <c r="F742" s="30"/>
      <c r="G742" s="5"/>
      <c r="H742" s="5"/>
    </row>
    <row r="743" spans="1:8" ht="12" customHeight="1">
      <c r="A743" s="10" t="s">
        <v>1990</v>
      </c>
      <c r="B743" s="11" t="s">
        <v>2893</v>
      </c>
      <c r="C743" s="82">
        <v>3515</v>
      </c>
      <c r="D743" s="43"/>
      <c r="E743" s="29" cm="1">
        <f t="array" ref="E743">_xlfn.IFS(C743=":",":",C743&gt;=N$19,1,C743&gt;=N$20,2,C743&gt;=N$21,3,C743&gt;=N$22,4,C743&gt;=N$23,5,C743&lt;N$23,6)</f>
        <v>3</v>
      </c>
      <c r="F743" s="30"/>
      <c r="G743" s="5"/>
      <c r="H743" s="5"/>
    </row>
    <row r="744" spans="1:8" ht="12" customHeight="1">
      <c r="A744" s="10" t="s">
        <v>1991</v>
      </c>
      <c r="B744" s="112" t="s">
        <v>2894</v>
      </c>
      <c r="C744" s="82">
        <v>964</v>
      </c>
      <c r="D744" s="43"/>
      <c r="E744" s="29" cm="1">
        <f t="array" ref="E744">_xlfn.IFS(C744=":",":",C744&gt;=N$19,1,C744&gt;=N$20,2,C744&gt;=N$21,3,C744&gt;=N$22,4,C744&gt;=N$23,5,C744&lt;N$23,6)</f>
        <v>6</v>
      </c>
      <c r="F744" s="30"/>
      <c r="G744" s="5"/>
      <c r="H744" s="5"/>
    </row>
    <row r="745" spans="1:8" ht="12" customHeight="1">
      <c r="A745" s="10" t="s">
        <v>1992</v>
      </c>
      <c r="B745" s="112" t="s">
        <v>1993</v>
      </c>
      <c r="C745" s="82">
        <v>2906</v>
      </c>
      <c r="D745" s="43"/>
      <c r="E745" s="29" cm="1">
        <f t="array" ref="E745">_xlfn.IFS(C745=":",":",C745&gt;=N$19,1,C745&gt;=N$20,2,C745&gt;=N$21,3,C745&gt;=N$22,4,C745&gt;=N$23,5,C745&lt;N$23,6)</f>
        <v>4</v>
      </c>
      <c r="F745" s="30"/>
      <c r="G745" s="5"/>
      <c r="H745" s="5"/>
    </row>
    <row r="746" spans="1:8" ht="12" customHeight="1">
      <c r="A746" s="10" t="s">
        <v>1994</v>
      </c>
      <c r="B746" s="112" t="s">
        <v>1995</v>
      </c>
      <c r="C746" s="82">
        <v>2089</v>
      </c>
      <c r="D746" s="43"/>
      <c r="E746" s="29" cm="1">
        <f t="array" ref="E746">_xlfn.IFS(C746=":",":",C746&gt;=N$19,1,C746&gt;=N$20,2,C746&gt;=N$21,3,C746&gt;=N$22,4,C746&gt;=N$23,5,C746&lt;N$23,6)</f>
        <v>4</v>
      </c>
      <c r="F746" s="30"/>
      <c r="G746" s="5"/>
      <c r="H746" s="5"/>
    </row>
    <row r="747" spans="1:8" ht="12" customHeight="1">
      <c r="A747" s="10" t="s">
        <v>1996</v>
      </c>
      <c r="B747" s="112" t="s">
        <v>1997</v>
      </c>
      <c r="C747" s="82">
        <v>1562</v>
      </c>
      <c r="D747" s="43"/>
      <c r="E747" s="29" cm="1">
        <f t="array" ref="E747">_xlfn.IFS(C747=":",":",C747&gt;=N$19,1,C747&gt;=N$20,2,C747&gt;=N$21,3,C747&gt;=N$22,4,C747&gt;=N$23,5,C747&lt;N$23,6)</f>
        <v>5</v>
      </c>
      <c r="F747" s="30"/>
      <c r="G747" s="5"/>
      <c r="H747" s="5"/>
    </row>
    <row r="748" spans="1:8" ht="12" customHeight="1">
      <c r="A748" s="10" t="s">
        <v>1998</v>
      </c>
      <c r="B748" s="112" t="s">
        <v>1999</v>
      </c>
      <c r="C748" s="82">
        <v>19846</v>
      </c>
      <c r="D748" s="43"/>
      <c r="E748" s="29" cm="1">
        <f t="array" ref="E748">_xlfn.IFS(C748=":",":",C748&gt;=N$19,1,C748&gt;=N$20,2,C748&gt;=N$21,3,C748&gt;=N$22,4,C748&gt;=N$23,5,C748&lt;N$23,6)</f>
        <v>1</v>
      </c>
      <c r="F748" s="30"/>
      <c r="G748" s="5"/>
      <c r="H748" s="5"/>
    </row>
    <row r="749" spans="1:8" ht="12" customHeight="1">
      <c r="A749" s="10" t="s">
        <v>2000</v>
      </c>
      <c r="B749" s="112" t="s">
        <v>2001</v>
      </c>
      <c r="C749" s="82">
        <v>3712</v>
      </c>
      <c r="D749" s="43"/>
      <c r="E749" s="29" cm="1">
        <f t="array" ref="E749">_xlfn.IFS(C749=":",":",C749&gt;=N$19,1,C749&gt;=N$20,2,C749&gt;=N$21,3,C749&gt;=N$22,4,C749&gt;=N$23,5,C749&lt;N$23,6)</f>
        <v>3</v>
      </c>
      <c r="F749" s="30"/>
      <c r="G749" s="5"/>
      <c r="H749" s="5"/>
    </row>
    <row r="750" spans="1:8" ht="12" customHeight="1">
      <c r="A750" s="10" t="s">
        <v>2002</v>
      </c>
      <c r="B750" s="112" t="s">
        <v>2003</v>
      </c>
      <c r="C750" s="82">
        <v>3141</v>
      </c>
      <c r="D750" s="43"/>
      <c r="E750" s="29" cm="1">
        <f t="array" ref="E750">_xlfn.IFS(C750=":",":",C750&gt;=N$19,1,C750&gt;=N$20,2,C750&gt;=N$21,3,C750&gt;=N$22,4,C750&gt;=N$23,5,C750&lt;N$23,6)</f>
        <v>4</v>
      </c>
      <c r="F750" s="30"/>
      <c r="G750" s="5"/>
      <c r="H750" s="5"/>
    </row>
    <row r="751" spans="1:8" ht="12" customHeight="1">
      <c r="A751" s="10" t="s">
        <v>2004</v>
      </c>
      <c r="B751" s="112" t="s">
        <v>2005</v>
      </c>
      <c r="C751" s="82">
        <v>1883</v>
      </c>
      <c r="D751" s="43"/>
      <c r="E751" s="29" cm="1">
        <f t="array" ref="E751">_xlfn.IFS(C751=":",":",C751&gt;=N$19,1,C751&gt;=N$20,2,C751&gt;=N$21,3,C751&gt;=N$22,4,C751&gt;=N$23,5,C751&lt;N$23,6)</f>
        <v>5</v>
      </c>
      <c r="F751" s="30"/>
      <c r="G751" s="5"/>
      <c r="H751" s="5"/>
    </row>
    <row r="752" spans="1:8" ht="12" customHeight="1">
      <c r="A752" s="10" t="s">
        <v>2006</v>
      </c>
      <c r="B752" s="112" t="s">
        <v>2007</v>
      </c>
      <c r="C752" s="82">
        <v>1683</v>
      </c>
      <c r="D752" s="43"/>
      <c r="E752" s="29" cm="1">
        <f t="array" ref="E752">_xlfn.IFS(C752=":",":",C752&gt;=N$19,1,C752&gt;=N$20,2,C752&gt;=N$21,3,C752&gt;=N$22,4,C752&gt;=N$23,5,C752&lt;N$23,6)</f>
        <v>5</v>
      </c>
      <c r="F752" s="30"/>
      <c r="G752" s="5"/>
      <c r="H752" s="5"/>
    </row>
    <row r="753" spans="1:8" ht="12" customHeight="1">
      <c r="A753" s="10" t="s">
        <v>2008</v>
      </c>
      <c r="B753" s="112" t="s">
        <v>528</v>
      </c>
      <c r="C753" s="82">
        <v>29777</v>
      </c>
      <c r="D753" s="43"/>
      <c r="E753" s="29" cm="1">
        <f t="array" ref="E753">_xlfn.IFS(C753=":",":",C753&gt;=N$19,1,C753&gt;=N$20,2,C753&gt;=N$21,3,C753&gt;=N$22,4,C753&gt;=N$23,5,C753&lt;N$23,6)</f>
        <v>1</v>
      </c>
      <c r="F753" s="30"/>
      <c r="G753" s="5"/>
      <c r="H753" s="5"/>
    </row>
    <row r="754" spans="1:8" ht="12" customHeight="1">
      <c r="A754" s="10" t="s">
        <v>2009</v>
      </c>
      <c r="B754" s="112" t="s">
        <v>2010</v>
      </c>
      <c r="C754" s="82">
        <v>16179</v>
      </c>
      <c r="D754" s="43"/>
      <c r="E754" s="29" cm="1">
        <f t="array" ref="E754">_xlfn.IFS(C754=":",":",C754&gt;=N$19,1,C754&gt;=N$20,2,C754&gt;=N$21,3,C754&gt;=N$22,4,C754&gt;=N$23,5,C754&lt;N$23,6)</f>
        <v>1</v>
      </c>
      <c r="F754" s="30"/>
      <c r="G754" s="5"/>
      <c r="H754" s="5"/>
    </row>
    <row r="755" spans="1:8" ht="12" customHeight="1">
      <c r="A755" s="10" t="s">
        <v>2011</v>
      </c>
      <c r="B755" s="112" t="s">
        <v>2012</v>
      </c>
      <c r="C755" s="82">
        <v>19242</v>
      </c>
      <c r="D755" s="43"/>
      <c r="E755" s="29" cm="1">
        <f t="array" ref="E755">_xlfn.IFS(C755=":",":",C755&gt;=N$19,1,C755&gt;=N$20,2,C755&gt;=N$21,3,C755&gt;=N$22,4,C755&gt;=N$23,5,C755&lt;N$23,6)</f>
        <v>1</v>
      </c>
      <c r="F755" s="30"/>
      <c r="G755" s="5"/>
      <c r="H755" s="5"/>
    </row>
    <row r="756" spans="1:8" ht="12" customHeight="1">
      <c r="A756" s="10" t="s">
        <v>2013</v>
      </c>
      <c r="B756" s="112" t="s">
        <v>2014</v>
      </c>
      <c r="C756" s="82">
        <v>5582</v>
      </c>
      <c r="D756" s="43"/>
      <c r="E756" s="29" cm="1">
        <f t="array" ref="E756">_xlfn.IFS(C756=":",":",C756&gt;=N$19,1,C756&gt;=N$20,2,C756&gt;=N$21,3,C756&gt;=N$22,4,C756&gt;=N$23,5,C756&lt;N$23,6)</f>
        <v>3</v>
      </c>
      <c r="F756" s="30"/>
      <c r="G756" s="5"/>
      <c r="H756" s="5"/>
    </row>
    <row r="757" spans="1:8" ht="12" customHeight="1">
      <c r="A757" s="10" t="s">
        <v>2015</v>
      </c>
      <c r="B757" s="112" t="s">
        <v>2016</v>
      </c>
      <c r="C757" s="82">
        <v>13690</v>
      </c>
      <c r="D757" s="43"/>
      <c r="E757" s="29" cm="1">
        <f t="array" ref="E757">_xlfn.IFS(C757=":",":",C757&gt;=N$19,1,C757&gt;=N$20,2,C757&gt;=N$21,3,C757&gt;=N$22,4,C757&gt;=N$23,5,C757&lt;N$23,6)</f>
        <v>2</v>
      </c>
      <c r="F757" s="30"/>
      <c r="G757" s="5"/>
      <c r="H757" s="5"/>
    </row>
    <row r="758" spans="1:8" ht="12" customHeight="1">
      <c r="A758" s="10" t="s">
        <v>2017</v>
      </c>
      <c r="B758" s="112" t="s">
        <v>2018</v>
      </c>
      <c r="C758" s="82">
        <v>2891</v>
      </c>
      <c r="D758" s="43"/>
      <c r="E758" s="29" cm="1">
        <f t="array" ref="E758">_xlfn.IFS(C758=":",":",C758&gt;=N$19,1,C758&gt;=N$20,2,C758&gt;=N$21,3,C758&gt;=N$22,4,C758&gt;=N$23,5,C758&lt;N$23,6)</f>
        <v>4</v>
      </c>
      <c r="F758" s="30"/>
      <c r="G758" s="5"/>
      <c r="H758" s="5"/>
    </row>
    <row r="759" spans="1:8" ht="12" customHeight="1">
      <c r="A759" s="10" t="s">
        <v>2019</v>
      </c>
      <c r="B759" s="112" t="s">
        <v>2020</v>
      </c>
      <c r="C759" s="82">
        <v>5888</v>
      </c>
      <c r="D759" s="43"/>
      <c r="E759" s="29" cm="1">
        <f t="array" ref="E759">_xlfn.IFS(C759=":",":",C759&gt;=N$19,1,C759&gt;=N$20,2,C759&gt;=N$21,3,C759&gt;=N$22,4,C759&gt;=N$23,5,C759&lt;N$23,6)</f>
        <v>3</v>
      </c>
      <c r="F759" s="30"/>
      <c r="G759" s="5"/>
      <c r="H759" s="5"/>
    </row>
    <row r="760" spans="1:8" ht="12" customHeight="1">
      <c r="A760" s="10" t="s">
        <v>2021</v>
      </c>
      <c r="B760" s="112" t="s">
        <v>2022</v>
      </c>
      <c r="C760" s="82">
        <v>2565</v>
      </c>
      <c r="D760" s="43"/>
      <c r="E760" s="29" cm="1">
        <f t="array" ref="E760">_xlfn.IFS(C760=":",":",C760&gt;=N$19,1,C760&gt;=N$20,2,C760&gt;=N$21,3,C760&gt;=N$22,4,C760&gt;=N$23,5,C760&lt;N$23,6)</f>
        <v>4</v>
      </c>
      <c r="F760" s="30"/>
      <c r="G760" s="5"/>
      <c r="H760" s="5"/>
    </row>
    <row r="761" spans="1:8" ht="12" customHeight="1">
      <c r="A761" s="10" t="s">
        <v>2023</v>
      </c>
      <c r="B761" s="112" t="s">
        <v>2024</v>
      </c>
      <c r="C761" s="82">
        <v>20323</v>
      </c>
      <c r="D761" s="43"/>
      <c r="E761" s="29" cm="1">
        <f t="array" ref="E761">_xlfn.IFS(C761=":",":",C761&gt;=N$19,1,C761&gt;=N$20,2,C761&gt;=N$21,3,C761&gt;=N$22,4,C761&gt;=N$23,5,C761&lt;N$23,6)</f>
        <v>1</v>
      </c>
      <c r="F761" s="30"/>
      <c r="G761" s="5"/>
      <c r="H761" s="5"/>
    </row>
    <row r="762" spans="1:8" ht="12" customHeight="1">
      <c r="A762" s="10" t="s">
        <v>2025</v>
      </c>
      <c r="B762" s="112" t="s">
        <v>2026</v>
      </c>
      <c r="C762" s="82">
        <v>2390</v>
      </c>
      <c r="D762" s="43"/>
      <c r="E762" s="29" cm="1">
        <f t="array" ref="E762">_xlfn.IFS(C762=":",":",C762&gt;=N$19,1,C762&gt;=N$20,2,C762&gt;=N$21,3,C762&gt;=N$22,4,C762&gt;=N$23,5,C762&lt;N$23,6)</f>
        <v>4</v>
      </c>
      <c r="F762" s="30"/>
      <c r="G762" s="5"/>
      <c r="H762" s="5"/>
    </row>
    <row r="763" spans="1:8" ht="12" customHeight="1">
      <c r="A763" s="10" t="s">
        <v>2027</v>
      </c>
      <c r="B763" s="112" t="s">
        <v>2028</v>
      </c>
      <c r="C763" s="82">
        <v>8815</v>
      </c>
      <c r="D763" s="43"/>
      <c r="E763" s="29" cm="1">
        <f t="array" ref="E763">_xlfn.IFS(C763=":",":",C763&gt;=N$19,1,C763&gt;=N$20,2,C763&gt;=N$21,3,C763&gt;=N$22,4,C763&gt;=N$23,5,C763&lt;N$23,6)</f>
        <v>2</v>
      </c>
      <c r="F763" s="30"/>
      <c r="G763" s="5"/>
      <c r="H763" s="5"/>
    </row>
    <row r="764" spans="1:8" ht="12" customHeight="1">
      <c r="A764" s="10" t="s">
        <v>2029</v>
      </c>
      <c r="B764" s="112" t="s">
        <v>2030</v>
      </c>
      <c r="C764" s="82">
        <v>958</v>
      </c>
      <c r="D764" s="43"/>
      <c r="E764" s="29" cm="1">
        <f t="array" ref="E764">_xlfn.IFS(C764=":",":",C764&gt;=N$19,1,C764&gt;=N$20,2,C764&gt;=N$21,3,C764&gt;=N$22,4,C764&gt;=N$23,5,C764&lt;N$23,6)</f>
        <v>6</v>
      </c>
      <c r="F764" s="30"/>
      <c r="G764" s="5"/>
      <c r="H764" s="5"/>
    </row>
    <row r="765" spans="1:8" ht="12" customHeight="1">
      <c r="A765" s="10" t="s">
        <v>2031</v>
      </c>
      <c r="B765" s="112" t="s">
        <v>2032</v>
      </c>
      <c r="C765" s="82">
        <v>810</v>
      </c>
      <c r="D765" s="43"/>
      <c r="E765" s="29" cm="1">
        <f t="array" ref="E765">_xlfn.IFS(C765=":",":",C765&gt;=N$19,1,C765&gt;=N$20,2,C765&gt;=N$21,3,C765&gt;=N$22,4,C765&gt;=N$23,5,C765&lt;N$23,6)</f>
        <v>6</v>
      </c>
      <c r="F765" s="30"/>
      <c r="G765" s="5"/>
      <c r="H765" s="5"/>
    </row>
    <row r="766" spans="1:8" ht="12" customHeight="1">
      <c r="A766" s="10" t="s">
        <v>2033</v>
      </c>
      <c r="B766" s="112" t="s">
        <v>2034</v>
      </c>
      <c r="C766" s="82">
        <v>1188</v>
      </c>
      <c r="D766" s="43"/>
      <c r="E766" s="29" cm="1">
        <f t="array" ref="E766">_xlfn.IFS(C766=":",":",C766&gt;=N$19,1,C766&gt;=N$20,2,C766&gt;=N$21,3,C766&gt;=N$22,4,C766&gt;=N$23,5,C766&lt;N$23,6)</f>
        <v>5</v>
      </c>
      <c r="F766" s="30"/>
      <c r="G766" s="5"/>
      <c r="H766" s="5"/>
    </row>
    <row r="767" spans="1:8" ht="12" customHeight="1">
      <c r="A767" s="10" t="s">
        <v>2035</v>
      </c>
      <c r="B767" s="112" t="s">
        <v>2036</v>
      </c>
      <c r="C767" s="82">
        <v>1745</v>
      </c>
      <c r="D767" s="43"/>
      <c r="E767" s="29" cm="1">
        <f t="array" ref="E767">_xlfn.IFS(C767=":",":",C767&gt;=N$19,1,C767&gt;=N$20,2,C767&gt;=N$21,3,C767&gt;=N$22,4,C767&gt;=N$23,5,C767&lt;N$23,6)</f>
        <v>5</v>
      </c>
      <c r="F767" s="30"/>
      <c r="G767" s="5"/>
      <c r="H767" s="5"/>
    </row>
    <row r="768" spans="1:8" ht="12" customHeight="1">
      <c r="A768" s="10" t="s">
        <v>2037</v>
      </c>
      <c r="B768" s="112" t="s">
        <v>2038</v>
      </c>
      <c r="C768" s="82">
        <v>5556</v>
      </c>
      <c r="D768" s="43"/>
      <c r="E768" s="29" cm="1">
        <f t="array" ref="E768">_xlfn.IFS(C768=":",":",C768&gt;=N$19,1,C768&gt;=N$20,2,C768&gt;=N$21,3,C768&gt;=N$22,4,C768&gt;=N$23,5,C768&lt;N$23,6)</f>
        <v>3</v>
      </c>
      <c r="F768" s="30"/>
      <c r="G768" s="5"/>
      <c r="H768" s="5"/>
    </row>
    <row r="769" spans="1:8" ht="12" customHeight="1">
      <c r="A769" s="10" t="s">
        <v>2039</v>
      </c>
      <c r="B769" s="112" t="s">
        <v>2040</v>
      </c>
      <c r="C769" s="82">
        <v>1198</v>
      </c>
      <c r="D769" s="43"/>
      <c r="E769" s="29" cm="1">
        <f t="array" ref="E769">_xlfn.IFS(C769=":",":",C769&gt;=N$19,1,C769&gt;=N$20,2,C769&gt;=N$21,3,C769&gt;=N$22,4,C769&gt;=N$23,5,C769&lt;N$23,6)</f>
        <v>5</v>
      </c>
      <c r="F769" s="30"/>
      <c r="G769" s="5"/>
      <c r="H769" s="5"/>
    </row>
    <row r="770" spans="1:8" ht="12" customHeight="1">
      <c r="A770" s="10" t="s">
        <v>2041</v>
      </c>
      <c r="B770" s="112" t="s">
        <v>2895</v>
      </c>
      <c r="C770" s="82">
        <v>4526</v>
      </c>
      <c r="D770" s="43"/>
      <c r="E770" s="29" cm="1">
        <f t="array" ref="E770">_xlfn.IFS(C770=":",":",C770&gt;=N$19,1,C770&gt;=N$20,2,C770&gt;=N$21,3,C770&gt;=N$22,4,C770&gt;=N$23,5,C770&lt;N$23,6)</f>
        <v>3</v>
      </c>
      <c r="F770" s="30"/>
      <c r="G770" s="5"/>
      <c r="H770" s="5"/>
    </row>
    <row r="771" spans="1:8" ht="12" customHeight="1">
      <c r="A771" s="10" t="s">
        <v>2042</v>
      </c>
      <c r="B771" s="112" t="s">
        <v>2043</v>
      </c>
      <c r="C771" s="82">
        <v>10881</v>
      </c>
      <c r="D771" s="43"/>
      <c r="E771" s="29" cm="1">
        <f t="array" ref="E771">_xlfn.IFS(C771=":",":",C771&gt;=N$19,1,C771&gt;=N$20,2,C771&gt;=N$21,3,C771&gt;=N$22,4,C771&gt;=N$23,5,C771&lt;N$23,6)</f>
        <v>2</v>
      </c>
      <c r="F771" s="30"/>
      <c r="G771" s="5"/>
      <c r="H771" s="5"/>
    </row>
    <row r="772" spans="1:8" ht="12" customHeight="1">
      <c r="A772" s="10" t="s">
        <v>2044</v>
      </c>
      <c r="B772" s="112" t="s">
        <v>2045</v>
      </c>
      <c r="C772" s="82">
        <v>4289</v>
      </c>
      <c r="D772" s="43"/>
      <c r="E772" s="29" cm="1">
        <f t="array" ref="E772">_xlfn.IFS(C772=":",":",C772&gt;=N$19,1,C772&gt;=N$20,2,C772&gt;=N$21,3,C772&gt;=N$22,4,C772&gt;=N$23,5,C772&lt;N$23,6)</f>
        <v>3</v>
      </c>
      <c r="F772" s="30"/>
      <c r="G772" s="5"/>
      <c r="H772" s="5"/>
    </row>
    <row r="773" spans="1:8" ht="12" customHeight="1">
      <c r="A773" s="10" t="s">
        <v>2046</v>
      </c>
      <c r="B773" s="112" t="s">
        <v>2047</v>
      </c>
      <c r="C773" s="82">
        <v>3298</v>
      </c>
      <c r="D773" s="43"/>
      <c r="E773" s="29" cm="1">
        <f t="array" ref="E773">_xlfn.IFS(C773=":",":",C773&gt;=N$19,1,C773&gt;=N$20,2,C773&gt;=N$21,3,C773&gt;=N$22,4,C773&gt;=N$23,5,C773&lt;N$23,6)</f>
        <v>4</v>
      </c>
      <c r="F773" s="30"/>
      <c r="G773" s="5"/>
      <c r="H773" s="5"/>
    </row>
    <row r="774" spans="1:8" ht="12" customHeight="1">
      <c r="A774" s="10" t="s">
        <v>2048</v>
      </c>
      <c r="B774" s="112" t="s">
        <v>2049</v>
      </c>
      <c r="C774" s="82">
        <v>953</v>
      </c>
      <c r="D774" s="43"/>
      <c r="E774" s="29" cm="1">
        <f t="array" ref="E774">_xlfn.IFS(C774=":",":",C774&gt;=N$19,1,C774&gt;=N$20,2,C774&gt;=N$21,3,C774&gt;=N$22,4,C774&gt;=N$23,5,C774&lt;N$23,6)</f>
        <v>6</v>
      </c>
      <c r="F774" s="30"/>
      <c r="G774" s="5"/>
      <c r="H774" s="5"/>
    </row>
    <row r="775" spans="1:8" ht="12" customHeight="1">
      <c r="A775" s="10" t="s">
        <v>2050</v>
      </c>
      <c r="B775" s="112" t="s">
        <v>2051</v>
      </c>
      <c r="C775" s="82">
        <v>1779</v>
      </c>
      <c r="D775" s="43"/>
      <c r="E775" s="29" cm="1">
        <f t="array" ref="E775">_xlfn.IFS(C775=":",":",C775&gt;=N$19,1,C775&gt;=N$20,2,C775&gt;=N$21,3,C775&gt;=N$22,4,C775&gt;=N$23,5,C775&lt;N$23,6)</f>
        <v>5</v>
      </c>
      <c r="F775" s="30"/>
      <c r="G775" s="5"/>
      <c r="H775" s="5"/>
    </row>
    <row r="776" spans="1:8" ht="12" customHeight="1">
      <c r="A776" s="10" t="s">
        <v>2052</v>
      </c>
      <c r="B776" s="112" t="s">
        <v>2053</v>
      </c>
      <c r="C776" s="82">
        <v>1522</v>
      </c>
      <c r="D776" s="43"/>
      <c r="E776" s="29" cm="1">
        <f t="array" ref="E776">_xlfn.IFS(C776=":",":",C776&gt;=N$19,1,C776&gt;=N$20,2,C776&gt;=N$21,3,C776&gt;=N$22,4,C776&gt;=N$23,5,C776&lt;N$23,6)</f>
        <v>5</v>
      </c>
      <c r="F776" s="30"/>
      <c r="G776" s="5"/>
      <c r="H776" s="5"/>
    </row>
    <row r="777" spans="1:8" ht="12" customHeight="1">
      <c r="A777" s="10" t="s">
        <v>2054</v>
      </c>
      <c r="B777" s="112" t="s">
        <v>2055</v>
      </c>
      <c r="C777" s="82">
        <v>488</v>
      </c>
      <c r="D777" s="43"/>
      <c r="E777" s="29" cm="1">
        <f t="array" ref="E777">_xlfn.IFS(C777=":",":",C777&gt;=N$19,1,C777&gt;=N$20,2,C777&gt;=N$21,3,C777&gt;=N$22,4,C777&gt;=N$23,5,C777&lt;N$23,6)</f>
        <v>6</v>
      </c>
      <c r="F777" s="30"/>
      <c r="G777" s="5"/>
      <c r="H777" s="5"/>
    </row>
    <row r="778" spans="1:8" ht="12" customHeight="1">
      <c r="A778" s="10" t="s">
        <v>2056</v>
      </c>
      <c r="B778" s="112" t="s">
        <v>2057</v>
      </c>
      <c r="C778" s="82">
        <v>4817</v>
      </c>
      <c r="D778" s="43"/>
      <c r="E778" s="29" cm="1">
        <f t="array" ref="E778">_xlfn.IFS(C778=":",":",C778&gt;=N$19,1,C778&gt;=N$20,2,C778&gt;=N$21,3,C778&gt;=N$22,4,C778&gt;=N$23,5,C778&lt;N$23,6)</f>
        <v>3</v>
      </c>
      <c r="F778" s="30"/>
      <c r="G778" s="5"/>
      <c r="H778" s="5"/>
    </row>
    <row r="779" spans="1:8" ht="12" customHeight="1">
      <c r="A779" s="10" t="s">
        <v>2058</v>
      </c>
      <c r="B779" s="112" t="s">
        <v>2059</v>
      </c>
      <c r="C779" s="82">
        <v>754</v>
      </c>
      <c r="D779" s="43"/>
      <c r="E779" s="29" cm="1">
        <f t="array" ref="E779">_xlfn.IFS(C779=":",":",C779&gt;=N$19,1,C779&gt;=N$20,2,C779&gt;=N$21,3,C779&gt;=N$22,4,C779&gt;=N$23,5,C779&lt;N$23,6)</f>
        <v>6</v>
      </c>
      <c r="F779" s="30"/>
      <c r="G779" s="5"/>
      <c r="H779" s="5"/>
    </row>
    <row r="780" spans="1:8" ht="12" customHeight="1">
      <c r="A780" s="10" t="s">
        <v>2060</v>
      </c>
      <c r="B780" s="112" t="s">
        <v>2061</v>
      </c>
      <c r="C780" s="82">
        <v>4855</v>
      </c>
      <c r="D780" s="43"/>
      <c r="E780" s="29" cm="1">
        <f t="array" ref="E780">_xlfn.IFS(C780=":",":",C780&gt;=N$19,1,C780&gt;=N$20,2,C780&gt;=N$21,3,C780&gt;=N$22,4,C780&gt;=N$23,5,C780&lt;N$23,6)</f>
        <v>3</v>
      </c>
      <c r="F780" s="30"/>
      <c r="G780" s="5"/>
      <c r="H780" s="5"/>
    </row>
    <row r="781" spans="1:8" ht="12" customHeight="1">
      <c r="A781" s="10" t="s">
        <v>2062</v>
      </c>
      <c r="B781" s="112" t="s">
        <v>2063</v>
      </c>
      <c r="C781" s="82">
        <v>2229</v>
      </c>
      <c r="D781" s="43"/>
      <c r="E781" s="29" cm="1">
        <f t="array" ref="E781">_xlfn.IFS(C781=":",":",C781&gt;=N$19,1,C781&gt;=N$20,2,C781&gt;=N$21,3,C781&gt;=N$22,4,C781&gt;=N$23,5,C781&lt;N$23,6)</f>
        <v>4</v>
      </c>
      <c r="F781" s="30"/>
      <c r="G781" s="5"/>
      <c r="H781" s="5"/>
    </row>
    <row r="782" spans="1:8" ht="12" customHeight="1">
      <c r="A782" s="10" t="s">
        <v>2064</v>
      </c>
      <c r="B782" s="112" t="s">
        <v>2065</v>
      </c>
      <c r="C782" s="82">
        <v>6244</v>
      </c>
      <c r="D782" s="43"/>
      <c r="E782" s="29" cm="1">
        <f t="array" ref="E782">_xlfn.IFS(C782=":",":",C782&gt;=N$19,1,C782&gt;=N$20,2,C782&gt;=N$21,3,C782&gt;=N$22,4,C782&gt;=N$23,5,C782&lt;N$23,6)</f>
        <v>3</v>
      </c>
      <c r="F782" s="30"/>
      <c r="G782" s="5"/>
      <c r="H782" s="5"/>
    </row>
    <row r="783" spans="1:8" ht="12" customHeight="1">
      <c r="A783" s="10" t="s">
        <v>2066</v>
      </c>
      <c r="B783" s="112" t="s">
        <v>2067</v>
      </c>
      <c r="C783" s="82">
        <v>7473</v>
      </c>
      <c r="D783" s="43"/>
      <c r="E783" s="29" cm="1">
        <f t="array" ref="E783">_xlfn.IFS(C783=":",":",C783&gt;=N$19,1,C783&gt;=N$20,2,C783&gt;=N$21,3,C783&gt;=N$22,4,C783&gt;=N$23,5,C783&lt;N$23,6)</f>
        <v>3</v>
      </c>
      <c r="F783" s="30"/>
      <c r="G783" s="5"/>
      <c r="H783" s="5"/>
    </row>
    <row r="784" spans="1:8" ht="12" customHeight="1">
      <c r="A784" s="10" t="s">
        <v>2068</v>
      </c>
      <c r="B784" s="112" t="s">
        <v>2069</v>
      </c>
      <c r="C784" s="82">
        <v>7316</v>
      </c>
      <c r="D784" s="43"/>
      <c r="E784" s="29" cm="1">
        <f t="array" ref="E784">_xlfn.IFS(C784=":",":",C784&gt;=N$19,1,C784&gt;=N$20,2,C784&gt;=N$21,3,C784&gt;=N$22,4,C784&gt;=N$23,5,C784&lt;N$23,6)</f>
        <v>3</v>
      </c>
      <c r="F784" s="30"/>
      <c r="G784" s="5"/>
      <c r="H784" s="5"/>
    </row>
    <row r="785" spans="1:8" ht="12" customHeight="1">
      <c r="A785" s="10" t="s">
        <v>2070</v>
      </c>
      <c r="B785" s="112" t="s">
        <v>2071</v>
      </c>
      <c r="C785" s="82">
        <v>2936</v>
      </c>
      <c r="D785" s="43"/>
      <c r="E785" s="29" cm="1">
        <f t="array" ref="E785">_xlfn.IFS(C785=":",":",C785&gt;=N$19,1,C785&gt;=N$20,2,C785&gt;=N$21,3,C785&gt;=N$22,4,C785&gt;=N$23,5,C785&lt;N$23,6)</f>
        <v>4</v>
      </c>
      <c r="F785" s="30"/>
      <c r="G785" s="5"/>
      <c r="H785" s="5"/>
    </row>
    <row r="786" spans="1:8" ht="12" customHeight="1">
      <c r="A786" s="10" t="s">
        <v>2072</v>
      </c>
      <c r="B786" s="112" t="s">
        <v>2073</v>
      </c>
      <c r="C786" s="82">
        <v>1146</v>
      </c>
      <c r="D786" s="43"/>
      <c r="E786" s="29" cm="1">
        <f t="array" ref="E786">_xlfn.IFS(C786=":",":",C786&gt;=N$19,1,C786&gt;=N$20,2,C786&gt;=N$21,3,C786&gt;=N$22,4,C786&gt;=N$23,5,C786&lt;N$23,6)</f>
        <v>5</v>
      </c>
      <c r="F786" s="30"/>
      <c r="G786" s="5"/>
      <c r="H786" s="5"/>
    </row>
    <row r="787" spans="1:8" ht="12" customHeight="1">
      <c r="A787" s="10" t="s">
        <v>2074</v>
      </c>
      <c r="B787" s="112" t="s">
        <v>2075</v>
      </c>
      <c r="C787" s="82">
        <v>1842</v>
      </c>
      <c r="D787" s="43"/>
      <c r="E787" s="29" cm="1">
        <f t="array" ref="E787">_xlfn.IFS(C787=":",":",C787&gt;=N$19,1,C787&gt;=N$20,2,C787&gt;=N$21,3,C787&gt;=N$22,4,C787&gt;=N$23,5,C787&lt;N$23,6)</f>
        <v>5</v>
      </c>
      <c r="F787" s="30"/>
      <c r="G787" s="5"/>
      <c r="H787" s="5"/>
    </row>
    <row r="788" spans="1:8" ht="12" customHeight="1">
      <c r="A788" s="10" t="s">
        <v>2076</v>
      </c>
      <c r="B788" s="112" t="s">
        <v>2077</v>
      </c>
      <c r="C788" s="82">
        <v>9667</v>
      </c>
      <c r="D788" s="43"/>
      <c r="E788" s="29" cm="1">
        <f t="array" ref="E788">_xlfn.IFS(C788=":",":",C788&gt;=N$19,1,C788&gt;=N$20,2,C788&gt;=N$21,3,C788&gt;=N$22,4,C788&gt;=N$23,5,C788&lt;N$23,6)</f>
        <v>2</v>
      </c>
      <c r="F788" s="30"/>
      <c r="G788" s="5"/>
      <c r="H788" s="5"/>
    </row>
    <row r="789" spans="1:8" ht="12" customHeight="1">
      <c r="A789" s="10" t="s">
        <v>2078</v>
      </c>
      <c r="B789" s="112" t="s">
        <v>2079</v>
      </c>
      <c r="C789" s="82">
        <v>4924</v>
      </c>
      <c r="D789" s="43"/>
      <c r="E789" s="29" cm="1">
        <f t="array" ref="E789">_xlfn.IFS(C789=":",":",C789&gt;=N$19,1,C789&gt;=N$20,2,C789&gt;=N$21,3,C789&gt;=N$22,4,C789&gt;=N$23,5,C789&lt;N$23,6)</f>
        <v>3</v>
      </c>
      <c r="F789" s="30"/>
      <c r="G789" s="5"/>
      <c r="H789" s="5"/>
    </row>
    <row r="790" spans="1:8" ht="12" customHeight="1">
      <c r="A790" s="10" t="s">
        <v>2080</v>
      </c>
      <c r="B790" s="112" t="s">
        <v>2081</v>
      </c>
      <c r="C790" s="82">
        <v>4084</v>
      </c>
      <c r="D790" s="43"/>
      <c r="E790" s="29" cm="1">
        <f t="array" ref="E790">_xlfn.IFS(C790=":",":",C790&gt;=N$19,1,C790&gt;=N$20,2,C790&gt;=N$21,3,C790&gt;=N$22,4,C790&gt;=N$23,5,C790&lt;N$23,6)</f>
        <v>3</v>
      </c>
      <c r="F790" s="30"/>
      <c r="G790" s="5"/>
      <c r="H790" s="5"/>
    </row>
    <row r="791" spans="1:8" ht="12" customHeight="1">
      <c r="A791" s="10" t="s">
        <v>2082</v>
      </c>
      <c r="B791" s="112" t="s">
        <v>2083</v>
      </c>
      <c r="C791" s="82">
        <v>3452</v>
      </c>
      <c r="D791" s="43"/>
      <c r="E791" s="29" cm="1">
        <f t="array" ref="E791">_xlfn.IFS(C791=":",":",C791&gt;=N$19,1,C791&gt;=N$20,2,C791&gt;=N$21,3,C791&gt;=N$22,4,C791&gt;=N$23,5,C791&lt;N$23,6)</f>
        <v>4</v>
      </c>
      <c r="F791" s="30"/>
      <c r="G791" s="5"/>
      <c r="H791" s="5"/>
    </row>
    <row r="792" spans="1:8" ht="12" customHeight="1">
      <c r="A792" s="10" t="s">
        <v>2084</v>
      </c>
      <c r="B792" s="112" t="s">
        <v>2085</v>
      </c>
      <c r="C792" s="82">
        <v>16188</v>
      </c>
      <c r="D792" s="43"/>
      <c r="E792" s="29" cm="1">
        <f t="array" ref="E792">_xlfn.IFS(C792=":",":",C792&gt;=N$19,1,C792&gt;=N$20,2,C792&gt;=N$21,3,C792&gt;=N$22,4,C792&gt;=N$23,5,C792&lt;N$23,6)</f>
        <v>1</v>
      </c>
      <c r="F792" s="30"/>
      <c r="G792" s="5"/>
      <c r="H792" s="5"/>
    </row>
    <row r="793" spans="1:8" ht="12" customHeight="1">
      <c r="A793" s="16" t="s">
        <v>2086</v>
      </c>
      <c r="B793" s="11" t="s">
        <v>3022</v>
      </c>
      <c r="C793" s="82">
        <v>939</v>
      </c>
      <c r="D793" s="43"/>
      <c r="E793" s="29" cm="1">
        <f t="array" ref="E793">_xlfn.IFS(C793=":",":",C793&gt;=N$19,1,C793&gt;=N$20,2,C793&gt;=N$21,3,C793&gt;=N$22,4,C793&gt;=N$23,5,C793&lt;N$23,6)</f>
        <v>6</v>
      </c>
      <c r="F793" s="30"/>
      <c r="G793" s="5"/>
      <c r="H793" s="5"/>
    </row>
    <row r="794" spans="1:8" ht="12" customHeight="1">
      <c r="A794" s="10" t="s">
        <v>2087</v>
      </c>
      <c r="B794" s="112" t="s">
        <v>2088</v>
      </c>
      <c r="C794" s="82">
        <v>6084</v>
      </c>
      <c r="D794" s="43"/>
      <c r="E794" s="29" cm="1">
        <f t="array" ref="E794">_xlfn.IFS(C794=":",":",C794&gt;=N$19,1,C794&gt;=N$20,2,C794&gt;=N$21,3,C794&gt;=N$22,4,C794&gt;=N$23,5,C794&lt;N$23,6)</f>
        <v>3</v>
      </c>
      <c r="F794" s="30"/>
      <c r="G794" s="5"/>
      <c r="H794" s="5"/>
    </row>
    <row r="795" spans="1:8" ht="12" customHeight="1">
      <c r="A795" s="10" t="s">
        <v>2089</v>
      </c>
      <c r="B795" s="112" t="s">
        <v>2090</v>
      </c>
      <c r="C795" s="82">
        <v>3544</v>
      </c>
      <c r="D795" s="43"/>
      <c r="E795" s="29" cm="1">
        <f t="array" ref="E795">_xlfn.IFS(C795=":",":",C795&gt;=N$19,1,C795&gt;=N$20,2,C795&gt;=N$21,3,C795&gt;=N$22,4,C795&gt;=N$23,5,C795&lt;N$23,6)</f>
        <v>3</v>
      </c>
      <c r="F795" s="30"/>
      <c r="G795" s="5"/>
      <c r="H795" s="5"/>
    </row>
    <row r="796" spans="1:8" ht="12" customHeight="1">
      <c r="A796" s="10" t="s">
        <v>2091</v>
      </c>
      <c r="B796" s="112" t="s">
        <v>2092</v>
      </c>
      <c r="C796" s="82">
        <v>6609</v>
      </c>
      <c r="D796" s="43"/>
      <c r="E796" s="29" cm="1">
        <f t="array" ref="E796">_xlfn.IFS(C796=":",":",C796&gt;=N$19,1,C796&gt;=N$20,2,C796&gt;=N$21,3,C796&gt;=N$22,4,C796&gt;=N$23,5,C796&lt;N$23,6)</f>
        <v>3</v>
      </c>
      <c r="F796" s="30"/>
      <c r="G796" s="5"/>
      <c r="H796" s="5"/>
    </row>
    <row r="797" spans="1:8" ht="12" customHeight="1">
      <c r="A797" s="10" t="s">
        <v>2093</v>
      </c>
      <c r="B797" s="112" t="s">
        <v>2094</v>
      </c>
      <c r="C797" s="82">
        <v>3437</v>
      </c>
      <c r="D797" s="43"/>
      <c r="E797" s="29" cm="1">
        <f t="array" ref="E797">_xlfn.IFS(C797=":",":",C797&gt;=N$19,1,C797&gt;=N$20,2,C797&gt;=N$21,3,C797&gt;=N$22,4,C797&gt;=N$23,5,C797&lt;N$23,6)</f>
        <v>4</v>
      </c>
      <c r="F797" s="30"/>
      <c r="G797" s="5"/>
      <c r="H797" s="5"/>
    </row>
    <row r="798" spans="1:8" ht="12" customHeight="1">
      <c r="A798" s="10" t="s">
        <v>2095</v>
      </c>
      <c r="B798" s="112" t="s">
        <v>2096</v>
      </c>
      <c r="C798" s="82">
        <v>965</v>
      </c>
      <c r="D798" s="43"/>
      <c r="E798" s="29" cm="1">
        <f t="array" ref="E798">_xlfn.IFS(C798=":",":",C798&gt;=N$19,1,C798&gt;=N$20,2,C798&gt;=N$21,3,C798&gt;=N$22,4,C798&gt;=N$23,5,C798&lt;N$23,6)</f>
        <v>6</v>
      </c>
      <c r="F798" s="30"/>
      <c r="G798" s="5"/>
      <c r="H798" s="5"/>
    </row>
    <row r="799" spans="1:8" ht="12" customHeight="1">
      <c r="A799" s="10" t="s">
        <v>2097</v>
      </c>
      <c r="B799" s="112" t="s">
        <v>2098</v>
      </c>
      <c r="C799" s="82">
        <v>894</v>
      </c>
      <c r="D799" s="43"/>
      <c r="E799" s="29" cm="1">
        <f t="array" ref="E799">_xlfn.IFS(C799=":",":",C799&gt;=N$19,1,C799&gt;=N$20,2,C799&gt;=N$21,3,C799&gt;=N$22,4,C799&gt;=N$23,5,C799&lt;N$23,6)</f>
        <v>6</v>
      </c>
      <c r="F799" s="30"/>
      <c r="G799" s="5"/>
      <c r="H799" s="5"/>
    </row>
    <row r="800" spans="1:8" ht="12" customHeight="1">
      <c r="A800" s="10" t="s">
        <v>2099</v>
      </c>
      <c r="B800" s="112" t="s">
        <v>2100</v>
      </c>
      <c r="C800" s="82">
        <v>1945</v>
      </c>
      <c r="D800" s="43"/>
      <c r="E800" s="29" cm="1">
        <f t="array" ref="E800">_xlfn.IFS(C800=":",":",C800&gt;=N$19,1,C800&gt;=N$20,2,C800&gt;=N$21,3,C800&gt;=N$22,4,C800&gt;=N$23,5,C800&lt;N$23,6)</f>
        <v>5</v>
      </c>
      <c r="F800" s="30"/>
      <c r="G800" s="5"/>
      <c r="H800" s="5"/>
    </row>
    <row r="801" spans="1:8" ht="12" customHeight="1">
      <c r="A801" s="10" t="s">
        <v>2101</v>
      </c>
      <c r="B801" s="112" t="s">
        <v>2102</v>
      </c>
      <c r="C801" s="82">
        <v>3649</v>
      </c>
      <c r="D801" s="43"/>
      <c r="E801" s="29" cm="1">
        <f t="array" ref="E801">_xlfn.IFS(C801=":",":",C801&gt;=N$19,1,C801&gt;=N$20,2,C801&gt;=N$21,3,C801&gt;=N$22,4,C801&gt;=N$23,5,C801&lt;N$23,6)</f>
        <v>3</v>
      </c>
      <c r="F801" s="30"/>
      <c r="G801" s="5"/>
      <c r="H801" s="5"/>
    </row>
    <row r="802" spans="1:8" ht="12" customHeight="1">
      <c r="A802" s="10" t="s">
        <v>2103</v>
      </c>
      <c r="B802" s="112" t="s">
        <v>2104</v>
      </c>
      <c r="C802" s="82">
        <v>3818</v>
      </c>
      <c r="D802" s="43"/>
      <c r="E802" s="29" cm="1">
        <f t="array" ref="E802">_xlfn.IFS(C802=":",":",C802&gt;=N$19,1,C802&gt;=N$20,2,C802&gt;=N$21,3,C802&gt;=N$22,4,C802&gt;=N$23,5,C802&lt;N$23,6)</f>
        <v>3</v>
      </c>
      <c r="F802" s="30"/>
      <c r="G802" s="5"/>
      <c r="H802" s="5"/>
    </row>
    <row r="803" spans="1:8" ht="12" customHeight="1">
      <c r="A803" s="10" t="s">
        <v>2105</v>
      </c>
      <c r="B803" s="112" t="s">
        <v>2106</v>
      </c>
      <c r="C803" s="82">
        <v>17495</v>
      </c>
      <c r="D803" s="43"/>
      <c r="E803" s="29" cm="1">
        <f t="array" ref="E803">_xlfn.IFS(C803=":",":",C803&gt;=N$19,1,C803&gt;=N$20,2,C803&gt;=N$21,3,C803&gt;=N$22,4,C803&gt;=N$23,5,C803&lt;N$23,6)</f>
        <v>1</v>
      </c>
      <c r="F803" s="30"/>
      <c r="G803" s="5"/>
      <c r="H803" s="5"/>
    </row>
    <row r="804" spans="1:8" ht="12" customHeight="1">
      <c r="A804" s="10" t="s">
        <v>2107</v>
      </c>
      <c r="B804" s="112" t="s">
        <v>2108</v>
      </c>
      <c r="C804" s="82">
        <v>12618</v>
      </c>
      <c r="D804" s="43"/>
      <c r="E804" s="29" cm="1">
        <f t="array" ref="E804">_xlfn.IFS(C804=":",":",C804&gt;=N$19,1,C804&gt;=N$20,2,C804&gt;=N$21,3,C804&gt;=N$22,4,C804&gt;=N$23,5,C804&lt;N$23,6)</f>
        <v>2</v>
      </c>
      <c r="F804" s="30"/>
      <c r="G804" s="5"/>
      <c r="H804" s="5"/>
    </row>
    <row r="805" spans="1:8" ht="12" customHeight="1">
      <c r="A805" s="10" t="s">
        <v>2109</v>
      </c>
      <c r="B805" s="112" t="s">
        <v>2110</v>
      </c>
      <c r="C805" s="82">
        <v>3771</v>
      </c>
      <c r="D805" s="43"/>
      <c r="E805" s="29" cm="1">
        <f t="array" ref="E805">_xlfn.IFS(C805=":",":",C805&gt;=N$19,1,C805&gt;=N$20,2,C805&gt;=N$21,3,C805&gt;=N$22,4,C805&gt;=N$23,5,C805&lt;N$23,6)</f>
        <v>3</v>
      </c>
      <c r="F805" s="30"/>
      <c r="G805" s="5"/>
      <c r="H805" s="5"/>
    </row>
    <row r="806" spans="1:8" ht="12" customHeight="1">
      <c r="A806" s="10" t="s">
        <v>2111</v>
      </c>
      <c r="B806" s="112" t="s">
        <v>2112</v>
      </c>
      <c r="C806" s="82">
        <v>4826</v>
      </c>
      <c r="D806" s="43"/>
      <c r="E806" s="29" cm="1">
        <f t="array" ref="E806">_xlfn.IFS(C806=":",":",C806&gt;=N$19,1,C806&gt;=N$20,2,C806&gt;=N$21,3,C806&gt;=N$22,4,C806&gt;=N$23,5,C806&lt;N$23,6)</f>
        <v>3</v>
      </c>
      <c r="F806" s="30"/>
      <c r="G806" s="5"/>
      <c r="H806" s="5"/>
    </row>
    <row r="807" spans="1:8" ht="12" customHeight="1">
      <c r="A807" s="10" t="s">
        <v>2113</v>
      </c>
      <c r="B807" s="112" t="s">
        <v>2114</v>
      </c>
      <c r="C807" s="82">
        <v>7121</v>
      </c>
      <c r="D807" s="43"/>
      <c r="E807" s="29" cm="1">
        <f t="array" ref="E807">_xlfn.IFS(C807=":",":",C807&gt;=N$19,1,C807&gt;=N$20,2,C807&gt;=N$21,3,C807&gt;=N$22,4,C807&gt;=N$23,5,C807&lt;N$23,6)</f>
        <v>3</v>
      </c>
      <c r="F807" s="30"/>
      <c r="G807" s="5"/>
      <c r="H807" s="5"/>
    </row>
    <row r="808" spans="1:8" ht="12" customHeight="1">
      <c r="A808" s="10" t="s">
        <v>2115</v>
      </c>
      <c r="B808" s="112" t="s">
        <v>2116</v>
      </c>
      <c r="C808" s="82">
        <v>69258</v>
      </c>
      <c r="D808" s="43"/>
      <c r="E808" s="29" cm="1">
        <f t="array" ref="E808">_xlfn.IFS(C808=":",":",C808&gt;=N$19,1,C808&gt;=N$20,2,C808&gt;=N$21,3,C808&gt;=N$22,4,C808&gt;=N$23,5,C808&lt;N$23,6)</f>
        <v>1</v>
      </c>
      <c r="F808" s="30"/>
      <c r="G808" s="5"/>
      <c r="H808" s="5"/>
    </row>
    <row r="809" spans="1:8" ht="12" customHeight="1">
      <c r="A809" s="10" t="s">
        <v>2117</v>
      </c>
      <c r="B809" s="112" t="s">
        <v>2118</v>
      </c>
      <c r="C809" s="82">
        <v>36234</v>
      </c>
      <c r="D809" s="43"/>
      <c r="E809" s="29" cm="1">
        <f t="array" ref="E809">_xlfn.IFS(C809=":",":",C809&gt;=N$19,1,C809&gt;=N$20,2,C809&gt;=N$21,3,C809&gt;=N$22,4,C809&gt;=N$23,5,C809&lt;N$23,6)</f>
        <v>1</v>
      </c>
      <c r="F809" s="30"/>
      <c r="G809" s="5"/>
      <c r="H809" s="5"/>
    </row>
    <row r="810" spans="1:8" ht="12" customHeight="1">
      <c r="A810" s="10" t="s">
        <v>2119</v>
      </c>
      <c r="B810" s="112" t="s">
        <v>2120</v>
      </c>
      <c r="C810" s="82">
        <v>21061</v>
      </c>
      <c r="D810" s="43"/>
      <c r="E810" s="29" cm="1">
        <f t="array" ref="E810">_xlfn.IFS(C810=":",":",C810&gt;=N$19,1,C810&gt;=N$20,2,C810&gt;=N$21,3,C810&gt;=N$22,4,C810&gt;=N$23,5,C810&lt;N$23,6)</f>
        <v>1</v>
      </c>
      <c r="F810" s="30"/>
      <c r="G810" s="5"/>
      <c r="H810" s="5"/>
    </row>
    <row r="811" spans="1:8" ht="12" customHeight="1">
      <c r="A811" s="10" t="s">
        <v>2121</v>
      </c>
      <c r="B811" s="112" t="s">
        <v>2122</v>
      </c>
      <c r="C811" s="82">
        <v>2717</v>
      </c>
      <c r="D811" s="43"/>
      <c r="E811" s="29" cm="1">
        <f t="array" ref="E811">_xlfn.IFS(C811=":",":",C811&gt;=N$19,1,C811&gt;=N$20,2,C811&gt;=N$21,3,C811&gt;=N$22,4,C811&gt;=N$23,5,C811&lt;N$23,6)</f>
        <v>4</v>
      </c>
      <c r="F811" s="30"/>
      <c r="G811" s="5"/>
      <c r="H811" s="5"/>
    </row>
    <row r="812" spans="1:8" ht="12" customHeight="1">
      <c r="A812" s="10" t="s">
        <v>2123</v>
      </c>
      <c r="B812" s="112" t="s">
        <v>2124</v>
      </c>
      <c r="C812" s="82">
        <v>20125</v>
      </c>
      <c r="D812" s="43"/>
      <c r="E812" s="29" cm="1">
        <f t="array" ref="E812">_xlfn.IFS(C812=":",":",C812&gt;=N$19,1,C812&gt;=N$20,2,C812&gt;=N$21,3,C812&gt;=N$22,4,C812&gt;=N$23,5,C812&lt;N$23,6)</f>
        <v>1</v>
      </c>
      <c r="F812" s="30"/>
      <c r="G812" s="5"/>
      <c r="H812" s="5"/>
    </row>
    <row r="813" spans="1:8" ht="12" customHeight="1">
      <c r="A813" s="10" t="s">
        <v>2125</v>
      </c>
      <c r="B813" s="112" t="s">
        <v>2126</v>
      </c>
      <c r="C813" s="82">
        <v>2399</v>
      </c>
      <c r="D813" s="43"/>
      <c r="E813" s="29" cm="1">
        <f t="array" ref="E813">_xlfn.IFS(C813=":",":",C813&gt;=N$19,1,C813&gt;=N$20,2,C813&gt;=N$21,3,C813&gt;=N$22,4,C813&gt;=N$23,5,C813&lt;N$23,6)</f>
        <v>4</v>
      </c>
      <c r="F813" s="30"/>
      <c r="G813" s="5"/>
      <c r="H813" s="5"/>
    </row>
    <row r="814" spans="1:8" ht="12" customHeight="1">
      <c r="A814" s="10" t="s">
        <v>2127</v>
      </c>
      <c r="B814" s="112" t="s">
        <v>2128</v>
      </c>
      <c r="C814" s="82">
        <v>46048</v>
      </c>
      <c r="D814" s="43"/>
      <c r="E814" s="29" cm="1">
        <f t="array" ref="E814">_xlfn.IFS(C814=":",":",C814&gt;=N$19,1,C814&gt;=N$20,2,C814&gt;=N$21,3,C814&gt;=N$22,4,C814&gt;=N$23,5,C814&lt;N$23,6)</f>
        <v>1</v>
      </c>
      <c r="F814" s="30"/>
      <c r="G814" s="5"/>
      <c r="H814" s="5"/>
    </row>
    <row r="815" spans="1:8" ht="12" customHeight="1">
      <c r="A815" s="10" t="s">
        <v>2129</v>
      </c>
      <c r="B815" s="112" t="s">
        <v>2130</v>
      </c>
      <c r="C815" s="82">
        <v>5679</v>
      </c>
      <c r="D815" s="43"/>
      <c r="E815" s="29" cm="1">
        <f t="array" ref="E815">_xlfn.IFS(C815=":",":",C815&gt;=N$19,1,C815&gt;=N$20,2,C815&gt;=N$21,3,C815&gt;=N$22,4,C815&gt;=N$23,5,C815&lt;N$23,6)</f>
        <v>3</v>
      </c>
      <c r="F815" s="30"/>
      <c r="G815" s="5"/>
      <c r="H815" s="5"/>
    </row>
    <row r="816" spans="1:8" ht="12" customHeight="1">
      <c r="A816" s="10" t="s">
        <v>2131</v>
      </c>
      <c r="B816" s="112" t="s">
        <v>2132</v>
      </c>
      <c r="C816" s="82">
        <v>5797</v>
      </c>
      <c r="D816" s="43"/>
      <c r="E816" s="29" cm="1">
        <f t="array" ref="E816">_xlfn.IFS(C816=":",":",C816&gt;=N$19,1,C816&gt;=N$20,2,C816&gt;=N$21,3,C816&gt;=N$22,4,C816&gt;=N$23,5,C816&lt;N$23,6)</f>
        <v>3</v>
      </c>
      <c r="F816" s="30"/>
      <c r="G816" s="5"/>
      <c r="H816" s="5"/>
    </row>
    <row r="817" spans="1:8" ht="12" customHeight="1">
      <c r="A817" s="10" t="s">
        <v>2133</v>
      </c>
      <c r="B817" s="112" t="s">
        <v>2134</v>
      </c>
      <c r="C817" s="82">
        <v>2002</v>
      </c>
      <c r="D817" s="43"/>
      <c r="E817" s="29" cm="1">
        <f t="array" ref="E817">_xlfn.IFS(C817=":",":",C817&gt;=N$19,1,C817&gt;=N$20,2,C817&gt;=N$21,3,C817&gt;=N$22,4,C817&gt;=N$23,5,C817&lt;N$23,6)</f>
        <v>4</v>
      </c>
      <c r="F817" s="30"/>
      <c r="G817" s="5"/>
      <c r="H817" s="5"/>
    </row>
    <row r="818" spans="1:8" ht="12" customHeight="1">
      <c r="A818" s="10" t="s">
        <v>2135</v>
      </c>
      <c r="B818" s="112" t="s">
        <v>2136</v>
      </c>
      <c r="C818" s="82">
        <v>11175</v>
      </c>
      <c r="D818" s="43"/>
      <c r="E818" s="29" cm="1">
        <f t="array" ref="E818">_xlfn.IFS(C818=":",":",C818&gt;=N$19,1,C818&gt;=N$20,2,C818&gt;=N$21,3,C818&gt;=N$22,4,C818&gt;=N$23,5,C818&lt;N$23,6)</f>
        <v>2</v>
      </c>
      <c r="F818" s="30"/>
      <c r="G818" s="5"/>
      <c r="H818" s="5"/>
    </row>
    <row r="819" spans="1:8" ht="12" customHeight="1">
      <c r="A819" s="10" t="s">
        <v>2137</v>
      </c>
      <c r="B819" s="112" t="s">
        <v>2138</v>
      </c>
      <c r="C819" s="82">
        <v>13987</v>
      </c>
      <c r="D819" s="43"/>
      <c r="E819" s="29" cm="1">
        <f t="array" ref="E819">_xlfn.IFS(C819=":",":",C819&gt;=N$19,1,C819&gt;=N$20,2,C819&gt;=N$21,3,C819&gt;=N$22,4,C819&gt;=N$23,5,C819&lt;N$23,6)</f>
        <v>2</v>
      </c>
      <c r="F819" s="30"/>
      <c r="G819" s="5"/>
      <c r="H819" s="5"/>
    </row>
    <row r="820" spans="1:8" ht="12" customHeight="1">
      <c r="A820" s="10" t="s">
        <v>2139</v>
      </c>
      <c r="B820" s="112" t="s">
        <v>2140</v>
      </c>
      <c r="C820" s="82">
        <v>7600</v>
      </c>
      <c r="D820" s="43"/>
      <c r="E820" s="29" cm="1">
        <f t="array" ref="E820">_xlfn.IFS(C820=":",":",C820&gt;=N$19,1,C820&gt;=N$20,2,C820&gt;=N$21,3,C820&gt;=N$22,4,C820&gt;=N$23,5,C820&lt;N$23,6)</f>
        <v>2</v>
      </c>
      <c r="F820" s="30"/>
      <c r="G820" s="5"/>
      <c r="H820" s="5"/>
    </row>
    <row r="821" spans="1:8" ht="12" customHeight="1">
      <c r="A821" s="10" t="s">
        <v>2141</v>
      </c>
      <c r="B821" s="112" t="s">
        <v>2142</v>
      </c>
      <c r="C821" s="82">
        <v>2019</v>
      </c>
      <c r="D821" s="43"/>
      <c r="E821" s="29" cm="1">
        <f t="array" ref="E821">_xlfn.IFS(C821=":",":",C821&gt;=N$19,1,C821&gt;=N$20,2,C821&gt;=N$21,3,C821&gt;=N$22,4,C821&gt;=N$23,5,C821&lt;N$23,6)</f>
        <v>4</v>
      </c>
      <c r="F821" s="30"/>
      <c r="G821" s="5"/>
      <c r="H821" s="5"/>
    </row>
    <row r="822" spans="1:8" ht="12" customHeight="1">
      <c r="A822" s="10" t="s">
        <v>2143</v>
      </c>
      <c r="B822" s="112" t="s">
        <v>2144</v>
      </c>
      <c r="C822" s="82">
        <v>3243</v>
      </c>
      <c r="D822" s="43"/>
      <c r="E822" s="29" cm="1">
        <f t="array" ref="E822">_xlfn.IFS(C822=":",":",C822&gt;=N$19,1,C822&gt;=N$20,2,C822&gt;=N$21,3,C822&gt;=N$22,4,C822&gt;=N$23,5,C822&lt;N$23,6)</f>
        <v>4</v>
      </c>
      <c r="F822" s="30"/>
      <c r="G822" s="5"/>
      <c r="H822" s="5"/>
    </row>
    <row r="823" spans="1:8" ht="12" customHeight="1">
      <c r="A823" s="10" t="s">
        <v>2145</v>
      </c>
      <c r="B823" s="112" t="s">
        <v>2896</v>
      </c>
      <c r="C823" s="82">
        <v>1463</v>
      </c>
      <c r="D823" s="43"/>
      <c r="E823" s="29" cm="1">
        <f t="array" ref="E823">_xlfn.IFS(C823=":",":",C823&gt;=N$19,1,C823&gt;=N$20,2,C823&gt;=N$21,3,C823&gt;=N$22,4,C823&gt;=N$23,5,C823&lt;N$23,6)</f>
        <v>5</v>
      </c>
      <c r="F823" s="30"/>
      <c r="G823" s="5"/>
      <c r="H823" s="5"/>
    </row>
    <row r="824" spans="1:8" ht="12" customHeight="1">
      <c r="A824" s="10" t="s">
        <v>2146</v>
      </c>
      <c r="B824" s="112" t="s">
        <v>2147</v>
      </c>
      <c r="C824" s="82">
        <v>2681</v>
      </c>
      <c r="D824" s="43"/>
      <c r="E824" s="29" cm="1">
        <f t="array" ref="E824">_xlfn.IFS(C824=":",":",C824&gt;=N$19,1,C824&gt;=N$20,2,C824&gt;=N$21,3,C824&gt;=N$22,4,C824&gt;=N$23,5,C824&lt;N$23,6)</f>
        <v>4</v>
      </c>
      <c r="F824" s="30"/>
      <c r="G824" s="5"/>
      <c r="H824" s="5"/>
    </row>
    <row r="825" spans="1:8" ht="12" customHeight="1">
      <c r="A825" s="10" t="s">
        <v>2148</v>
      </c>
      <c r="B825" s="112" t="s">
        <v>2149</v>
      </c>
      <c r="C825" s="82">
        <v>5823</v>
      </c>
      <c r="D825" s="43"/>
      <c r="E825" s="29" cm="1">
        <f t="array" ref="E825">_xlfn.IFS(C825=":",":",C825&gt;=N$19,1,C825&gt;=N$20,2,C825&gt;=N$21,3,C825&gt;=N$22,4,C825&gt;=N$23,5,C825&lt;N$23,6)</f>
        <v>3</v>
      </c>
      <c r="F825" s="30"/>
      <c r="G825" s="5"/>
      <c r="H825" s="5"/>
    </row>
    <row r="826" spans="1:8" ht="12" customHeight="1">
      <c r="A826" s="10" t="s">
        <v>2150</v>
      </c>
      <c r="B826" s="112" t="s">
        <v>2151</v>
      </c>
      <c r="C826" s="82">
        <v>8231</v>
      </c>
      <c r="D826" s="43"/>
      <c r="E826" s="29" cm="1">
        <f t="array" ref="E826">_xlfn.IFS(C826=":",":",C826&gt;=N$19,1,C826&gt;=N$20,2,C826&gt;=N$21,3,C826&gt;=N$22,4,C826&gt;=N$23,5,C826&lt;N$23,6)</f>
        <v>2</v>
      </c>
      <c r="F826" s="30"/>
      <c r="G826" s="5"/>
      <c r="H826" s="5"/>
    </row>
    <row r="827" spans="1:8" ht="12" customHeight="1">
      <c r="A827" s="10" t="s">
        <v>2152</v>
      </c>
      <c r="B827" s="112" t="s">
        <v>2153</v>
      </c>
      <c r="C827" s="82">
        <v>17156</v>
      </c>
      <c r="D827" s="43"/>
      <c r="E827" s="29" cm="1">
        <f t="array" ref="E827">_xlfn.IFS(C827=":",":",C827&gt;=N$19,1,C827&gt;=N$20,2,C827&gt;=N$21,3,C827&gt;=N$22,4,C827&gt;=N$23,5,C827&lt;N$23,6)</f>
        <v>1</v>
      </c>
      <c r="F827" s="30"/>
      <c r="G827" s="5"/>
      <c r="H827" s="5"/>
    </row>
    <row r="828" spans="1:8" ht="12" customHeight="1">
      <c r="A828" s="10" t="s">
        <v>2154</v>
      </c>
      <c r="B828" s="112" t="s">
        <v>2155</v>
      </c>
      <c r="C828" s="82">
        <v>14540</v>
      </c>
      <c r="D828" s="43"/>
      <c r="E828" s="29" cm="1">
        <f t="array" ref="E828">_xlfn.IFS(C828=":",":",C828&gt;=N$19,1,C828&gt;=N$20,2,C828&gt;=N$21,3,C828&gt;=N$22,4,C828&gt;=N$23,5,C828&lt;N$23,6)</f>
        <v>2</v>
      </c>
      <c r="F828" s="30"/>
      <c r="G828" s="5"/>
      <c r="H828" s="5"/>
    </row>
    <row r="829" spans="1:8" ht="12" customHeight="1">
      <c r="A829" s="16" t="s">
        <v>2156</v>
      </c>
      <c r="B829" s="11" t="s">
        <v>2157</v>
      </c>
      <c r="C829" s="82">
        <v>44475</v>
      </c>
      <c r="D829" s="43"/>
      <c r="E829" s="29" cm="1">
        <f t="array" ref="E829">_xlfn.IFS(C829=":",":",C829&gt;=N$19,1,C829&gt;=N$20,2,C829&gt;=N$21,3,C829&gt;=N$22,4,C829&gt;=N$23,5,C829&lt;N$23,6)</f>
        <v>1</v>
      </c>
      <c r="F829" s="30"/>
      <c r="G829" s="5"/>
      <c r="H829" s="5"/>
    </row>
    <row r="830" spans="1:8" ht="12" customHeight="1">
      <c r="A830" s="10" t="s">
        <v>2158</v>
      </c>
      <c r="B830" s="112" t="s">
        <v>2159</v>
      </c>
      <c r="C830" s="82">
        <v>5649</v>
      </c>
      <c r="D830" s="43"/>
      <c r="E830" s="29" cm="1">
        <f t="array" ref="E830">_xlfn.IFS(C830=":",":",C830&gt;=N$19,1,C830&gt;=N$20,2,C830&gt;=N$21,3,C830&gt;=N$22,4,C830&gt;=N$23,5,C830&lt;N$23,6)</f>
        <v>3</v>
      </c>
      <c r="F830" s="30"/>
      <c r="G830" s="5"/>
      <c r="H830" s="5"/>
    </row>
    <row r="831" spans="1:8" ht="12" customHeight="1">
      <c r="A831" s="10" t="s">
        <v>2160</v>
      </c>
      <c r="B831" s="112" t="s">
        <v>2161</v>
      </c>
      <c r="C831" s="82">
        <v>9002</v>
      </c>
      <c r="D831" s="43"/>
      <c r="E831" s="29" cm="1">
        <f t="array" ref="E831">_xlfn.IFS(C831=":",":",C831&gt;=N$19,1,C831&gt;=N$20,2,C831&gt;=N$21,3,C831&gt;=N$22,4,C831&gt;=N$23,5,C831&lt;N$23,6)</f>
        <v>2</v>
      </c>
      <c r="F831" s="30"/>
      <c r="G831" s="5"/>
      <c r="H831" s="5"/>
    </row>
    <row r="832" spans="1:8" ht="12" customHeight="1">
      <c r="A832" s="10" t="s">
        <v>2162</v>
      </c>
      <c r="B832" s="112" t="s">
        <v>2163</v>
      </c>
      <c r="C832" s="82">
        <v>7924</v>
      </c>
      <c r="D832" s="43"/>
      <c r="E832" s="29" cm="1">
        <f t="array" ref="E832">_xlfn.IFS(C832=":",":",C832&gt;=N$19,1,C832&gt;=N$20,2,C832&gt;=N$21,3,C832&gt;=N$22,4,C832&gt;=N$23,5,C832&lt;N$23,6)</f>
        <v>2</v>
      </c>
      <c r="F832" s="30"/>
      <c r="G832" s="5"/>
      <c r="H832" s="5"/>
    </row>
    <row r="833" spans="1:8" ht="12" customHeight="1">
      <c r="A833" s="10" t="s">
        <v>2164</v>
      </c>
      <c r="B833" s="112" t="s">
        <v>2165</v>
      </c>
      <c r="C833" s="82">
        <v>12972</v>
      </c>
      <c r="D833" s="43"/>
      <c r="E833" s="29" cm="1">
        <f t="array" ref="E833">_xlfn.IFS(C833=":",":",C833&gt;=N$19,1,C833&gt;=N$20,2,C833&gt;=N$21,3,C833&gt;=N$22,4,C833&gt;=N$23,5,C833&lt;N$23,6)</f>
        <v>2</v>
      </c>
      <c r="F833" s="30"/>
      <c r="G833" s="5"/>
      <c r="H833" s="5"/>
    </row>
    <row r="834" spans="1:8" ht="12" customHeight="1">
      <c r="A834" s="10" t="s">
        <v>2166</v>
      </c>
      <c r="B834" s="112" t="s">
        <v>2167</v>
      </c>
      <c r="C834" s="82">
        <v>1990</v>
      </c>
      <c r="D834" s="43"/>
      <c r="E834" s="29" cm="1">
        <f t="array" ref="E834">_xlfn.IFS(C834=":",":",C834&gt;=N$19,1,C834&gt;=N$20,2,C834&gt;=N$21,3,C834&gt;=N$22,4,C834&gt;=N$23,5,C834&lt;N$23,6)</f>
        <v>5</v>
      </c>
      <c r="F834" s="30"/>
      <c r="G834" s="5"/>
      <c r="H834" s="5"/>
    </row>
    <row r="835" spans="1:8" ht="12" customHeight="1">
      <c r="A835" s="10" t="s">
        <v>2168</v>
      </c>
      <c r="B835" s="112" t="s">
        <v>2169</v>
      </c>
      <c r="C835" s="82">
        <v>28148</v>
      </c>
      <c r="D835" s="43"/>
      <c r="E835" s="29" cm="1">
        <f t="array" ref="E835">_xlfn.IFS(C835=":",":",C835&gt;=N$19,1,C835&gt;=N$20,2,C835&gt;=N$21,3,C835&gt;=N$22,4,C835&gt;=N$23,5,C835&lt;N$23,6)</f>
        <v>1</v>
      </c>
      <c r="F835" s="30"/>
      <c r="G835" s="5"/>
      <c r="H835" s="5"/>
    </row>
    <row r="836" spans="1:8" ht="12" customHeight="1">
      <c r="A836" s="10" t="s">
        <v>2170</v>
      </c>
      <c r="B836" s="112" t="s">
        <v>2171</v>
      </c>
      <c r="C836" s="82">
        <v>8452</v>
      </c>
      <c r="D836" s="43"/>
      <c r="E836" s="29" cm="1">
        <f t="array" ref="E836">_xlfn.IFS(C836=":",":",C836&gt;=N$19,1,C836&gt;=N$20,2,C836&gt;=N$21,3,C836&gt;=N$22,4,C836&gt;=N$23,5,C836&lt;N$23,6)</f>
        <v>2</v>
      </c>
      <c r="F836" s="30"/>
      <c r="G836" s="5"/>
      <c r="H836" s="5"/>
    </row>
    <row r="837" spans="1:8" ht="12" customHeight="1">
      <c r="A837" s="10" t="s">
        <v>2172</v>
      </c>
      <c r="B837" s="112" t="s">
        <v>2173</v>
      </c>
      <c r="C837" s="82">
        <v>5388</v>
      </c>
      <c r="D837" s="43"/>
      <c r="E837" s="29" cm="1">
        <f t="array" ref="E837">_xlfn.IFS(C837=":",":",C837&gt;=N$19,1,C837&gt;=N$20,2,C837&gt;=N$21,3,C837&gt;=N$22,4,C837&gt;=N$23,5,C837&lt;N$23,6)</f>
        <v>3</v>
      </c>
      <c r="F837" s="30"/>
      <c r="G837" s="5"/>
      <c r="H837" s="5"/>
    </row>
    <row r="838" spans="1:8" ht="12" customHeight="1">
      <c r="A838" s="10" t="s">
        <v>2174</v>
      </c>
      <c r="B838" s="112" t="s">
        <v>2175</v>
      </c>
      <c r="C838" s="82">
        <v>20883</v>
      </c>
      <c r="D838" s="43"/>
      <c r="E838" s="29" cm="1">
        <f t="array" ref="E838">_xlfn.IFS(C838=":",":",C838&gt;=N$19,1,C838&gt;=N$20,2,C838&gt;=N$21,3,C838&gt;=N$22,4,C838&gt;=N$23,5,C838&lt;N$23,6)</f>
        <v>1</v>
      </c>
      <c r="F838" s="30"/>
      <c r="G838" s="5"/>
      <c r="H838" s="5"/>
    </row>
    <row r="839" spans="1:8" ht="12" customHeight="1">
      <c r="A839" s="10" t="s">
        <v>2176</v>
      </c>
      <c r="B839" s="112" t="s">
        <v>2177</v>
      </c>
      <c r="C839" s="82">
        <v>26612</v>
      </c>
      <c r="D839" s="43"/>
      <c r="E839" s="29" cm="1">
        <f t="array" ref="E839">_xlfn.IFS(C839=":",":",C839&gt;=N$19,1,C839&gt;=N$20,2,C839&gt;=N$21,3,C839&gt;=N$22,4,C839&gt;=N$23,5,C839&lt;N$23,6)</f>
        <v>1</v>
      </c>
      <c r="F839" s="30"/>
      <c r="G839" s="5"/>
      <c r="H839" s="5"/>
    </row>
    <row r="840" spans="1:8" ht="12" customHeight="1">
      <c r="A840" s="10" t="s">
        <v>2178</v>
      </c>
      <c r="B840" s="112" t="s">
        <v>2179</v>
      </c>
      <c r="C840" s="82">
        <v>9023</v>
      </c>
      <c r="D840" s="43"/>
      <c r="E840" s="29" cm="1">
        <f t="array" ref="E840">_xlfn.IFS(C840=":",":",C840&gt;=N$19,1,C840&gt;=N$20,2,C840&gt;=N$21,3,C840&gt;=N$22,4,C840&gt;=N$23,5,C840&lt;N$23,6)</f>
        <v>2</v>
      </c>
      <c r="F840" s="30"/>
      <c r="G840" s="5"/>
      <c r="H840" s="5"/>
    </row>
    <row r="841" spans="1:8" ht="12" customHeight="1">
      <c r="A841" s="10" t="s">
        <v>2180</v>
      </c>
      <c r="B841" s="112" t="s">
        <v>2181</v>
      </c>
      <c r="C841" s="82">
        <v>4214</v>
      </c>
      <c r="D841" s="43"/>
      <c r="E841" s="29" cm="1">
        <f t="array" ref="E841">_xlfn.IFS(C841=":",":",C841&gt;=N$19,1,C841&gt;=N$20,2,C841&gt;=N$21,3,C841&gt;=N$22,4,C841&gt;=N$23,5,C841&lt;N$23,6)</f>
        <v>3</v>
      </c>
      <c r="F841" s="30"/>
      <c r="G841" s="5"/>
      <c r="H841" s="5"/>
    </row>
    <row r="842" spans="1:8" ht="12" customHeight="1">
      <c r="A842" s="16" t="s">
        <v>2182</v>
      </c>
      <c r="B842" s="11" t="s">
        <v>2183</v>
      </c>
      <c r="C842" s="82">
        <v>8324</v>
      </c>
      <c r="D842" s="43"/>
      <c r="E842" s="29" cm="1">
        <f t="array" ref="E842">_xlfn.IFS(C842=":",":",C842&gt;=N$19,1,C842&gt;=N$20,2,C842&gt;=N$21,3,C842&gt;=N$22,4,C842&gt;=N$23,5,C842&lt;N$23,6)</f>
        <v>2</v>
      </c>
      <c r="F842" s="30"/>
      <c r="G842" s="5"/>
      <c r="H842" s="5"/>
    </row>
    <row r="843" spans="1:8" ht="12" customHeight="1">
      <c r="A843" s="10" t="s">
        <v>2184</v>
      </c>
      <c r="B843" s="112" t="s">
        <v>2185</v>
      </c>
      <c r="C843" s="82">
        <v>6048</v>
      </c>
      <c r="D843" s="43"/>
      <c r="E843" s="29" cm="1">
        <f t="array" ref="E843">_xlfn.IFS(C843=":",":",C843&gt;=N$19,1,C843&gt;=N$20,2,C843&gt;=N$21,3,C843&gt;=N$22,4,C843&gt;=N$23,5,C843&lt;N$23,6)</f>
        <v>3</v>
      </c>
      <c r="F843" s="30"/>
      <c r="G843" s="5"/>
      <c r="H843" s="5"/>
    </row>
    <row r="844" spans="1:8" ht="12" customHeight="1">
      <c r="A844" s="10" t="s">
        <v>2186</v>
      </c>
      <c r="B844" s="112" t="s">
        <v>2187</v>
      </c>
      <c r="C844" s="82">
        <v>5097</v>
      </c>
      <c r="D844" s="43"/>
      <c r="E844" s="29" cm="1">
        <f t="array" ref="E844">_xlfn.IFS(C844=":",":",C844&gt;=N$19,1,C844&gt;=N$20,2,C844&gt;=N$21,3,C844&gt;=N$22,4,C844&gt;=N$23,5,C844&lt;N$23,6)</f>
        <v>3</v>
      </c>
      <c r="F844" s="30"/>
      <c r="G844" s="5"/>
      <c r="H844" s="5"/>
    </row>
    <row r="845" spans="1:8" ht="12" customHeight="1">
      <c r="A845" s="10" t="s">
        <v>2188</v>
      </c>
      <c r="B845" s="112" t="s">
        <v>2189</v>
      </c>
      <c r="C845" s="82">
        <v>8491</v>
      </c>
      <c r="D845" s="43"/>
      <c r="E845" s="29" cm="1">
        <f t="array" ref="E845">_xlfn.IFS(C845=":",":",C845&gt;=N$19,1,C845&gt;=N$20,2,C845&gt;=N$21,3,C845&gt;=N$22,4,C845&gt;=N$23,5,C845&lt;N$23,6)</f>
        <v>2</v>
      </c>
      <c r="F845" s="30"/>
      <c r="G845" s="5"/>
      <c r="H845" s="5"/>
    </row>
    <row r="846" spans="1:8" ht="12" customHeight="1">
      <c r="A846" s="10" t="s">
        <v>2190</v>
      </c>
      <c r="B846" s="112" t="s">
        <v>2191</v>
      </c>
      <c r="C846" s="82">
        <v>8473</v>
      </c>
      <c r="D846" s="43"/>
      <c r="E846" s="29" cm="1">
        <f t="array" ref="E846">_xlfn.IFS(C846=":",":",C846&gt;=N$19,1,C846&gt;=N$20,2,C846&gt;=N$21,3,C846&gt;=N$22,4,C846&gt;=N$23,5,C846&lt;N$23,6)</f>
        <v>2</v>
      </c>
      <c r="F846" s="30"/>
      <c r="G846" s="5"/>
      <c r="H846" s="5"/>
    </row>
    <row r="847" spans="1:8" ht="12" customHeight="1">
      <c r="A847" s="10" t="s">
        <v>2192</v>
      </c>
      <c r="B847" s="112" t="s">
        <v>2193</v>
      </c>
      <c r="C847" s="82">
        <v>3889</v>
      </c>
      <c r="D847" s="43"/>
      <c r="E847" s="29" cm="1">
        <f t="array" ref="E847">_xlfn.IFS(C847=":",":",C847&gt;=N$19,1,C847&gt;=N$20,2,C847&gt;=N$21,3,C847&gt;=N$22,4,C847&gt;=N$23,5,C847&lt;N$23,6)</f>
        <v>3</v>
      </c>
      <c r="F847" s="30"/>
      <c r="G847" s="5"/>
      <c r="H847" s="5"/>
    </row>
    <row r="848" spans="1:8" ht="12" customHeight="1">
      <c r="A848" s="10" t="s">
        <v>2194</v>
      </c>
      <c r="B848" s="112" t="s">
        <v>2195</v>
      </c>
      <c r="C848" s="82">
        <v>1048</v>
      </c>
      <c r="D848" s="43"/>
      <c r="E848" s="29" cm="1">
        <f t="array" ref="E848">_xlfn.IFS(C848=":",":",C848&gt;=N$19,1,C848&gt;=N$20,2,C848&gt;=N$21,3,C848&gt;=N$22,4,C848&gt;=N$23,5,C848&lt;N$23,6)</f>
        <v>5</v>
      </c>
      <c r="F848" s="30"/>
      <c r="G848" s="5"/>
      <c r="H848" s="5"/>
    </row>
    <row r="849" spans="1:8" ht="12" customHeight="1">
      <c r="A849" s="10" t="s">
        <v>2196</v>
      </c>
      <c r="B849" s="112" t="s">
        <v>2197</v>
      </c>
      <c r="C849" s="82">
        <v>11159</v>
      </c>
      <c r="D849" s="43"/>
      <c r="E849" s="29" cm="1">
        <f t="array" ref="E849">_xlfn.IFS(C849=":",":",C849&gt;=N$19,1,C849&gt;=N$20,2,C849&gt;=N$21,3,C849&gt;=N$22,4,C849&gt;=N$23,5,C849&lt;N$23,6)</f>
        <v>2</v>
      </c>
      <c r="F849" s="30"/>
      <c r="G849" s="5"/>
      <c r="H849" s="5"/>
    </row>
    <row r="850" spans="1:8" ht="12" customHeight="1">
      <c r="A850" s="10" t="s">
        <v>2198</v>
      </c>
      <c r="B850" s="112" t="s">
        <v>2199</v>
      </c>
      <c r="C850" s="82">
        <v>3433</v>
      </c>
      <c r="D850" s="43"/>
      <c r="E850" s="29" cm="1">
        <f t="array" ref="E850">_xlfn.IFS(C850=":",":",C850&gt;=N$19,1,C850&gt;=N$20,2,C850&gt;=N$21,3,C850&gt;=N$22,4,C850&gt;=N$23,5,C850&lt;N$23,6)</f>
        <v>4</v>
      </c>
      <c r="F850" s="30"/>
      <c r="G850" s="5"/>
      <c r="H850" s="5"/>
    </row>
    <row r="851" spans="1:8" ht="12" customHeight="1">
      <c r="A851" s="10" t="s">
        <v>2200</v>
      </c>
      <c r="B851" s="112" t="s">
        <v>2201</v>
      </c>
      <c r="C851" s="82">
        <v>2603</v>
      </c>
      <c r="D851" s="43"/>
      <c r="E851" s="29" cm="1">
        <f t="array" ref="E851">_xlfn.IFS(C851=":",":",C851&gt;=N$19,1,C851&gt;=N$20,2,C851&gt;=N$21,3,C851&gt;=N$22,4,C851&gt;=N$23,5,C851&lt;N$23,6)</f>
        <v>4</v>
      </c>
      <c r="F851" s="30"/>
      <c r="G851" s="5"/>
      <c r="H851" s="5"/>
    </row>
    <row r="852" spans="1:8" ht="12" customHeight="1">
      <c r="A852" s="10" t="s">
        <v>2202</v>
      </c>
      <c r="B852" s="114" t="s">
        <v>3023</v>
      </c>
      <c r="C852" s="82">
        <v>19988</v>
      </c>
      <c r="D852" s="43"/>
      <c r="E852" s="29" cm="1">
        <f t="array" ref="E852">_xlfn.IFS(C852=":",":",C852&gt;=N$19,1,C852&gt;=N$20,2,C852&gt;=N$21,3,C852&gt;=N$22,4,C852&gt;=N$23,5,C852&lt;N$23,6)</f>
        <v>1</v>
      </c>
      <c r="F852" s="30"/>
      <c r="G852" s="5"/>
      <c r="H852" s="5"/>
    </row>
    <row r="853" spans="1:8" ht="12" customHeight="1">
      <c r="A853" s="10" t="s">
        <v>2204</v>
      </c>
      <c r="B853" s="112" t="s">
        <v>2205</v>
      </c>
      <c r="C853" s="82">
        <v>823</v>
      </c>
      <c r="D853" s="43"/>
      <c r="E853" s="29" cm="1">
        <f t="array" ref="E853">_xlfn.IFS(C853=":",":",C853&gt;=N$19,1,C853&gt;=N$20,2,C853&gt;=N$21,3,C853&gt;=N$22,4,C853&gt;=N$23,5,C853&lt;N$23,6)</f>
        <v>6</v>
      </c>
      <c r="F853" s="30"/>
      <c r="G853" s="5"/>
      <c r="H853" s="5"/>
    </row>
    <row r="854" spans="1:8" ht="12" customHeight="1">
      <c r="A854" s="10" t="s">
        <v>2207</v>
      </c>
      <c r="B854" s="112" t="s">
        <v>2208</v>
      </c>
      <c r="C854" s="82">
        <v>852</v>
      </c>
      <c r="D854" s="43"/>
      <c r="E854" s="29" cm="1">
        <f t="array" ref="E854">_xlfn.IFS(C854=":",":",C854&gt;=N$19,1,C854&gt;=N$20,2,C854&gt;=N$21,3,C854&gt;=N$22,4,C854&gt;=N$23,5,C854&lt;N$23,6)</f>
        <v>6</v>
      </c>
      <c r="F854" s="30"/>
      <c r="G854" s="5"/>
      <c r="H854" s="5"/>
    </row>
    <row r="855" spans="1:8" ht="12" customHeight="1">
      <c r="A855" s="16" t="s">
        <v>3078</v>
      </c>
      <c r="B855" s="11" t="s">
        <v>2897</v>
      </c>
      <c r="C855" s="82" t="s">
        <v>546</v>
      </c>
      <c r="D855" s="43"/>
      <c r="E855" s="29" t="str" cm="1">
        <f t="array" ref="E855">_xlfn.IFS(C855=":",":",C855&gt;=N$19,1,C855&gt;=N$20,2,C855&gt;=N$21,3,C855&gt;=N$22,4,C855&gt;=N$23,5,C855&lt;N$23,6)</f>
        <v>:</v>
      </c>
      <c r="F855" s="30"/>
      <c r="G855" s="5"/>
      <c r="H855" s="5"/>
    </row>
    <row r="856" spans="1:8" ht="12" customHeight="1">
      <c r="A856" s="16" t="s">
        <v>3079</v>
      </c>
      <c r="B856" s="11" t="s">
        <v>2203</v>
      </c>
      <c r="C856" s="82" t="s">
        <v>546</v>
      </c>
      <c r="D856" s="43"/>
      <c r="E856" s="29" t="str" cm="1">
        <f t="array" ref="E856">_xlfn.IFS(C856=":",":",C856&gt;=N$19,1,C856&gt;=N$20,2,C856&gt;=N$21,3,C856&gt;=N$22,4,C856&gt;=N$23,5,C856&lt;N$23,6)</f>
        <v>:</v>
      </c>
      <c r="F856" s="30"/>
      <c r="G856" s="5"/>
      <c r="H856" s="5"/>
    </row>
    <row r="857" spans="1:8" ht="12" customHeight="1">
      <c r="A857" s="16" t="s">
        <v>3080</v>
      </c>
      <c r="B857" s="11" t="s">
        <v>2206</v>
      </c>
      <c r="C857" s="82" t="s">
        <v>546</v>
      </c>
      <c r="D857" s="43"/>
      <c r="E857" s="29" t="str" cm="1">
        <f t="array" ref="E857">_xlfn.IFS(C857=":",":",C857&gt;=N$19,1,C857&gt;=N$20,2,C857&gt;=N$21,3,C857&gt;=N$22,4,C857&gt;=N$23,5,C857&lt;N$23,6)</f>
        <v>:</v>
      </c>
      <c r="F857" s="30"/>
      <c r="G857" s="5"/>
      <c r="H857" s="5"/>
    </row>
    <row r="858" spans="1:8" ht="12" customHeight="1">
      <c r="A858" s="10" t="s">
        <v>2209</v>
      </c>
      <c r="B858" s="112" t="s">
        <v>2210</v>
      </c>
      <c r="C858" s="82">
        <v>3199</v>
      </c>
      <c r="D858" s="43"/>
      <c r="E858" s="29" cm="1">
        <f t="array" ref="E858">_xlfn.IFS(C858=":",":",C858&gt;=N$19,1,C858&gt;=N$20,2,C858&gt;=N$21,3,C858&gt;=N$22,4,C858&gt;=N$23,5,C858&lt;N$23,6)</f>
        <v>4</v>
      </c>
      <c r="F858" s="30"/>
      <c r="G858" s="5"/>
      <c r="H858" s="5"/>
    </row>
    <row r="859" spans="1:8" ht="12" customHeight="1">
      <c r="A859" s="10" t="s">
        <v>2211</v>
      </c>
      <c r="B859" s="112" t="s">
        <v>2212</v>
      </c>
      <c r="C859" s="82">
        <v>8793</v>
      </c>
      <c r="D859" s="43"/>
      <c r="E859" s="29" cm="1">
        <f t="array" ref="E859">_xlfn.IFS(C859=":",":",C859&gt;=N$19,1,C859&gt;=N$20,2,C859&gt;=N$21,3,C859&gt;=N$22,4,C859&gt;=N$23,5,C859&lt;N$23,6)</f>
        <v>2</v>
      </c>
      <c r="F859" s="30"/>
      <c r="G859" s="5"/>
      <c r="H859" s="5"/>
    </row>
    <row r="860" spans="1:8" ht="12" customHeight="1">
      <c r="A860" s="10" t="s">
        <v>2213</v>
      </c>
      <c r="B860" s="112" t="s">
        <v>2214</v>
      </c>
      <c r="C860" s="82">
        <v>2608</v>
      </c>
      <c r="D860" s="43"/>
      <c r="E860" s="29" cm="1">
        <f t="array" ref="E860">_xlfn.IFS(C860=":",":",C860&gt;=N$19,1,C860&gt;=N$20,2,C860&gt;=N$21,3,C860&gt;=N$22,4,C860&gt;=N$23,5,C860&lt;N$23,6)</f>
        <v>4</v>
      </c>
      <c r="F860" s="30"/>
      <c r="G860" s="5"/>
      <c r="H860" s="5"/>
    </row>
    <row r="861" spans="1:8" ht="12" customHeight="1">
      <c r="A861" s="10" t="s">
        <v>2215</v>
      </c>
      <c r="B861" s="112" t="s">
        <v>2898</v>
      </c>
      <c r="C861" s="82">
        <v>6919</v>
      </c>
      <c r="D861" s="43"/>
      <c r="E861" s="29" cm="1">
        <f t="array" ref="E861">_xlfn.IFS(C861=":",":",C861&gt;=N$19,1,C861&gt;=N$20,2,C861&gt;=N$21,3,C861&gt;=N$22,4,C861&gt;=N$23,5,C861&lt;N$23,6)</f>
        <v>3</v>
      </c>
      <c r="F861" s="30"/>
      <c r="G861" s="5"/>
      <c r="H861" s="5"/>
    </row>
    <row r="862" spans="1:8" ht="12" customHeight="1">
      <c r="A862" s="10" t="s">
        <v>2216</v>
      </c>
      <c r="B862" s="112" t="s">
        <v>2899</v>
      </c>
      <c r="C862" s="82">
        <v>686</v>
      </c>
      <c r="D862" s="43"/>
      <c r="E862" s="29" cm="1">
        <f t="array" ref="E862">_xlfn.IFS(C862=":",":",C862&gt;=N$19,1,C862&gt;=N$20,2,C862&gt;=N$21,3,C862&gt;=N$22,4,C862&gt;=N$23,5,C862&lt;N$23,6)</f>
        <v>6</v>
      </c>
      <c r="F862" s="30"/>
      <c r="G862" s="5"/>
      <c r="H862" s="5"/>
    </row>
    <row r="863" spans="1:8" ht="12" customHeight="1">
      <c r="A863" s="10" t="s">
        <v>2217</v>
      </c>
      <c r="B863" s="112" t="s">
        <v>2900</v>
      </c>
      <c r="C863" s="82">
        <v>775</v>
      </c>
      <c r="D863" s="43"/>
      <c r="E863" s="29" cm="1">
        <f t="array" ref="E863">_xlfn.IFS(C863=":",":",C863&gt;=N$19,1,C863&gt;=N$20,2,C863&gt;=N$21,3,C863&gt;=N$22,4,C863&gt;=N$23,5,C863&lt;N$23,6)</f>
        <v>6</v>
      </c>
      <c r="F863" s="30"/>
      <c r="G863" s="5"/>
      <c r="H863" s="5"/>
    </row>
    <row r="864" spans="1:8" ht="12" customHeight="1">
      <c r="A864" s="10" t="s">
        <v>2218</v>
      </c>
      <c r="B864" s="112" t="s">
        <v>2901</v>
      </c>
      <c r="C864" s="82">
        <v>1134</v>
      </c>
      <c r="D864" s="43"/>
      <c r="E864" s="29" cm="1">
        <f t="array" ref="E864">_xlfn.IFS(C864=":",":",C864&gt;=N$19,1,C864&gt;=N$20,2,C864&gt;=N$21,3,C864&gt;=N$22,4,C864&gt;=N$23,5,C864&lt;N$23,6)</f>
        <v>5</v>
      </c>
      <c r="F864" s="30"/>
      <c r="G864" s="5"/>
      <c r="H864" s="5"/>
    </row>
    <row r="865" spans="1:8" ht="12" customHeight="1">
      <c r="A865" s="10" t="s">
        <v>2219</v>
      </c>
      <c r="B865" s="112" t="s">
        <v>2902</v>
      </c>
      <c r="C865" s="82">
        <v>459</v>
      </c>
      <c r="D865" s="43"/>
      <c r="E865" s="29" cm="1">
        <f t="array" ref="E865">_xlfn.IFS(C865=":",":",C865&gt;=N$19,1,C865&gt;=N$20,2,C865&gt;=N$21,3,C865&gt;=N$22,4,C865&gt;=N$23,5,C865&lt;N$23,6)</f>
        <v>6</v>
      </c>
      <c r="F865" s="30"/>
      <c r="G865" s="5"/>
      <c r="H865" s="5"/>
    </row>
    <row r="866" spans="1:8" ht="12" customHeight="1">
      <c r="A866" s="10" t="s">
        <v>2220</v>
      </c>
      <c r="B866" s="112" t="s">
        <v>2903</v>
      </c>
      <c r="C866" s="82">
        <v>1065</v>
      </c>
      <c r="D866" s="43"/>
      <c r="E866" s="29" cm="1">
        <f t="array" ref="E866">_xlfn.IFS(C866=":",":",C866&gt;=N$19,1,C866&gt;=N$20,2,C866&gt;=N$21,3,C866&gt;=N$22,4,C866&gt;=N$23,5,C866&lt;N$23,6)</f>
        <v>5</v>
      </c>
      <c r="F866" s="30"/>
      <c r="G866" s="5"/>
      <c r="H866" s="5"/>
    </row>
    <row r="867" spans="1:8" ht="12" customHeight="1">
      <c r="A867" s="10" t="s">
        <v>2221</v>
      </c>
      <c r="B867" s="112" t="s">
        <v>2222</v>
      </c>
      <c r="C867" s="82">
        <v>2901</v>
      </c>
      <c r="D867" s="43"/>
      <c r="E867" s="29" cm="1">
        <f t="array" ref="E867">_xlfn.IFS(C867=":",":",C867&gt;=N$19,1,C867&gt;=N$20,2,C867&gt;=N$21,3,C867&gt;=N$22,4,C867&gt;=N$23,5,C867&lt;N$23,6)</f>
        <v>4</v>
      </c>
      <c r="F867" s="30"/>
      <c r="G867" s="5"/>
      <c r="H867" s="5"/>
    </row>
    <row r="868" spans="1:8" ht="12" customHeight="1">
      <c r="A868" s="10" t="s">
        <v>2223</v>
      </c>
      <c r="B868" s="112" t="s">
        <v>309</v>
      </c>
      <c r="C868" s="82">
        <v>5709</v>
      </c>
      <c r="D868" s="43"/>
      <c r="E868" s="29" cm="1">
        <f t="array" ref="E868">_xlfn.IFS(C868=":",":",C868&gt;=N$19,1,C868&gt;=N$20,2,C868&gt;=N$21,3,C868&gt;=N$22,4,C868&gt;=N$23,5,C868&lt;N$23,6)</f>
        <v>3</v>
      </c>
      <c r="F868" s="30"/>
      <c r="G868" s="5"/>
      <c r="H868" s="5"/>
    </row>
    <row r="869" spans="1:8" ht="12" customHeight="1">
      <c r="A869" s="10" t="s">
        <v>2224</v>
      </c>
      <c r="B869" s="112" t="s">
        <v>26</v>
      </c>
      <c r="C869" s="82">
        <v>6336</v>
      </c>
      <c r="D869" s="43"/>
      <c r="E869" s="29" cm="1">
        <f t="array" ref="E869">_xlfn.IFS(C869=":",":",C869&gt;=N$19,1,C869&gt;=N$20,2,C869&gt;=N$21,3,C869&gt;=N$22,4,C869&gt;=N$23,5,C869&lt;N$23,6)</f>
        <v>3</v>
      </c>
      <c r="F869" s="30"/>
      <c r="G869" s="5"/>
      <c r="H869" s="5"/>
    </row>
    <row r="870" spans="1:8" ht="12" customHeight="1">
      <c r="A870" s="10" t="s">
        <v>2225</v>
      </c>
      <c r="B870" s="112" t="s">
        <v>313</v>
      </c>
      <c r="C870" s="82">
        <v>1076</v>
      </c>
      <c r="D870" s="43"/>
      <c r="E870" s="29" cm="1">
        <f t="array" ref="E870">_xlfn.IFS(C870=":",":",C870&gt;=N$19,1,C870&gt;=N$20,2,C870&gt;=N$21,3,C870&gt;=N$22,4,C870&gt;=N$23,5,C870&lt;N$23,6)</f>
        <v>5</v>
      </c>
      <c r="F870" s="30"/>
      <c r="G870" s="5"/>
      <c r="H870" s="5"/>
    </row>
    <row r="871" spans="1:8" ht="12" customHeight="1">
      <c r="A871" s="10" t="s">
        <v>2226</v>
      </c>
      <c r="B871" s="112" t="s">
        <v>2227</v>
      </c>
      <c r="C871" s="82">
        <v>1666</v>
      </c>
      <c r="D871" s="43"/>
      <c r="E871" s="29" cm="1">
        <f t="array" ref="E871">_xlfn.IFS(C871=":",":",C871&gt;=N$19,1,C871&gt;=N$20,2,C871&gt;=N$21,3,C871&gt;=N$22,4,C871&gt;=N$23,5,C871&lt;N$23,6)</f>
        <v>5</v>
      </c>
      <c r="F871" s="30"/>
      <c r="G871" s="5"/>
      <c r="H871" s="5"/>
    </row>
    <row r="872" spans="1:8" ht="12" customHeight="1">
      <c r="A872" s="10" t="s">
        <v>2228</v>
      </c>
      <c r="B872" s="112" t="s">
        <v>2229</v>
      </c>
      <c r="C872" s="82">
        <v>1982</v>
      </c>
      <c r="D872" s="43"/>
      <c r="E872" s="29" cm="1">
        <f t="array" ref="E872">_xlfn.IFS(C872=":",":",C872&gt;=N$19,1,C872&gt;=N$20,2,C872&gt;=N$21,3,C872&gt;=N$22,4,C872&gt;=N$23,5,C872&lt;N$23,6)</f>
        <v>5</v>
      </c>
      <c r="F872" s="30"/>
      <c r="G872" s="5"/>
      <c r="H872" s="5"/>
    </row>
    <row r="873" spans="1:8" ht="12" customHeight="1">
      <c r="A873" s="10" t="s">
        <v>2230</v>
      </c>
      <c r="B873" s="112" t="s">
        <v>2231</v>
      </c>
      <c r="C873" s="82">
        <v>7858</v>
      </c>
      <c r="D873" s="43"/>
      <c r="E873" s="29" cm="1">
        <f t="array" ref="E873">_xlfn.IFS(C873=":",":",C873&gt;=N$19,1,C873&gt;=N$20,2,C873&gt;=N$21,3,C873&gt;=N$22,4,C873&gt;=N$23,5,C873&lt;N$23,6)</f>
        <v>2</v>
      </c>
      <c r="F873" s="30"/>
      <c r="G873" s="5"/>
      <c r="H873" s="5"/>
    </row>
    <row r="874" spans="1:8" ht="12" customHeight="1">
      <c r="A874" s="10" t="s">
        <v>2232</v>
      </c>
      <c r="B874" s="112" t="s">
        <v>2904</v>
      </c>
      <c r="C874" s="82">
        <v>2734</v>
      </c>
      <c r="D874" s="43"/>
      <c r="E874" s="29" cm="1">
        <f t="array" ref="E874">_xlfn.IFS(C874=":",":",C874&gt;=N$19,1,C874&gt;=N$20,2,C874&gt;=N$21,3,C874&gt;=N$22,4,C874&gt;=N$23,5,C874&lt;N$23,6)</f>
        <v>4</v>
      </c>
      <c r="F874" s="30"/>
      <c r="G874" s="5"/>
      <c r="H874" s="5"/>
    </row>
    <row r="875" spans="1:8" ht="12" customHeight="1">
      <c r="A875" s="10" t="s">
        <v>2233</v>
      </c>
      <c r="B875" s="112" t="s">
        <v>2234</v>
      </c>
      <c r="C875" s="82">
        <v>6120</v>
      </c>
      <c r="D875" s="43"/>
      <c r="E875" s="29" cm="1">
        <f t="array" ref="E875">_xlfn.IFS(C875=":",":",C875&gt;=N$19,1,C875&gt;=N$20,2,C875&gt;=N$21,3,C875&gt;=N$22,4,C875&gt;=N$23,5,C875&lt;N$23,6)</f>
        <v>3</v>
      </c>
      <c r="F875" s="30"/>
      <c r="G875" s="5"/>
      <c r="H875" s="5"/>
    </row>
    <row r="876" spans="1:8" ht="12" customHeight="1">
      <c r="A876" s="10" t="s">
        <v>2235</v>
      </c>
      <c r="B876" s="112" t="s">
        <v>2236</v>
      </c>
      <c r="C876" s="82">
        <v>10070</v>
      </c>
      <c r="D876" s="43"/>
      <c r="E876" s="29" cm="1">
        <f t="array" ref="E876">_xlfn.IFS(C876=":",":",C876&gt;=N$19,1,C876&gt;=N$20,2,C876&gt;=N$21,3,C876&gt;=N$22,4,C876&gt;=N$23,5,C876&lt;N$23,6)</f>
        <v>2</v>
      </c>
      <c r="F876" s="30"/>
      <c r="G876" s="5"/>
      <c r="H876" s="5"/>
    </row>
    <row r="877" spans="1:8" ht="12" customHeight="1">
      <c r="A877" s="10" t="s">
        <v>2237</v>
      </c>
      <c r="B877" s="112" t="s">
        <v>2238</v>
      </c>
      <c r="C877" s="82">
        <v>1839</v>
      </c>
      <c r="D877" s="43"/>
      <c r="E877" s="29" cm="1">
        <f t="array" ref="E877">_xlfn.IFS(C877=":",":",C877&gt;=N$19,1,C877&gt;=N$20,2,C877&gt;=N$21,3,C877&gt;=N$22,4,C877&gt;=N$23,5,C877&lt;N$23,6)</f>
        <v>5</v>
      </c>
      <c r="F877" s="30"/>
      <c r="G877" s="5"/>
      <c r="H877" s="5"/>
    </row>
    <row r="878" spans="1:8" ht="12" customHeight="1">
      <c r="A878" s="10" t="s">
        <v>2239</v>
      </c>
      <c r="B878" s="112" t="s">
        <v>2240</v>
      </c>
      <c r="C878" s="82">
        <v>6447</v>
      </c>
      <c r="D878" s="43"/>
      <c r="E878" s="29" cm="1">
        <f t="array" ref="E878">_xlfn.IFS(C878=":",":",C878&gt;=N$19,1,C878&gt;=N$20,2,C878&gt;=N$21,3,C878&gt;=N$22,4,C878&gt;=N$23,5,C878&lt;N$23,6)</f>
        <v>3</v>
      </c>
      <c r="F878" s="30"/>
      <c r="G878" s="5"/>
      <c r="H878" s="5"/>
    </row>
    <row r="879" spans="1:8" ht="12" customHeight="1">
      <c r="A879" s="10" t="s">
        <v>2241</v>
      </c>
      <c r="B879" s="112" t="s">
        <v>2242</v>
      </c>
      <c r="C879" s="82">
        <v>774</v>
      </c>
      <c r="D879" s="43"/>
      <c r="E879" s="29" cm="1">
        <f t="array" ref="E879">_xlfn.IFS(C879=":",":",C879&gt;=N$19,1,C879&gt;=N$20,2,C879&gt;=N$21,3,C879&gt;=N$22,4,C879&gt;=N$23,5,C879&lt;N$23,6)</f>
        <v>6</v>
      </c>
      <c r="F879" s="30"/>
      <c r="G879" s="5"/>
      <c r="H879" s="5"/>
    </row>
    <row r="880" spans="1:8" ht="12" customHeight="1">
      <c r="A880" s="10" t="s">
        <v>2243</v>
      </c>
      <c r="B880" s="112" t="s">
        <v>2244</v>
      </c>
      <c r="C880" s="82">
        <v>1781</v>
      </c>
      <c r="D880" s="43"/>
      <c r="E880" s="29" cm="1">
        <f t="array" ref="E880">_xlfn.IFS(C880=":",":",C880&gt;=N$19,1,C880&gt;=N$20,2,C880&gt;=N$21,3,C880&gt;=N$22,4,C880&gt;=N$23,5,C880&lt;N$23,6)</f>
        <v>5</v>
      </c>
      <c r="F880" s="30"/>
      <c r="G880" s="5"/>
      <c r="H880" s="5"/>
    </row>
    <row r="881" spans="1:8" ht="12" customHeight="1">
      <c r="A881" s="10" t="s">
        <v>2245</v>
      </c>
      <c r="B881" s="112" t="s">
        <v>2246</v>
      </c>
      <c r="C881" s="82">
        <v>4579</v>
      </c>
      <c r="D881" s="43"/>
      <c r="E881" s="29" cm="1">
        <f t="array" ref="E881">_xlfn.IFS(C881=":",":",C881&gt;=N$19,1,C881&gt;=N$20,2,C881&gt;=N$21,3,C881&gt;=N$22,4,C881&gt;=N$23,5,C881&lt;N$23,6)</f>
        <v>3</v>
      </c>
      <c r="F881" s="30"/>
      <c r="G881" s="5"/>
      <c r="H881" s="5"/>
    </row>
    <row r="882" spans="1:8" ht="12" customHeight="1">
      <c r="A882" s="10" t="s">
        <v>2247</v>
      </c>
      <c r="B882" s="112" t="s">
        <v>2248</v>
      </c>
      <c r="C882" s="82">
        <v>794</v>
      </c>
      <c r="D882" s="43"/>
      <c r="E882" s="29" cm="1">
        <f t="array" ref="E882">_xlfn.IFS(C882=":",":",C882&gt;=N$19,1,C882&gt;=N$20,2,C882&gt;=N$21,3,C882&gt;=N$22,4,C882&gt;=N$23,5,C882&lt;N$23,6)</f>
        <v>6</v>
      </c>
      <c r="F882" s="30"/>
      <c r="G882" s="5"/>
      <c r="H882" s="5"/>
    </row>
    <row r="883" spans="1:8" ht="12" customHeight="1">
      <c r="A883" s="10" t="s">
        <v>2249</v>
      </c>
      <c r="B883" s="112" t="s">
        <v>2250</v>
      </c>
      <c r="C883" s="82">
        <v>2811</v>
      </c>
      <c r="D883" s="43"/>
      <c r="E883" s="29" cm="1">
        <f t="array" ref="E883">_xlfn.IFS(C883=":",":",C883&gt;=N$19,1,C883&gt;=N$20,2,C883&gt;=N$21,3,C883&gt;=N$22,4,C883&gt;=N$23,5,C883&lt;N$23,6)</f>
        <v>4</v>
      </c>
      <c r="F883" s="30"/>
      <c r="G883" s="5"/>
      <c r="H883" s="5"/>
    </row>
    <row r="884" spans="1:8" ht="12" customHeight="1">
      <c r="A884" s="10" t="s">
        <v>2251</v>
      </c>
      <c r="B884" s="112" t="s">
        <v>2252</v>
      </c>
      <c r="C884" s="82">
        <v>1494</v>
      </c>
      <c r="D884" s="43"/>
      <c r="E884" s="29" cm="1">
        <f t="array" ref="E884">_xlfn.IFS(C884=":",":",C884&gt;=N$19,1,C884&gt;=N$20,2,C884&gt;=N$21,3,C884&gt;=N$22,4,C884&gt;=N$23,5,C884&lt;N$23,6)</f>
        <v>5</v>
      </c>
      <c r="F884" s="30"/>
      <c r="G884" s="5"/>
      <c r="H884" s="5"/>
    </row>
    <row r="885" spans="1:8" ht="12" customHeight="1">
      <c r="A885" s="10" t="s">
        <v>2253</v>
      </c>
      <c r="B885" s="112" t="s">
        <v>2254</v>
      </c>
      <c r="C885" s="82">
        <v>822</v>
      </c>
      <c r="D885" s="43"/>
      <c r="E885" s="29" cm="1">
        <f t="array" ref="E885">_xlfn.IFS(C885=":",":",C885&gt;=N$19,1,C885&gt;=N$20,2,C885&gt;=N$21,3,C885&gt;=N$22,4,C885&gt;=N$23,5,C885&lt;N$23,6)</f>
        <v>6</v>
      </c>
      <c r="F885" s="30"/>
      <c r="G885" s="5"/>
      <c r="H885" s="5"/>
    </row>
    <row r="886" spans="1:8" ht="12" customHeight="1">
      <c r="A886" s="10" t="s">
        <v>2255</v>
      </c>
      <c r="B886" s="112" t="s">
        <v>2256</v>
      </c>
      <c r="C886" s="82">
        <v>1281</v>
      </c>
      <c r="D886" s="43"/>
      <c r="E886" s="29" cm="1">
        <f t="array" ref="E886">_xlfn.IFS(C886=":",":",C886&gt;=N$19,1,C886&gt;=N$20,2,C886&gt;=N$21,3,C886&gt;=N$22,4,C886&gt;=N$23,5,C886&lt;N$23,6)</f>
        <v>5</v>
      </c>
      <c r="F886" s="30"/>
      <c r="G886" s="5"/>
      <c r="H886" s="5"/>
    </row>
    <row r="887" spans="1:8" ht="12" customHeight="1">
      <c r="A887" s="10" t="s">
        <v>2257</v>
      </c>
      <c r="B887" s="112" t="s">
        <v>2258</v>
      </c>
      <c r="C887" s="82">
        <v>2187</v>
      </c>
      <c r="D887" s="43"/>
      <c r="E887" s="29" cm="1">
        <f t="array" ref="E887">_xlfn.IFS(C887=":",":",C887&gt;=N$19,1,C887&gt;=N$20,2,C887&gt;=N$21,3,C887&gt;=N$22,4,C887&gt;=N$23,5,C887&lt;N$23,6)</f>
        <v>4</v>
      </c>
      <c r="F887" s="30"/>
      <c r="G887" s="5"/>
      <c r="H887" s="5"/>
    </row>
    <row r="888" spans="1:8" ht="12" customHeight="1">
      <c r="A888" s="16" t="s">
        <v>2259</v>
      </c>
      <c r="B888" s="11" t="s">
        <v>3024</v>
      </c>
      <c r="C888" s="82">
        <v>1949</v>
      </c>
      <c r="D888" s="43"/>
      <c r="E888" s="29" cm="1">
        <f t="array" ref="E888">_xlfn.IFS(C888=":",":",C888&gt;=N$19,1,C888&gt;=N$20,2,C888&gt;=N$21,3,C888&gt;=N$22,4,C888&gt;=N$23,5,C888&lt;N$23,6)</f>
        <v>5</v>
      </c>
      <c r="F888" s="30"/>
      <c r="G888" s="5"/>
      <c r="H888" s="5"/>
    </row>
    <row r="889" spans="1:8" ht="12" customHeight="1">
      <c r="A889" s="10" t="s">
        <v>2260</v>
      </c>
      <c r="B889" s="112" t="s">
        <v>326</v>
      </c>
      <c r="C889" s="82">
        <v>22807</v>
      </c>
      <c r="D889" s="43"/>
      <c r="E889" s="29" cm="1">
        <f t="array" ref="E889">_xlfn.IFS(C889=":",":",C889&gt;=N$19,1,C889&gt;=N$20,2,C889&gt;=N$21,3,C889&gt;=N$22,4,C889&gt;=N$23,5,C889&lt;N$23,6)</f>
        <v>1</v>
      </c>
      <c r="F889" s="30"/>
      <c r="G889" s="5"/>
      <c r="H889" s="5"/>
    </row>
    <row r="890" spans="1:8" ht="12" customHeight="1">
      <c r="A890" s="10" t="s">
        <v>2261</v>
      </c>
      <c r="B890" s="112" t="s">
        <v>2905</v>
      </c>
      <c r="C890" s="82">
        <v>9775</v>
      </c>
      <c r="D890" s="43"/>
      <c r="E890" s="29" cm="1">
        <f t="array" ref="E890">_xlfn.IFS(C890=":",":",C890&gt;=N$19,1,C890&gt;=N$20,2,C890&gt;=N$21,3,C890&gt;=N$22,4,C890&gt;=N$23,5,C890&lt;N$23,6)</f>
        <v>2</v>
      </c>
      <c r="F890" s="30"/>
      <c r="G890" s="5"/>
      <c r="H890" s="5"/>
    </row>
    <row r="891" spans="1:8" ht="12" customHeight="1">
      <c r="A891" s="10" t="s">
        <v>2263</v>
      </c>
      <c r="B891" s="112" t="s">
        <v>2264</v>
      </c>
      <c r="C891" s="82">
        <v>2698</v>
      </c>
      <c r="D891" s="43"/>
      <c r="E891" s="29" cm="1">
        <f t="array" ref="E891">_xlfn.IFS(C891=":",":",C891&gt;=N$19,1,C891&gt;=N$20,2,C891&gt;=N$21,3,C891&gt;=N$22,4,C891&gt;=N$23,5,C891&lt;N$23,6)</f>
        <v>4</v>
      </c>
      <c r="F891" s="30"/>
      <c r="G891" s="5"/>
      <c r="H891" s="5"/>
    </row>
    <row r="892" spans="1:8" ht="12" customHeight="1">
      <c r="A892" s="16" t="s">
        <v>3081</v>
      </c>
      <c r="B892" s="11" t="s">
        <v>2262</v>
      </c>
      <c r="C892" s="82" t="s">
        <v>546</v>
      </c>
      <c r="D892" s="43"/>
      <c r="E892" s="29" t="str" cm="1">
        <f t="array" ref="E892">_xlfn.IFS(C892=":",":",C892&gt;=N$19,1,C892&gt;=N$20,2,C892&gt;=N$21,3,C892&gt;=N$22,4,C892&gt;=N$23,5,C892&lt;N$23,6)</f>
        <v>:</v>
      </c>
      <c r="F892" s="30"/>
      <c r="G892" s="5"/>
      <c r="H892" s="5"/>
    </row>
    <row r="893" spans="1:8" ht="12" customHeight="1">
      <c r="A893" s="16" t="s">
        <v>3082</v>
      </c>
      <c r="B893" s="11" t="s">
        <v>2265</v>
      </c>
      <c r="C893" s="82" t="s">
        <v>546</v>
      </c>
      <c r="D893" s="43"/>
      <c r="E893" s="29" t="str" cm="1">
        <f t="array" ref="E893">_xlfn.IFS(C893=":",":",C893&gt;=N$19,1,C893&gt;=N$20,2,C893&gt;=N$21,3,C893&gt;=N$22,4,C893&gt;=N$23,5,C893&lt;N$23,6)</f>
        <v>:</v>
      </c>
      <c r="F893" s="30"/>
      <c r="G893" s="5"/>
      <c r="H893" s="5"/>
    </row>
    <row r="894" spans="1:8" ht="12" customHeight="1">
      <c r="A894" s="10" t="s">
        <v>2268</v>
      </c>
      <c r="B894" s="112" t="s">
        <v>2269</v>
      </c>
      <c r="C894" s="82">
        <v>4958</v>
      </c>
      <c r="D894" s="43"/>
      <c r="E894" s="29" cm="1">
        <f t="array" ref="E894">_xlfn.IFS(C894=":",":",C894&gt;=N$19,1,C894&gt;=N$20,2,C894&gt;=N$21,3,C894&gt;=N$22,4,C894&gt;=N$23,5,C894&lt;N$23,6)</f>
        <v>3</v>
      </c>
      <c r="F894" s="30"/>
      <c r="G894" s="5"/>
      <c r="H894" s="5"/>
    </row>
    <row r="895" spans="1:8" ht="12" customHeight="1">
      <c r="A895" s="16" t="s">
        <v>3083</v>
      </c>
      <c r="B895" s="11" t="s">
        <v>2266</v>
      </c>
      <c r="C895" s="82" t="s">
        <v>546</v>
      </c>
      <c r="D895" s="43"/>
      <c r="E895" s="29" t="str" cm="1">
        <f t="array" ref="E895">_xlfn.IFS(C895=":",":",C895&gt;=N$19,1,C895&gt;=N$20,2,C895&gt;=N$21,3,C895&gt;=N$22,4,C895&gt;=N$23,5,C895&lt;N$23,6)</f>
        <v>:</v>
      </c>
      <c r="F895" s="30"/>
      <c r="G895" s="5"/>
      <c r="H895" s="5"/>
    </row>
    <row r="896" spans="1:8" ht="12" customHeight="1">
      <c r="A896" s="16" t="s">
        <v>3084</v>
      </c>
      <c r="B896" s="11" t="s">
        <v>2267</v>
      </c>
      <c r="C896" s="82" t="s">
        <v>546</v>
      </c>
      <c r="D896" s="43"/>
      <c r="E896" s="29" t="str" cm="1">
        <f t="array" ref="E896">_xlfn.IFS(C896=":",":",C896&gt;=N$19,1,C896&gt;=N$20,2,C896&gt;=N$21,3,C896&gt;=N$22,4,C896&gt;=N$23,5,C896&lt;N$23,6)</f>
        <v>:</v>
      </c>
      <c r="F896" s="30"/>
      <c r="G896" s="5"/>
      <c r="H896" s="5"/>
    </row>
    <row r="897" spans="1:8" ht="12" customHeight="1">
      <c r="A897" s="10" t="s">
        <v>2270</v>
      </c>
      <c r="B897" s="112" t="s">
        <v>2271</v>
      </c>
      <c r="C897" s="82">
        <v>17918</v>
      </c>
      <c r="D897" s="43"/>
      <c r="E897" s="29" cm="1">
        <f t="array" ref="E897">_xlfn.IFS(C897=":",":",C897&gt;=N$19,1,C897&gt;=N$20,2,C897&gt;=N$21,3,C897&gt;=N$22,4,C897&gt;=N$23,5,C897&lt;N$23,6)</f>
        <v>1</v>
      </c>
      <c r="F897" s="30"/>
      <c r="G897" s="5"/>
      <c r="H897" s="5"/>
    </row>
    <row r="898" spans="1:8" ht="12" customHeight="1">
      <c r="A898" s="10" t="s">
        <v>2272</v>
      </c>
      <c r="B898" s="112" t="s">
        <v>2273</v>
      </c>
      <c r="C898" s="82">
        <v>18686</v>
      </c>
      <c r="D898" s="43"/>
      <c r="E898" s="29" cm="1">
        <f t="array" ref="E898">_xlfn.IFS(C898=":",":",C898&gt;=N$19,1,C898&gt;=N$20,2,C898&gt;=N$21,3,C898&gt;=N$22,4,C898&gt;=N$23,5,C898&lt;N$23,6)</f>
        <v>1</v>
      </c>
      <c r="F898" s="30"/>
      <c r="G898" s="5"/>
      <c r="H898" s="5"/>
    </row>
    <row r="899" spans="1:8" ht="12" customHeight="1">
      <c r="A899" s="10" t="s">
        <v>2274</v>
      </c>
      <c r="B899" s="112" t="s">
        <v>2275</v>
      </c>
      <c r="C899" s="82">
        <v>8120</v>
      </c>
      <c r="D899" s="43"/>
      <c r="E899" s="29" cm="1">
        <f t="array" ref="E899">_xlfn.IFS(C899=":",":",C899&gt;=N$19,1,C899&gt;=N$20,2,C899&gt;=N$21,3,C899&gt;=N$22,4,C899&gt;=N$23,5,C899&lt;N$23,6)</f>
        <v>2</v>
      </c>
      <c r="F899" s="30"/>
      <c r="G899" s="5"/>
      <c r="H899" s="5"/>
    </row>
    <row r="900" spans="1:8" ht="12" customHeight="1">
      <c r="A900" s="10" t="s">
        <v>2276</v>
      </c>
      <c r="B900" s="112" t="s">
        <v>2277</v>
      </c>
      <c r="C900" s="82">
        <v>10475</v>
      </c>
      <c r="D900" s="43"/>
      <c r="E900" s="29" cm="1">
        <f t="array" ref="E900">_xlfn.IFS(C900=":",":",C900&gt;=N$19,1,C900&gt;=N$20,2,C900&gt;=N$21,3,C900&gt;=N$22,4,C900&gt;=N$23,5,C900&lt;N$23,6)</f>
        <v>2</v>
      </c>
      <c r="F900" s="30"/>
      <c r="G900" s="5"/>
      <c r="H900" s="5"/>
    </row>
    <row r="901" spans="1:8" ht="12" customHeight="1">
      <c r="A901" s="10" t="s">
        <v>2278</v>
      </c>
      <c r="B901" s="112" t="s">
        <v>2279</v>
      </c>
      <c r="C901" s="82">
        <v>2863</v>
      </c>
      <c r="D901" s="43"/>
      <c r="E901" s="29" cm="1">
        <f t="array" ref="E901">_xlfn.IFS(C901=":",":",C901&gt;=N$19,1,C901&gt;=N$20,2,C901&gt;=N$21,3,C901&gt;=N$22,4,C901&gt;=N$23,5,C901&lt;N$23,6)</f>
        <v>4</v>
      </c>
      <c r="F901" s="30"/>
      <c r="G901" s="5"/>
      <c r="H901" s="5"/>
    </row>
    <row r="902" spans="1:8" ht="12" customHeight="1">
      <c r="A902" s="10" t="s">
        <v>2280</v>
      </c>
      <c r="B902" s="112" t="s">
        <v>2281</v>
      </c>
      <c r="C902" s="82">
        <v>6307</v>
      </c>
      <c r="D902" s="43"/>
      <c r="E902" s="29" cm="1">
        <f t="array" ref="E902">_xlfn.IFS(C902=":",":",C902&gt;=N$19,1,C902&gt;=N$20,2,C902&gt;=N$21,3,C902&gt;=N$22,4,C902&gt;=N$23,5,C902&lt;N$23,6)</f>
        <v>3</v>
      </c>
      <c r="F902" s="30"/>
      <c r="G902" s="5"/>
      <c r="H902" s="5"/>
    </row>
    <row r="903" spans="1:8" ht="12" customHeight="1">
      <c r="A903" s="10" t="s">
        <v>2282</v>
      </c>
      <c r="B903" s="112" t="s">
        <v>2283</v>
      </c>
      <c r="C903" s="82">
        <v>11172</v>
      </c>
      <c r="D903" s="43"/>
      <c r="E903" s="29" cm="1">
        <f t="array" ref="E903">_xlfn.IFS(C903=":",":",C903&gt;=N$19,1,C903&gt;=N$20,2,C903&gt;=N$21,3,C903&gt;=N$22,4,C903&gt;=N$23,5,C903&lt;N$23,6)</f>
        <v>2</v>
      </c>
      <c r="F903" s="30"/>
      <c r="G903" s="5"/>
      <c r="H903" s="5"/>
    </row>
    <row r="904" spans="1:8" ht="12" customHeight="1">
      <c r="A904" s="10" t="s">
        <v>2284</v>
      </c>
      <c r="B904" s="112" t="s">
        <v>2285</v>
      </c>
      <c r="C904" s="82">
        <v>2939</v>
      </c>
      <c r="D904" s="43"/>
      <c r="E904" s="29" cm="1">
        <f t="array" ref="E904">_xlfn.IFS(C904=":",":",C904&gt;=N$19,1,C904&gt;=N$20,2,C904&gt;=N$21,3,C904&gt;=N$22,4,C904&gt;=N$23,5,C904&lt;N$23,6)</f>
        <v>4</v>
      </c>
      <c r="F904" s="30"/>
      <c r="G904" s="5"/>
      <c r="H904" s="5"/>
    </row>
    <row r="905" spans="1:8" ht="12" customHeight="1">
      <c r="A905" s="10" t="s">
        <v>2286</v>
      </c>
      <c r="B905" s="112" t="s">
        <v>2287</v>
      </c>
      <c r="C905" s="82">
        <v>10387</v>
      </c>
      <c r="D905" s="43"/>
      <c r="E905" s="29" cm="1">
        <f t="array" ref="E905">_xlfn.IFS(C905=":",":",C905&gt;=N$19,1,C905&gt;=N$20,2,C905&gt;=N$21,3,C905&gt;=N$22,4,C905&gt;=N$23,5,C905&lt;N$23,6)</f>
        <v>2</v>
      </c>
      <c r="F905" s="30"/>
      <c r="G905" s="5"/>
      <c r="H905" s="5"/>
    </row>
    <row r="906" spans="1:8" ht="12" customHeight="1">
      <c r="A906" s="10" t="s">
        <v>2288</v>
      </c>
      <c r="B906" s="112" t="s">
        <v>2289</v>
      </c>
      <c r="C906" s="82">
        <v>3331</v>
      </c>
      <c r="D906" s="43"/>
      <c r="E906" s="29" cm="1">
        <f t="array" ref="E906">_xlfn.IFS(C906=":",":",C906&gt;=N$19,1,C906&gt;=N$20,2,C906&gt;=N$21,3,C906&gt;=N$22,4,C906&gt;=N$23,5,C906&lt;N$23,6)</f>
        <v>4</v>
      </c>
      <c r="F906" s="30"/>
      <c r="G906" s="5"/>
      <c r="H906" s="5"/>
    </row>
    <row r="907" spans="1:8" ht="12" customHeight="1">
      <c r="A907" s="10" t="s">
        <v>2290</v>
      </c>
      <c r="B907" s="112" t="s">
        <v>339</v>
      </c>
      <c r="C907" s="82">
        <v>6598</v>
      </c>
      <c r="D907" s="43"/>
      <c r="E907" s="29" cm="1">
        <f t="array" ref="E907">_xlfn.IFS(C907=":",":",C907&gt;=N$19,1,C907&gt;=N$20,2,C907&gt;=N$21,3,C907&gt;=N$22,4,C907&gt;=N$23,5,C907&lt;N$23,6)</f>
        <v>3</v>
      </c>
      <c r="F907" s="30"/>
      <c r="G907" s="5"/>
      <c r="H907" s="5"/>
    </row>
    <row r="908" spans="1:8" ht="12" customHeight="1">
      <c r="A908" s="10" t="s">
        <v>2291</v>
      </c>
      <c r="B908" s="112" t="s">
        <v>2292</v>
      </c>
      <c r="C908" s="82">
        <v>19035</v>
      </c>
      <c r="D908" s="43"/>
      <c r="E908" s="29" cm="1">
        <f t="array" ref="E908">_xlfn.IFS(C908=":",":",C908&gt;=N$19,1,C908&gt;=N$20,2,C908&gt;=N$21,3,C908&gt;=N$22,4,C908&gt;=N$23,5,C908&lt;N$23,6)</f>
        <v>1</v>
      </c>
      <c r="F908" s="30"/>
      <c r="G908" s="5"/>
      <c r="H908" s="5"/>
    </row>
    <row r="909" spans="1:8" ht="12" customHeight="1">
      <c r="A909" s="10" t="s">
        <v>2293</v>
      </c>
      <c r="B909" s="112" t="s">
        <v>2294</v>
      </c>
      <c r="C909" s="82">
        <v>4161</v>
      </c>
      <c r="D909" s="43"/>
      <c r="E909" s="29" cm="1">
        <f t="array" ref="E909">_xlfn.IFS(C909=":",":",C909&gt;=N$19,1,C909&gt;=N$20,2,C909&gt;=N$21,3,C909&gt;=N$22,4,C909&gt;=N$23,5,C909&lt;N$23,6)</f>
        <v>3</v>
      </c>
      <c r="F909" s="30"/>
      <c r="G909" s="5"/>
      <c r="H909" s="5"/>
    </row>
    <row r="910" spans="1:8" ht="12" customHeight="1">
      <c r="A910" s="10" t="s">
        <v>2296</v>
      </c>
      <c r="B910" s="112" t="s">
        <v>2297</v>
      </c>
      <c r="C910" s="82">
        <v>2726</v>
      </c>
      <c r="D910" s="43"/>
      <c r="E910" s="29" cm="1">
        <f t="array" ref="E910">_xlfn.IFS(C910=":",":",C910&gt;=N$19,1,C910&gt;=N$20,2,C910&gt;=N$21,3,C910&gt;=N$22,4,C910&gt;=N$23,5,C910&lt;N$23,6)</f>
        <v>4</v>
      </c>
      <c r="F910" s="30"/>
      <c r="G910" s="5"/>
      <c r="H910" s="5"/>
    </row>
    <row r="911" spans="1:8" ht="12" customHeight="1">
      <c r="A911" s="10" t="s">
        <v>2298</v>
      </c>
      <c r="B911" s="112" t="s">
        <v>2299</v>
      </c>
      <c r="C911" s="82">
        <v>1386</v>
      </c>
      <c r="D911" s="43"/>
      <c r="E911" s="29" cm="1">
        <f t="array" ref="E911">_xlfn.IFS(C911=":",":",C911&gt;=N$19,1,C911&gt;=N$20,2,C911&gt;=N$21,3,C911&gt;=N$22,4,C911&gt;=N$23,5,C911&lt;N$23,6)</f>
        <v>5</v>
      </c>
      <c r="F911" s="30"/>
      <c r="G911" s="5"/>
      <c r="H911" s="5"/>
    </row>
    <row r="912" spans="1:8" ht="12" customHeight="1">
      <c r="A912" s="10" t="s">
        <v>2300</v>
      </c>
      <c r="B912" s="112" t="s">
        <v>2301</v>
      </c>
      <c r="C912" s="82">
        <v>7274</v>
      </c>
      <c r="D912" s="43"/>
      <c r="E912" s="29" cm="1">
        <f t="array" ref="E912">_xlfn.IFS(C912=":",":",C912&gt;=N$19,1,C912&gt;=N$20,2,C912&gt;=N$21,3,C912&gt;=N$22,4,C912&gt;=N$23,5,C912&lt;N$23,6)</f>
        <v>3</v>
      </c>
      <c r="F912" s="30"/>
      <c r="G912" s="5"/>
      <c r="H912" s="5"/>
    </row>
    <row r="913" spans="1:8" ht="12" customHeight="1">
      <c r="A913" s="16" t="s">
        <v>3085</v>
      </c>
      <c r="B913" s="11" t="s">
        <v>2295</v>
      </c>
      <c r="C913" s="82" t="s">
        <v>546</v>
      </c>
      <c r="D913" s="43"/>
      <c r="E913" s="29" t="str" cm="1">
        <f t="array" ref="E913">_xlfn.IFS(C913=":",":",C913&gt;=N$19,1,C913&gt;=N$20,2,C913&gt;=N$21,3,C913&gt;=N$22,4,C913&gt;=N$23,5,C913&lt;N$23,6)</f>
        <v>:</v>
      </c>
      <c r="F913" s="30"/>
      <c r="G913" s="5"/>
      <c r="H913" s="5"/>
    </row>
    <row r="914" spans="1:8" ht="12" customHeight="1">
      <c r="A914" s="16" t="s">
        <v>3086</v>
      </c>
      <c r="B914" s="11" t="s">
        <v>2302</v>
      </c>
      <c r="C914" s="82" t="s">
        <v>546</v>
      </c>
      <c r="D914" s="43"/>
      <c r="E914" s="29" t="str" cm="1">
        <f t="array" ref="E914">_xlfn.IFS(C914=":",":",C914&gt;=N$19,1,C914&gt;=N$20,2,C914&gt;=N$21,3,C914&gt;=N$22,4,C914&gt;=N$23,5,C914&lt;N$23,6)</f>
        <v>:</v>
      </c>
      <c r="F914" s="30"/>
      <c r="G914" s="5"/>
      <c r="H914" s="5"/>
    </row>
    <row r="915" spans="1:8" ht="12" customHeight="1">
      <c r="A915" s="10" t="s">
        <v>2308</v>
      </c>
      <c r="B915" s="112" t="s">
        <v>2309</v>
      </c>
      <c r="C915" s="82">
        <v>35929</v>
      </c>
      <c r="D915" s="43"/>
      <c r="E915" s="29" cm="1">
        <f t="array" ref="E915">_xlfn.IFS(C915=":",":",C915&gt;=N$19,1,C915&gt;=N$20,2,C915&gt;=N$21,3,C915&gt;=N$22,4,C915&gt;=N$23,5,C915&lt;N$23,6)</f>
        <v>1</v>
      </c>
      <c r="F915" s="30"/>
      <c r="G915" s="5"/>
      <c r="H915" s="5"/>
    </row>
    <row r="916" spans="1:8" ht="12" customHeight="1">
      <c r="A916" s="10" t="s">
        <v>2310</v>
      </c>
      <c r="B916" s="112" t="s">
        <v>2311</v>
      </c>
      <c r="C916" s="82">
        <v>33483</v>
      </c>
      <c r="D916" s="43"/>
      <c r="E916" s="29" cm="1">
        <f t="array" ref="E916">_xlfn.IFS(C916=":",":",C916&gt;=N$19,1,C916&gt;=N$20,2,C916&gt;=N$21,3,C916&gt;=N$22,4,C916&gt;=N$23,5,C916&lt;N$23,6)</f>
        <v>1</v>
      </c>
      <c r="F916" s="30"/>
      <c r="G916" s="5"/>
      <c r="H916" s="5"/>
    </row>
    <row r="917" spans="1:8" ht="12" customHeight="1">
      <c r="A917" s="16" t="s">
        <v>3087</v>
      </c>
      <c r="B917" s="11" t="s">
        <v>340</v>
      </c>
      <c r="C917" s="82" t="s">
        <v>546</v>
      </c>
      <c r="D917" s="43"/>
      <c r="E917" s="29" t="str" cm="1">
        <f t="array" ref="E917">_xlfn.IFS(C917=":",":",C917&gt;=N$19,1,C917&gt;=N$20,2,C917&gt;=N$21,3,C917&gt;=N$22,4,C917&gt;=N$23,5,C917&lt;N$23,6)</f>
        <v>:</v>
      </c>
      <c r="F917" s="30"/>
      <c r="G917" s="5"/>
      <c r="H917" s="5"/>
    </row>
    <row r="918" spans="1:8" ht="12" customHeight="1">
      <c r="A918" s="16" t="s">
        <v>3088</v>
      </c>
      <c r="B918" s="11" t="s">
        <v>2906</v>
      </c>
      <c r="C918" s="82" t="s">
        <v>546</v>
      </c>
      <c r="D918" s="43"/>
      <c r="E918" s="29" t="str" cm="1">
        <f t="array" ref="E918">_xlfn.IFS(C918=":",":",C918&gt;=N$19,1,C918&gt;=N$20,2,C918&gt;=N$21,3,C918&gt;=N$22,4,C918&gt;=N$23,5,C918&lt;N$23,6)</f>
        <v>:</v>
      </c>
      <c r="F918" s="30"/>
      <c r="G918" s="5"/>
      <c r="H918" s="5"/>
    </row>
    <row r="919" spans="1:8" ht="12" customHeight="1">
      <c r="A919" s="16" t="s">
        <v>3089</v>
      </c>
      <c r="B919" s="11" t="s">
        <v>2303</v>
      </c>
      <c r="C919" s="82" t="s">
        <v>546</v>
      </c>
      <c r="D919" s="43"/>
      <c r="E919" s="29" t="str" cm="1">
        <f t="array" ref="E919">_xlfn.IFS(C919=":",":",C919&gt;=N$19,1,C919&gt;=N$20,2,C919&gt;=N$21,3,C919&gt;=N$22,4,C919&gt;=N$23,5,C919&lt;N$23,6)</f>
        <v>:</v>
      </c>
      <c r="F919" s="30"/>
      <c r="G919" s="5"/>
      <c r="H919" s="5"/>
    </row>
    <row r="920" spans="1:8" ht="12" customHeight="1">
      <c r="A920" s="16" t="s">
        <v>3090</v>
      </c>
      <c r="B920" s="11" t="s">
        <v>2304</v>
      </c>
      <c r="C920" s="82" t="s">
        <v>546</v>
      </c>
      <c r="D920" s="43"/>
      <c r="E920" s="29" t="str" cm="1">
        <f t="array" ref="E920">_xlfn.IFS(C920=":",":",C920&gt;=N$19,1,C920&gt;=N$20,2,C920&gt;=N$21,3,C920&gt;=N$22,4,C920&gt;=N$23,5,C920&lt;N$23,6)</f>
        <v>:</v>
      </c>
      <c r="F920" s="30"/>
      <c r="G920" s="5"/>
      <c r="H920" s="5"/>
    </row>
    <row r="921" spans="1:8" ht="12" customHeight="1">
      <c r="A921" s="16" t="s">
        <v>3091</v>
      </c>
      <c r="B921" s="11" t="s">
        <v>2305</v>
      </c>
      <c r="C921" s="82" t="s">
        <v>546</v>
      </c>
      <c r="D921" s="43"/>
      <c r="E921" s="29" t="str" cm="1">
        <f t="array" ref="E921">_xlfn.IFS(C921=":",":",C921&gt;=N$19,1,C921&gt;=N$20,2,C921&gt;=N$21,3,C921&gt;=N$22,4,C921&gt;=N$23,5,C921&lt;N$23,6)</f>
        <v>:</v>
      </c>
      <c r="F921" s="30"/>
      <c r="G921" s="5"/>
      <c r="H921" s="5"/>
    </row>
    <row r="922" spans="1:8" ht="12" customHeight="1">
      <c r="A922" s="16" t="s">
        <v>3092</v>
      </c>
      <c r="B922" s="11" t="s">
        <v>2306</v>
      </c>
      <c r="C922" s="82" t="s">
        <v>546</v>
      </c>
      <c r="D922" s="43"/>
      <c r="E922" s="29" t="str" cm="1">
        <f t="array" ref="E922">_xlfn.IFS(C922=":",":",C922&gt;=N$19,1,C922&gt;=N$20,2,C922&gt;=N$21,3,C922&gt;=N$22,4,C922&gt;=N$23,5,C922&lt;N$23,6)</f>
        <v>:</v>
      </c>
      <c r="F922" s="30"/>
      <c r="G922" s="5"/>
      <c r="H922" s="5"/>
    </row>
    <row r="923" spans="1:8" ht="12" customHeight="1">
      <c r="A923" s="16" t="s">
        <v>3093</v>
      </c>
      <c r="B923" s="11" t="s">
        <v>2307</v>
      </c>
      <c r="C923" s="82" t="s">
        <v>546</v>
      </c>
      <c r="D923" s="43"/>
      <c r="E923" s="29" t="str" cm="1">
        <f t="array" ref="E923">_xlfn.IFS(C923=":",":",C923&gt;=N$19,1,C923&gt;=N$20,2,C923&gt;=N$21,3,C923&gt;=N$22,4,C923&gt;=N$23,5,C923&lt;N$23,6)</f>
        <v>:</v>
      </c>
      <c r="F923" s="30"/>
      <c r="G923" s="5"/>
      <c r="H923" s="5"/>
    </row>
    <row r="924" spans="1:8" ht="12" customHeight="1">
      <c r="A924" s="10" t="s">
        <v>2312</v>
      </c>
      <c r="B924" s="112" t="s">
        <v>2313</v>
      </c>
      <c r="C924" s="82">
        <v>3624</v>
      </c>
      <c r="D924" s="43"/>
      <c r="E924" s="29" cm="1">
        <f t="array" ref="E924">_xlfn.IFS(C924=":",":",C924&gt;=N$19,1,C924&gt;=N$20,2,C924&gt;=N$21,3,C924&gt;=N$22,4,C924&gt;=N$23,5,C924&lt;N$23,6)</f>
        <v>3</v>
      </c>
      <c r="F924" s="30"/>
      <c r="G924" s="5"/>
      <c r="H924" s="5"/>
    </row>
    <row r="925" spans="1:8" ht="12" customHeight="1">
      <c r="A925" s="10" t="s">
        <v>2316</v>
      </c>
      <c r="B925" s="112" t="s">
        <v>2317</v>
      </c>
      <c r="C925" s="82">
        <v>7437</v>
      </c>
      <c r="D925" s="43"/>
      <c r="E925" s="29" cm="1">
        <f t="array" ref="E925">_xlfn.IFS(C925=":",":",C925&gt;=N$19,1,C925&gt;=N$20,2,C925&gt;=N$21,3,C925&gt;=N$22,4,C925&gt;=N$23,5,C925&lt;N$23,6)</f>
        <v>3</v>
      </c>
      <c r="F925" s="30"/>
      <c r="G925" s="5"/>
      <c r="H925" s="5"/>
    </row>
    <row r="926" spans="1:8" ht="12" customHeight="1">
      <c r="A926" s="16" t="s">
        <v>3094</v>
      </c>
      <c r="B926" s="11" t="s">
        <v>2314</v>
      </c>
      <c r="C926" s="82" t="s">
        <v>546</v>
      </c>
      <c r="D926" s="43"/>
      <c r="E926" s="29" t="str" cm="1">
        <f t="array" ref="E926">_xlfn.IFS(C926=":",":",C926&gt;=N$19,1,C926&gt;=N$20,2,C926&gt;=N$21,3,C926&gt;=N$22,4,C926&gt;=N$23,5,C926&lt;N$23,6)</f>
        <v>:</v>
      </c>
      <c r="F926" s="30"/>
      <c r="G926" s="5"/>
      <c r="H926" s="5"/>
    </row>
    <row r="927" spans="1:8" ht="12" customHeight="1">
      <c r="A927" s="16" t="s">
        <v>3095</v>
      </c>
      <c r="B927" s="11" t="s">
        <v>2315</v>
      </c>
      <c r="C927" s="82" t="s">
        <v>546</v>
      </c>
      <c r="D927" s="43"/>
      <c r="E927" s="29" t="str" cm="1">
        <f t="array" ref="E927">_xlfn.IFS(C927=":",":",C927&gt;=N$19,1,C927&gt;=N$20,2,C927&gt;=N$21,3,C927&gt;=N$22,4,C927&gt;=N$23,5,C927&lt;N$23,6)</f>
        <v>:</v>
      </c>
      <c r="F927" s="30"/>
      <c r="G927" s="5"/>
      <c r="H927" s="5"/>
    </row>
    <row r="928" spans="1:8" ht="12" customHeight="1">
      <c r="A928" s="10" t="s">
        <v>2318</v>
      </c>
      <c r="B928" s="112" t="s">
        <v>2319</v>
      </c>
      <c r="C928" s="82">
        <v>18405</v>
      </c>
      <c r="D928" s="43"/>
      <c r="E928" s="29" cm="1">
        <f t="array" ref="E928">_xlfn.IFS(C928=":",":",C928&gt;=N$19,1,C928&gt;=N$20,2,C928&gt;=N$21,3,C928&gt;=N$22,4,C928&gt;=N$23,5,C928&lt;N$23,6)</f>
        <v>1</v>
      </c>
      <c r="F928" s="30"/>
      <c r="G928" s="5"/>
      <c r="H928" s="5"/>
    </row>
    <row r="929" spans="1:8" ht="12" customHeight="1">
      <c r="A929" s="10" t="s">
        <v>2320</v>
      </c>
      <c r="B929" s="112" t="s">
        <v>2321</v>
      </c>
      <c r="C929" s="82">
        <v>12094</v>
      </c>
      <c r="D929" s="43"/>
      <c r="E929" s="29" cm="1">
        <f t="array" ref="E929">_xlfn.IFS(C929=":",":",C929&gt;=N$19,1,C929&gt;=N$20,2,C929&gt;=N$21,3,C929&gt;=N$22,4,C929&gt;=N$23,5,C929&lt;N$23,6)</f>
        <v>2</v>
      </c>
      <c r="F929" s="30"/>
      <c r="G929" s="5"/>
      <c r="H929" s="5"/>
    </row>
    <row r="930" spans="1:8" ht="12" customHeight="1">
      <c r="A930" s="10" t="s">
        <v>2322</v>
      </c>
      <c r="B930" s="112" t="s">
        <v>2323</v>
      </c>
      <c r="C930" s="82">
        <v>9690</v>
      </c>
      <c r="D930" s="43"/>
      <c r="E930" s="29" cm="1">
        <f t="array" ref="E930">_xlfn.IFS(C930=":",":",C930&gt;=N$19,1,C930&gt;=N$20,2,C930&gt;=N$21,3,C930&gt;=N$22,4,C930&gt;=N$23,5,C930&lt;N$23,6)</f>
        <v>2</v>
      </c>
      <c r="F930" s="30"/>
      <c r="G930" s="5"/>
      <c r="H930" s="5"/>
    </row>
    <row r="931" spans="1:8" ht="12" customHeight="1">
      <c r="A931" s="10" t="s">
        <v>2324</v>
      </c>
      <c r="B931" s="112" t="s">
        <v>2325</v>
      </c>
      <c r="C931" s="82">
        <v>8499</v>
      </c>
      <c r="D931" s="43"/>
      <c r="E931" s="29" cm="1">
        <f t="array" ref="E931">_xlfn.IFS(C931=":",":",C931&gt;=N$19,1,C931&gt;=N$20,2,C931&gt;=N$21,3,C931&gt;=N$22,4,C931&gt;=N$23,5,C931&lt;N$23,6)</f>
        <v>2</v>
      </c>
      <c r="F931" s="30"/>
      <c r="G931" s="5"/>
      <c r="H931" s="5"/>
    </row>
    <row r="932" spans="1:8" ht="12" customHeight="1">
      <c r="A932" s="10" t="s">
        <v>2326</v>
      </c>
      <c r="B932" s="112" t="s">
        <v>2327</v>
      </c>
      <c r="C932" s="82">
        <v>10559</v>
      </c>
      <c r="D932" s="43"/>
      <c r="E932" s="29" cm="1">
        <f t="array" ref="E932">_xlfn.IFS(C932=":",":",C932&gt;=N$19,1,C932&gt;=N$20,2,C932&gt;=N$21,3,C932&gt;=N$22,4,C932&gt;=N$23,5,C932&lt;N$23,6)</f>
        <v>2</v>
      </c>
      <c r="F932" s="30"/>
      <c r="G932" s="5"/>
      <c r="H932" s="5"/>
    </row>
    <row r="933" spans="1:8" ht="12" customHeight="1">
      <c r="A933" s="10" t="s">
        <v>2328</v>
      </c>
      <c r="B933" s="112" t="s">
        <v>2329</v>
      </c>
      <c r="C933" s="82">
        <v>9892</v>
      </c>
      <c r="D933" s="43"/>
      <c r="E933" s="29" cm="1">
        <f t="array" ref="E933">_xlfn.IFS(C933=":",":",C933&gt;=N$19,1,C933&gt;=N$20,2,C933&gt;=N$21,3,C933&gt;=N$22,4,C933&gt;=N$23,5,C933&lt;N$23,6)</f>
        <v>2</v>
      </c>
      <c r="F933" s="30"/>
      <c r="G933" s="5"/>
      <c r="H933" s="5"/>
    </row>
    <row r="934" spans="1:8" ht="12" customHeight="1">
      <c r="A934" s="10" t="s">
        <v>2330</v>
      </c>
      <c r="B934" s="112" t="s">
        <v>2331</v>
      </c>
      <c r="C934" s="82">
        <v>2904</v>
      </c>
      <c r="D934" s="43"/>
      <c r="E934" s="29" cm="1">
        <f t="array" ref="E934">_xlfn.IFS(C934=":",":",C934&gt;=N$19,1,C934&gt;=N$20,2,C934&gt;=N$21,3,C934&gt;=N$22,4,C934&gt;=N$23,5,C934&lt;N$23,6)</f>
        <v>4</v>
      </c>
      <c r="F934" s="30"/>
      <c r="G934" s="5"/>
      <c r="H934" s="5"/>
    </row>
    <row r="935" spans="1:8" ht="12" customHeight="1">
      <c r="A935" s="10" t="s">
        <v>2332</v>
      </c>
      <c r="B935" s="112" t="s">
        <v>2333</v>
      </c>
      <c r="C935" s="82">
        <v>4506</v>
      </c>
      <c r="D935" s="43"/>
      <c r="E935" s="29" cm="1">
        <f t="array" ref="E935">_xlfn.IFS(C935=":",":",C935&gt;=N$19,1,C935&gt;=N$20,2,C935&gt;=N$21,3,C935&gt;=N$22,4,C935&gt;=N$23,5,C935&lt;N$23,6)</f>
        <v>3</v>
      </c>
      <c r="F935" s="30"/>
      <c r="G935" s="5"/>
      <c r="H935" s="5"/>
    </row>
    <row r="936" spans="1:8" ht="12" customHeight="1">
      <c r="A936" s="10" t="s">
        <v>2334</v>
      </c>
      <c r="B936" s="112" t="s">
        <v>2335</v>
      </c>
      <c r="C936" s="82">
        <v>2425</v>
      </c>
      <c r="D936" s="43"/>
      <c r="E936" s="29" cm="1">
        <f t="array" ref="E936">_xlfn.IFS(C936=":",":",C936&gt;=N$19,1,C936&gt;=N$20,2,C936&gt;=N$21,3,C936&gt;=N$22,4,C936&gt;=N$23,5,C936&lt;N$23,6)</f>
        <v>4</v>
      </c>
      <c r="F936" s="30"/>
      <c r="G936" s="5"/>
      <c r="H936" s="5"/>
    </row>
    <row r="937" spans="1:8" ht="12" customHeight="1">
      <c r="A937" s="10" t="s">
        <v>2336</v>
      </c>
      <c r="B937" s="112" t="s">
        <v>2337</v>
      </c>
      <c r="C937" s="82">
        <v>7338</v>
      </c>
      <c r="D937" s="43"/>
      <c r="E937" s="29" cm="1">
        <f t="array" ref="E937">_xlfn.IFS(C937=":",":",C937&gt;=N$19,1,C937&gt;=N$20,2,C937&gt;=N$21,3,C937&gt;=N$22,4,C937&gt;=N$23,5,C937&lt;N$23,6)</f>
        <v>3</v>
      </c>
      <c r="F937" s="30"/>
      <c r="G937" s="5"/>
      <c r="H937" s="5"/>
    </row>
    <row r="938" spans="1:8" ht="12" customHeight="1">
      <c r="A938" s="10" t="s">
        <v>2338</v>
      </c>
      <c r="B938" s="112" t="s">
        <v>2339</v>
      </c>
      <c r="C938" s="82">
        <v>1487</v>
      </c>
      <c r="D938" s="43"/>
      <c r="E938" s="29" cm="1">
        <f t="array" ref="E938">_xlfn.IFS(C938=":",":",C938&gt;=N$19,1,C938&gt;=N$20,2,C938&gt;=N$21,3,C938&gt;=N$22,4,C938&gt;=N$23,5,C938&lt;N$23,6)</f>
        <v>5</v>
      </c>
      <c r="F938" s="30"/>
      <c r="G938" s="5"/>
      <c r="H938" s="5"/>
    </row>
    <row r="939" spans="1:8" ht="12" customHeight="1">
      <c r="A939" s="10" t="s">
        <v>2340</v>
      </c>
      <c r="B939" s="112" t="s">
        <v>2341</v>
      </c>
      <c r="C939" s="82">
        <v>2160</v>
      </c>
      <c r="D939" s="43"/>
      <c r="E939" s="29" cm="1">
        <f t="array" ref="E939">_xlfn.IFS(C939=":",":",C939&gt;=N$19,1,C939&gt;=N$20,2,C939&gt;=N$21,3,C939&gt;=N$22,4,C939&gt;=N$23,5,C939&lt;N$23,6)</f>
        <v>4</v>
      </c>
      <c r="F939" s="30"/>
      <c r="G939" s="5"/>
      <c r="H939" s="5"/>
    </row>
    <row r="940" spans="1:8" ht="12" customHeight="1">
      <c r="A940" s="10" t="s">
        <v>2342</v>
      </c>
      <c r="B940" s="112" t="s">
        <v>2343</v>
      </c>
      <c r="C940" s="82">
        <v>5268</v>
      </c>
      <c r="D940" s="43"/>
      <c r="E940" s="29" cm="1">
        <f t="array" ref="E940">_xlfn.IFS(C940=":",":",C940&gt;=N$19,1,C940&gt;=N$20,2,C940&gt;=N$21,3,C940&gt;=N$22,4,C940&gt;=N$23,5,C940&lt;N$23,6)</f>
        <v>3</v>
      </c>
      <c r="F940" s="30"/>
      <c r="G940" s="5"/>
      <c r="H940" s="5"/>
    </row>
    <row r="941" spans="1:8" ht="12" customHeight="1">
      <c r="A941" s="10" t="s">
        <v>2344</v>
      </c>
      <c r="B941" s="112" t="s">
        <v>353</v>
      </c>
      <c r="C941" s="82">
        <v>9462</v>
      </c>
      <c r="D941" s="43"/>
      <c r="E941" s="29" cm="1">
        <f t="array" ref="E941">_xlfn.IFS(C941=":",":",C941&gt;=N$19,1,C941&gt;=N$20,2,C941&gt;=N$21,3,C941&gt;=N$22,4,C941&gt;=N$23,5,C941&lt;N$23,6)</f>
        <v>2</v>
      </c>
      <c r="F941" s="30"/>
      <c r="G941" s="5"/>
      <c r="H941" s="5"/>
    </row>
    <row r="942" spans="1:8" ht="12" customHeight="1">
      <c r="A942" s="10" t="s">
        <v>2345</v>
      </c>
      <c r="B942" s="112" t="s">
        <v>2346</v>
      </c>
      <c r="C942" s="82">
        <v>13864</v>
      </c>
      <c r="D942" s="43"/>
      <c r="E942" s="29" cm="1">
        <f t="array" ref="E942">_xlfn.IFS(C942=":",":",C942&gt;=N$19,1,C942&gt;=N$20,2,C942&gt;=N$21,3,C942&gt;=N$22,4,C942&gt;=N$23,5,C942&lt;N$23,6)</f>
        <v>2</v>
      </c>
      <c r="F942" s="30"/>
      <c r="G942" s="5"/>
      <c r="H942" s="5"/>
    </row>
    <row r="943" spans="1:8" ht="12" customHeight="1">
      <c r="A943" s="10" t="s">
        <v>2347</v>
      </c>
      <c r="B943" s="112" t="s">
        <v>2348</v>
      </c>
      <c r="C943" s="82">
        <v>45823</v>
      </c>
      <c r="D943" s="43"/>
      <c r="E943" s="29" cm="1">
        <f t="array" ref="E943">_xlfn.IFS(C943=":",":",C943&gt;=N$19,1,C943&gt;=N$20,2,C943&gt;=N$21,3,C943&gt;=N$22,4,C943&gt;=N$23,5,C943&lt;N$23,6)</f>
        <v>1</v>
      </c>
      <c r="F943" s="30"/>
      <c r="G943" s="5"/>
      <c r="H943" s="5"/>
    </row>
    <row r="944" spans="1:8" ht="12" customHeight="1">
      <c r="A944" s="10" t="s">
        <v>2349</v>
      </c>
      <c r="B944" s="112" t="s">
        <v>2350</v>
      </c>
      <c r="C944" s="82">
        <v>11273</v>
      </c>
      <c r="D944" s="43"/>
      <c r="E944" s="29" cm="1">
        <f t="array" ref="E944">_xlfn.IFS(C944=":",":",C944&gt;=N$19,1,C944&gt;=N$20,2,C944&gt;=N$21,3,C944&gt;=N$22,4,C944&gt;=N$23,5,C944&lt;N$23,6)</f>
        <v>2</v>
      </c>
      <c r="F944" s="30"/>
      <c r="G944" s="5"/>
      <c r="H944" s="5"/>
    </row>
    <row r="945" spans="1:8" ht="12" customHeight="1">
      <c r="A945" s="10" t="s">
        <v>2351</v>
      </c>
      <c r="B945" s="112" t="s">
        <v>2352</v>
      </c>
      <c r="C945" s="82">
        <v>4305</v>
      </c>
      <c r="D945" s="43"/>
      <c r="E945" s="29" cm="1">
        <f t="array" ref="E945">_xlfn.IFS(C945=":",":",C945&gt;=N$19,1,C945&gt;=N$20,2,C945&gt;=N$21,3,C945&gt;=N$22,4,C945&gt;=N$23,5,C945&lt;N$23,6)</f>
        <v>3</v>
      </c>
      <c r="F945" s="30"/>
      <c r="G945" s="5"/>
      <c r="H945" s="5"/>
    </row>
    <row r="946" spans="1:8" ht="12" customHeight="1">
      <c r="A946" s="10" t="s">
        <v>2353</v>
      </c>
      <c r="B946" s="112" t="s">
        <v>2354</v>
      </c>
      <c r="C946" s="82">
        <v>54696</v>
      </c>
      <c r="D946" s="43"/>
      <c r="E946" s="29" cm="1">
        <f t="array" ref="E946">_xlfn.IFS(C946=":",":",C946&gt;=N$19,1,C946&gt;=N$20,2,C946&gt;=N$21,3,C946&gt;=N$22,4,C946&gt;=N$23,5,C946&lt;N$23,6)</f>
        <v>1</v>
      </c>
      <c r="F946" s="30"/>
      <c r="G946" s="5"/>
      <c r="H946" s="5"/>
    </row>
    <row r="947" spans="1:8" ht="12" customHeight="1">
      <c r="A947" s="10" t="s">
        <v>2355</v>
      </c>
      <c r="B947" s="112" t="s">
        <v>2356</v>
      </c>
      <c r="C947" s="82">
        <v>4586</v>
      </c>
      <c r="D947" s="43"/>
      <c r="E947" s="29" cm="1">
        <f t="array" ref="E947">_xlfn.IFS(C947=":",":",C947&gt;=N$19,1,C947&gt;=N$20,2,C947&gt;=N$21,3,C947&gt;=N$22,4,C947&gt;=N$23,5,C947&lt;N$23,6)</f>
        <v>3</v>
      </c>
      <c r="F947" s="30"/>
      <c r="G947" s="5"/>
      <c r="H947" s="5"/>
    </row>
    <row r="948" spans="1:8" ht="12" customHeight="1">
      <c r="A948" s="16" t="s">
        <v>2357</v>
      </c>
      <c r="B948" s="11" t="s">
        <v>2358</v>
      </c>
      <c r="C948" s="82">
        <v>10215</v>
      </c>
      <c r="D948" s="43"/>
      <c r="E948" s="29" cm="1">
        <f t="array" ref="E948">_xlfn.IFS(C948=":",":",C948&gt;=N$19,1,C948&gt;=N$20,2,C948&gt;=N$21,3,C948&gt;=N$22,4,C948&gt;=N$23,5,C948&lt;N$23,6)</f>
        <v>2</v>
      </c>
      <c r="F948" s="30"/>
      <c r="G948" s="5"/>
      <c r="H948" s="5"/>
    </row>
    <row r="949" spans="1:8" ht="12" customHeight="1">
      <c r="A949" s="16" t="s">
        <v>2359</v>
      </c>
      <c r="B949" s="11" t="s">
        <v>2360</v>
      </c>
      <c r="C949" s="82">
        <v>3784</v>
      </c>
      <c r="D949" s="43"/>
      <c r="E949" s="29" cm="1">
        <f t="array" ref="E949">_xlfn.IFS(C949=":",":",C949&gt;=N$19,1,C949&gt;=N$20,2,C949&gt;=N$21,3,C949&gt;=N$22,4,C949&gt;=N$23,5,C949&lt;N$23,6)</f>
        <v>3</v>
      </c>
      <c r="F949" s="30"/>
      <c r="G949" s="5"/>
      <c r="H949" s="5"/>
    </row>
    <row r="950" spans="1:8" ht="12" customHeight="1">
      <c r="A950" s="10" t="s">
        <v>2361</v>
      </c>
      <c r="B950" s="112" t="s">
        <v>2362</v>
      </c>
      <c r="C950" s="82">
        <v>15157</v>
      </c>
      <c r="D950" s="43"/>
      <c r="E950" s="29" cm="1">
        <f t="array" ref="E950">_xlfn.IFS(C950=":",":",C950&gt;=N$19,1,C950&gt;=N$20,2,C950&gt;=N$21,3,C950&gt;=N$22,4,C950&gt;=N$23,5,C950&lt;N$23,6)</f>
        <v>1</v>
      </c>
      <c r="F950" s="30"/>
      <c r="G950" s="5"/>
      <c r="H950" s="5"/>
    </row>
    <row r="951" spans="1:8" ht="12" customHeight="1">
      <c r="A951" s="10" t="s">
        <v>2363</v>
      </c>
      <c r="B951" s="112" t="s">
        <v>2364</v>
      </c>
      <c r="C951" s="82">
        <v>3885</v>
      </c>
      <c r="D951" s="43"/>
      <c r="E951" s="29" cm="1">
        <f t="array" ref="E951">_xlfn.IFS(C951=":",":",C951&gt;=N$19,1,C951&gt;=N$20,2,C951&gt;=N$21,3,C951&gt;=N$22,4,C951&gt;=N$23,5,C951&lt;N$23,6)</f>
        <v>3</v>
      </c>
      <c r="F951" s="30"/>
      <c r="G951" s="5"/>
      <c r="H951" s="5"/>
    </row>
    <row r="952" spans="1:8" ht="12" customHeight="1">
      <c r="A952" s="10" t="s">
        <v>2365</v>
      </c>
      <c r="B952" s="112" t="s">
        <v>2366</v>
      </c>
      <c r="C952" s="82">
        <v>2951</v>
      </c>
      <c r="D952" s="43"/>
      <c r="E952" s="29" cm="1">
        <f t="array" ref="E952">_xlfn.IFS(C952=":",":",C952&gt;=N$19,1,C952&gt;=N$20,2,C952&gt;=N$21,3,C952&gt;=N$22,4,C952&gt;=N$23,5,C952&lt;N$23,6)</f>
        <v>4</v>
      </c>
      <c r="F952" s="30"/>
      <c r="G952" s="5"/>
      <c r="H952" s="5"/>
    </row>
    <row r="953" spans="1:8" ht="12" customHeight="1">
      <c r="A953" s="10" t="s">
        <v>2367</v>
      </c>
      <c r="B953" s="112" t="s">
        <v>2368</v>
      </c>
      <c r="C953" s="82">
        <v>4603</v>
      </c>
      <c r="D953" s="43"/>
      <c r="E953" s="29" cm="1">
        <f t="array" ref="E953">_xlfn.IFS(C953=":",":",C953&gt;=N$19,1,C953&gt;=N$20,2,C953&gt;=N$21,3,C953&gt;=N$22,4,C953&gt;=N$23,5,C953&lt;N$23,6)</f>
        <v>3</v>
      </c>
      <c r="F953" s="30"/>
      <c r="G953" s="5"/>
      <c r="H953" s="5"/>
    </row>
    <row r="954" spans="1:8" ht="12" customHeight="1">
      <c r="A954" s="10" t="s">
        <v>2369</v>
      </c>
      <c r="B954" s="112" t="s">
        <v>2370</v>
      </c>
      <c r="C954" s="82">
        <v>6828</v>
      </c>
      <c r="D954" s="43"/>
      <c r="E954" s="29" cm="1">
        <f t="array" ref="E954">_xlfn.IFS(C954=":",":",C954&gt;=N$19,1,C954&gt;=N$20,2,C954&gt;=N$21,3,C954&gt;=N$22,4,C954&gt;=N$23,5,C954&lt;N$23,6)</f>
        <v>3</v>
      </c>
      <c r="F954" s="30"/>
      <c r="G954" s="5"/>
      <c r="H954" s="5"/>
    </row>
    <row r="955" spans="1:8" ht="12" customHeight="1">
      <c r="A955" s="10" t="s">
        <v>2371</v>
      </c>
      <c r="B955" s="112" t="s">
        <v>2372</v>
      </c>
      <c r="C955" s="82">
        <v>12718</v>
      </c>
      <c r="D955" s="43"/>
      <c r="E955" s="29" cm="1">
        <f t="array" ref="E955">_xlfn.IFS(C955=":",":",C955&gt;=N$19,1,C955&gt;=N$20,2,C955&gt;=N$21,3,C955&gt;=N$22,4,C955&gt;=N$23,5,C955&lt;N$23,6)</f>
        <v>2</v>
      </c>
      <c r="F955" s="30"/>
      <c r="G955" s="5"/>
      <c r="H955" s="5"/>
    </row>
    <row r="956" spans="1:8" ht="12" customHeight="1">
      <c r="A956" s="10" t="s">
        <v>2373</v>
      </c>
      <c r="B956" s="112" t="s">
        <v>2374</v>
      </c>
      <c r="C956" s="82">
        <v>45898</v>
      </c>
      <c r="D956" s="43"/>
      <c r="E956" s="29" cm="1">
        <f t="array" ref="E956">_xlfn.IFS(C956=":",":",C956&gt;=N$19,1,C956&gt;=N$20,2,C956&gt;=N$21,3,C956&gt;=N$22,4,C956&gt;=N$23,5,C956&lt;N$23,6)</f>
        <v>1</v>
      </c>
      <c r="F956" s="30"/>
      <c r="G956" s="5"/>
      <c r="H956" s="5"/>
    </row>
    <row r="957" spans="1:8" ht="12" customHeight="1">
      <c r="A957" s="10" t="s">
        <v>2375</v>
      </c>
      <c r="B957" s="112" t="s">
        <v>2376</v>
      </c>
      <c r="C957" s="82">
        <v>109832</v>
      </c>
      <c r="D957" s="43"/>
      <c r="E957" s="29" cm="1">
        <f t="array" ref="E957">_xlfn.IFS(C957=":",":",C957&gt;=N$19,1,C957&gt;=N$20,2,C957&gt;=N$21,3,C957&gt;=N$22,4,C957&gt;=N$23,5,C957&lt;N$23,6)</f>
        <v>1</v>
      </c>
      <c r="F957" s="30"/>
      <c r="G957" s="5"/>
      <c r="H957" s="5"/>
    </row>
    <row r="958" spans="1:8" ht="12" customHeight="1">
      <c r="A958" s="10" t="s">
        <v>2377</v>
      </c>
      <c r="B958" s="112" t="s">
        <v>2378</v>
      </c>
      <c r="C958" s="82">
        <v>15292</v>
      </c>
      <c r="D958" s="43"/>
      <c r="E958" s="29" cm="1">
        <f t="array" ref="E958">_xlfn.IFS(C958=":",":",C958&gt;=N$19,1,C958&gt;=N$20,2,C958&gt;=N$21,3,C958&gt;=N$22,4,C958&gt;=N$23,5,C958&lt;N$23,6)</f>
        <v>1</v>
      </c>
      <c r="F958" s="30"/>
      <c r="G958" s="5"/>
      <c r="H958" s="5"/>
    </row>
    <row r="959" spans="1:8" ht="12" customHeight="1">
      <c r="A959" s="10" t="s">
        <v>2379</v>
      </c>
      <c r="B959" s="112" t="s">
        <v>2380</v>
      </c>
      <c r="C959" s="82">
        <v>97010</v>
      </c>
      <c r="D959" s="43"/>
      <c r="E959" s="29" cm="1">
        <f t="array" ref="E959">_xlfn.IFS(C959=":",":",C959&gt;=N$19,1,C959&gt;=N$20,2,C959&gt;=N$21,3,C959&gt;=N$22,4,C959&gt;=N$23,5,C959&lt;N$23,6)</f>
        <v>1</v>
      </c>
      <c r="F959" s="30"/>
      <c r="G959" s="5"/>
      <c r="H959" s="5"/>
    </row>
    <row r="960" spans="1:8" ht="12" customHeight="1">
      <c r="A960" s="10" t="s">
        <v>2381</v>
      </c>
      <c r="B960" s="112" t="s">
        <v>2382</v>
      </c>
      <c r="C960" s="82">
        <v>20359</v>
      </c>
      <c r="D960" s="43"/>
      <c r="E960" s="29" cm="1">
        <f t="array" ref="E960">_xlfn.IFS(C960=":",":",C960&gt;=N$19,1,C960&gt;=N$20,2,C960&gt;=N$21,3,C960&gt;=N$22,4,C960&gt;=N$23,5,C960&lt;N$23,6)</f>
        <v>1</v>
      </c>
      <c r="F960" s="30"/>
      <c r="G960" s="5"/>
      <c r="H960" s="5"/>
    </row>
    <row r="961" spans="1:8" ht="12" customHeight="1">
      <c r="A961" s="10" t="s">
        <v>2383</v>
      </c>
      <c r="B961" s="112" t="s">
        <v>2384</v>
      </c>
      <c r="C961" s="82">
        <v>35552</v>
      </c>
      <c r="D961" s="43"/>
      <c r="E961" s="29" cm="1">
        <f t="array" ref="E961">_xlfn.IFS(C961=":",":",C961&gt;=N$19,1,C961&gt;=N$20,2,C961&gt;=N$21,3,C961&gt;=N$22,4,C961&gt;=N$23,5,C961&lt;N$23,6)</f>
        <v>1</v>
      </c>
      <c r="F961" s="30"/>
      <c r="G961" s="5"/>
      <c r="H961" s="5"/>
    </row>
    <row r="962" spans="1:8" ht="12" customHeight="1">
      <c r="A962" s="10" t="s">
        <v>2385</v>
      </c>
      <c r="B962" s="112" t="s">
        <v>2386</v>
      </c>
      <c r="C962" s="82">
        <v>116331</v>
      </c>
      <c r="D962" s="43"/>
      <c r="E962" s="29" cm="1">
        <f t="array" ref="E962">_xlfn.IFS(C962=":",":",C962&gt;=N$19,1,C962&gt;=N$20,2,C962&gt;=N$21,3,C962&gt;=N$22,4,C962&gt;=N$23,5,C962&lt;N$23,6)</f>
        <v>1</v>
      </c>
      <c r="F962" s="30"/>
      <c r="G962" s="5"/>
      <c r="H962" s="5"/>
    </row>
    <row r="963" spans="1:8" ht="12" customHeight="1">
      <c r="A963" s="10" t="s">
        <v>2387</v>
      </c>
      <c r="B963" s="112" t="s">
        <v>2388</v>
      </c>
      <c r="C963" s="82">
        <v>60393</v>
      </c>
      <c r="D963" s="43"/>
      <c r="E963" s="29" cm="1">
        <f t="array" ref="E963">_xlfn.IFS(C963=":",":",C963&gt;=N$19,1,C963&gt;=N$20,2,C963&gt;=N$21,3,C963&gt;=N$22,4,C963&gt;=N$23,5,C963&lt;N$23,6)</f>
        <v>1</v>
      </c>
      <c r="F963" s="30"/>
      <c r="G963" s="5"/>
      <c r="H963" s="5"/>
    </row>
    <row r="964" spans="1:8" ht="12" customHeight="1">
      <c r="A964" s="10" t="s">
        <v>2389</v>
      </c>
      <c r="B964" s="112" t="s">
        <v>2390</v>
      </c>
      <c r="C964" s="82">
        <v>66597</v>
      </c>
      <c r="D964" s="43"/>
      <c r="E964" s="29" cm="1">
        <f t="array" ref="E964">_xlfn.IFS(C964=":",":",C964&gt;=N$19,1,C964&gt;=N$20,2,C964&gt;=N$21,3,C964&gt;=N$22,4,C964&gt;=N$23,5,C964&lt;N$23,6)</f>
        <v>1</v>
      </c>
      <c r="F964" s="30"/>
      <c r="G964" s="5"/>
      <c r="H964" s="5"/>
    </row>
    <row r="965" spans="1:8" ht="12" customHeight="1">
      <c r="A965" s="10" t="s">
        <v>2391</v>
      </c>
      <c r="B965" s="112" t="s">
        <v>2392</v>
      </c>
      <c r="C965" s="82">
        <v>4818</v>
      </c>
      <c r="D965" s="43"/>
      <c r="E965" s="29" cm="1">
        <f t="array" ref="E965">_xlfn.IFS(C965=":",":",C965&gt;=N$19,1,C965&gt;=N$20,2,C965&gt;=N$21,3,C965&gt;=N$22,4,C965&gt;=N$23,5,C965&lt;N$23,6)</f>
        <v>3</v>
      </c>
      <c r="F965" s="30"/>
      <c r="G965" s="5"/>
      <c r="H965" s="5"/>
    </row>
    <row r="966" spans="1:8" ht="12" customHeight="1">
      <c r="A966" s="10" t="s">
        <v>2393</v>
      </c>
      <c r="B966" s="112" t="s">
        <v>2394</v>
      </c>
      <c r="C966" s="82">
        <v>8397</v>
      </c>
      <c r="D966" s="43"/>
      <c r="E966" s="29" cm="1">
        <f t="array" ref="E966">_xlfn.IFS(C966=":",":",C966&gt;=N$19,1,C966&gt;=N$20,2,C966&gt;=N$21,3,C966&gt;=N$22,4,C966&gt;=N$23,5,C966&lt;N$23,6)</f>
        <v>2</v>
      </c>
      <c r="F966" s="30"/>
      <c r="G966" s="5"/>
      <c r="H966" s="5"/>
    </row>
    <row r="967" spans="1:8" ht="12" customHeight="1">
      <c r="A967" s="10" t="s">
        <v>2395</v>
      </c>
      <c r="B967" s="112" t="s">
        <v>2396</v>
      </c>
      <c r="C967" s="82">
        <v>1081</v>
      </c>
      <c r="D967" s="43"/>
      <c r="E967" s="29" cm="1">
        <f t="array" ref="E967">_xlfn.IFS(C967=":",":",C967&gt;=N$19,1,C967&gt;=N$20,2,C967&gt;=N$21,3,C967&gt;=N$22,4,C967&gt;=N$23,5,C967&lt;N$23,6)</f>
        <v>5</v>
      </c>
      <c r="F967" s="30"/>
      <c r="G967" s="5"/>
      <c r="H967" s="5"/>
    </row>
    <row r="968" spans="1:8" ht="12" customHeight="1">
      <c r="A968" s="10" t="s">
        <v>2397</v>
      </c>
      <c r="B968" s="112" t="s">
        <v>2398</v>
      </c>
      <c r="C968" s="82">
        <v>423</v>
      </c>
      <c r="D968" s="43"/>
      <c r="E968" s="29" cm="1">
        <f t="array" ref="E968">_xlfn.IFS(C968=":",":",C968&gt;=N$19,1,C968&gt;=N$20,2,C968&gt;=N$21,3,C968&gt;=N$22,4,C968&gt;=N$23,5,C968&lt;N$23,6)</f>
        <v>6</v>
      </c>
      <c r="F968" s="30"/>
      <c r="G968" s="5"/>
      <c r="H968" s="5"/>
    </row>
    <row r="969" spans="1:8" ht="12" customHeight="1">
      <c r="A969" s="10" t="s">
        <v>2399</v>
      </c>
      <c r="B969" s="112" t="s">
        <v>2907</v>
      </c>
      <c r="C969" s="82">
        <v>4731</v>
      </c>
      <c r="D969" s="43"/>
      <c r="E969" s="29" cm="1">
        <f t="array" ref="E969">_xlfn.IFS(C969=":",":",C969&gt;=N$19,1,C969&gt;=N$20,2,C969&gt;=N$21,3,C969&gt;=N$22,4,C969&gt;=N$23,5,C969&lt;N$23,6)</f>
        <v>3</v>
      </c>
      <c r="F969" s="30"/>
      <c r="G969" s="5"/>
      <c r="H969" s="5"/>
    </row>
    <row r="970" spans="1:8" ht="12" customHeight="1">
      <c r="A970" s="10" t="s">
        <v>2400</v>
      </c>
      <c r="B970" s="112" t="s">
        <v>2401</v>
      </c>
      <c r="C970" s="82">
        <v>14635</v>
      </c>
      <c r="D970" s="43"/>
      <c r="E970" s="29" cm="1">
        <f t="array" ref="E970">_xlfn.IFS(C970=":",":",C970&gt;=N$19,1,C970&gt;=N$20,2,C970&gt;=N$21,3,C970&gt;=N$22,4,C970&gt;=N$23,5,C970&lt;N$23,6)</f>
        <v>2</v>
      </c>
      <c r="F970" s="30"/>
      <c r="G970" s="5"/>
      <c r="H970" s="5"/>
    </row>
    <row r="971" spans="1:8" ht="12" customHeight="1">
      <c r="A971" s="10" t="s">
        <v>2402</v>
      </c>
      <c r="B971" s="112" t="s">
        <v>2908</v>
      </c>
      <c r="C971" s="82">
        <v>1015</v>
      </c>
      <c r="D971" s="43"/>
      <c r="E971" s="29" cm="1">
        <f t="array" ref="E971">_xlfn.IFS(C971=":",":",C971&gt;=N$19,1,C971&gt;=N$20,2,C971&gt;=N$21,3,C971&gt;=N$22,4,C971&gt;=N$23,5,C971&lt;N$23,6)</f>
        <v>5</v>
      </c>
      <c r="F971" s="30"/>
      <c r="G971" s="5"/>
      <c r="H971" s="5"/>
    </row>
    <row r="972" spans="1:8" ht="12" customHeight="1">
      <c r="A972" s="10" t="s">
        <v>2403</v>
      </c>
      <c r="B972" s="112" t="s">
        <v>2909</v>
      </c>
      <c r="C972" s="82">
        <v>770</v>
      </c>
      <c r="D972" s="43"/>
      <c r="E972" s="29" cm="1">
        <f t="array" ref="E972">_xlfn.IFS(C972=":",":",C972&gt;=N$19,1,C972&gt;=N$20,2,C972&gt;=N$21,3,C972&gt;=N$22,4,C972&gt;=N$23,5,C972&lt;N$23,6)</f>
        <v>6</v>
      </c>
      <c r="F972" s="30"/>
      <c r="G972" s="5"/>
      <c r="H972" s="5"/>
    </row>
    <row r="973" spans="1:8" ht="12" customHeight="1">
      <c r="A973" s="10" t="s">
        <v>2404</v>
      </c>
      <c r="B973" s="112" t="s">
        <v>2405</v>
      </c>
      <c r="C973" s="82">
        <v>4844</v>
      </c>
      <c r="D973" s="43"/>
      <c r="E973" s="29" cm="1">
        <f t="array" ref="E973">_xlfn.IFS(C973=":",":",C973&gt;=N$19,1,C973&gt;=N$20,2,C973&gt;=N$21,3,C973&gt;=N$22,4,C973&gt;=N$23,5,C973&lt;N$23,6)</f>
        <v>3</v>
      </c>
      <c r="F973" s="30"/>
      <c r="G973" s="5"/>
      <c r="H973" s="5"/>
    </row>
    <row r="974" spans="1:8" ht="12" customHeight="1">
      <c r="A974" s="10" t="s">
        <v>2406</v>
      </c>
      <c r="B974" s="112" t="s">
        <v>2407</v>
      </c>
      <c r="C974" s="82">
        <v>366</v>
      </c>
      <c r="D974" s="43"/>
      <c r="E974" s="29" cm="1">
        <f t="array" ref="E974">_xlfn.IFS(C974=":",":",C974&gt;=N$19,1,C974&gt;=N$20,2,C974&gt;=N$21,3,C974&gt;=N$22,4,C974&gt;=N$23,5,C974&lt;N$23,6)</f>
        <v>6</v>
      </c>
      <c r="F974" s="30"/>
      <c r="G974" s="5"/>
      <c r="H974" s="5"/>
    </row>
    <row r="975" spans="1:8" ht="12" customHeight="1">
      <c r="A975" s="10" t="s">
        <v>2408</v>
      </c>
      <c r="B975" s="112" t="s">
        <v>2409</v>
      </c>
      <c r="C975" s="82">
        <v>748</v>
      </c>
      <c r="D975" s="43"/>
      <c r="E975" s="29" cm="1">
        <f t="array" ref="E975">_xlfn.IFS(C975=":",":",C975&gt;=N$19,1,C975&gt;=N$20,2,C975&gt;=N$21,3,C975&gt;=N$22,4,C975&gt;=N$23,5,C975&lt;N$23,6)</f>
        <v>6</v>
      </c>
      <c r="F975" s="30"/>
      <c r="G975" s="5"/>
      <c r="H975" s="5"/>
    </row>
    <row r="976" spans="1:8" ht="12" customHeight="1">
      <c r="A976" s="10" t="s">
        <v>2410</v>
      </c>
      <c r="B976" s="112" t="s">
        <v>2411</v>
      </c>
      <c r="C976" s="82">
        <v>878</v>
      </c>
      <c r="D976" s="43"/>
      <c r="E976" s="29" cm="1">
        <f t="array" ref="E976">_xlfn.IFS(C976=":",":",C976&gt;=N$19,1,C976&gt;=N$20,2,C976&gt;=N$21,3,C976&gt;=N$22,4,C976&gt;=N$23,5,C976&lt;N$23,6)</f>
        <v>6</v>
      </c>
      <c r="F976" s="30"/>
      <c r="G976" s="5"/>
      <c r="H976" s="5"/>
    </row>
    <row r="977" spans="1:8" ht="12" customHeight="1">
      <c r="A977" s="10" t="s">
        <v>2412</v>
      </c>
      <c r="B977" s="112" t="s">
        <v>2413</v>
      </c>
      <c r="C977" s="82">
        <v>1310</v>
      </c>
      <c r="D977" s="43"/>
      <c r="E977" s="29" cm="1">
        <f t="array" ref="E977">_xlfn.IFS(C977=":",":",C977&gt;=N$19,1,C977&gt;=N$20,2,C977&gt;=N$21,3,C977&gt;=N$22,4,C977&gt;=N$23,5,C977&lt;N$23,6)</f>
        <v>5</v>
      </c>
      <c r="F977" s="30"/>
      <c r="G977" s="5"/>
      <c r="H977" s="5"/>
    </row>
    <row r="978" spans="1:8" ht="12" customHeight="1">
      <c r="A978" s="10" t="s">
        <v>2414</v>
      </c>
      <c r="B978" s="112" t="s">
        <v>2415</v>
      </c>
      <c r="C978" s="82">
        <v>739</v>
      </c>
      <c r="D978" s="43"/>
      <c r="E978" s="29" cm="1">
        <f t="array" ref="E978">_xlfn.IFS(C978=":",":",C978&gt;=N$19,1,C978&gt;=N$20,2,C978&gt;=N$21,3,C978&gt;=N$22,4,C978&gt;=N$23,5,C978&lt;N$23,6)</f>
        <v>6</v>
      </c>
      <c r="F978" s="30"/>
      <c r="G978" s="5"/>
      <c r="H978" s="5"/>
    </row>
    <row r="979" spans="1:8" ht="12" customHeight="1">
      <c r="A979" s="10" t="s">
        <v>2416</v>
      </c>
      <c r="B979" s="112" t="s">
        <v>2417</v>
      </c>
      <c r="C979" s="82">
        <v>471</v>
      </c>
      <c r="D979" s="43"/>
      <c r="E979" s="29" cm="1">
        <f t="array" ref="E979">_xlfn.IFS(C979=":",":",C979&gt;=N$19,1,C979&gt;=N$20,2,C979&gt;=N$21,3,C979&gt;=N$22,4,C979&gt;=N$23,5,C979&lt;N$23,6)</f>
        <v>6</v>
      </c>
      <c r="F979" s="30"/>
      <c r="G979" s="5"/>
      <c r="H979" s="5"/>
    </row>
    <row r="980" spans="1:8" ht="12" customHeight="1">
      <c r="A980" s="10" t="s">
        <v>2418</v>
      </c>
      <c r="B980" s="112" t="s">
        <v>2419</v>
      </c>
      <c r="C980" s="82">
        <v>643</v>
      </c>
      <c r="D980" s="43"/>
      <c r="E980" s="29" cm="1">
        <f t="array" ref="E980">_xlfn.IFS(C980=":",":",C980&gt;=N$19,1,C980&gt;=N$20,2,C980&gt;=N$21,3,C980&gt;=N$22,4,C980&gt;=N$23,5,C980&lt;N$23,6)</f>
        <v>6</v>
      </c>
      <c r="F980" s="30"/>
      <c r="G980" s="5"/>
      <c r="H980" s="5"/>
    </row>
    <row r="981" spans="1:8" ht="12" customHeight="1">
      <c r="A981" s="10" t="s">
        <v>2420</v>
      </c>
      <c r="B981" s="112" t="s">
        <v>2910</v>
      </c>
      <c r="C981" s="82">
        <v>970</v>
      </c>
      <c r="D981" s="43"/>
      <c r="E981" s="29" cm="1">
        <f t="array" ref="E981">_xlfn.IFS(C981=":",":",C981&gt;=N$19,1,C981&gt;=N$20,2,C981&gt;=N$21,3,C981&gt;=N$22,4,C981&gt;=N$23,5,C981&lt;N$23,6)</f>
        <v>6</v>
      </c>
      <c r="F981" s="30"/>
      <c r="G981" s="5"/>
      <c r="H981" s="5"/>
    </row>
    <row r="982" spans="1:8" ht="12" customHeight="1">
      <c r="A982" s="10" t="s">
        <v>2421</v>
      </c>
      <c r="B982" s="112" t="s">
        <v>2911</v>
      </c>
      <c r="C982" s="82">
        <v>2794</v>
      </c>
      <c r="D982" s="43"/>
      <c r="E982" s="29" cm="1">
        <f t="array" ref="E982">_xlfn.IFS(C982=":",":",C982&gt;=N$19,1,C982&gt;=N$20,2,C982&gt;=N$21,3,C982&gt;=N$22,4,C982&gt;=N$23,5,C982&lt;N$23,6)</f>
        <v>4</v>
      </c>
      <c r="F982" s="30"/>
      <c r="G982" s="5"/>
      <c r="H982" s="5"/>
    </row>
    <row r="983" spans="1:8" ht="12" customHeight="1">
      <c r="A983" s="10" t="s">
        <v>2422</v>
      </c>
      <c r="B983" s="112" t="s">
        <v>2423</v>
      </c>
      <c r="C983" s="82">
        <v>521</v>
      </c>
      <c r="D983" s="43"/>
      <c r="E983" s="29" cm="1">
        <f t="array" ref="E983">_xlfn.IFS(C983=":",":",C983&gt;=N$19,1,C983&gt;=N$20,2,C983&gt;=N$21,3,C983&gt;=N$22,4,C983&gt;=N$23,5,C983&lt;N$23,6)</f>
        <v>6</v>
      </c>
      <c r="F983" s="30"/>
      <c r="G983" s="5"/>
      <c r="H983" s="5"/>
    </row>
    <row r="984" spans="1:8" ht="12" customHeight="1">
      <c r="A984" s="10" t="s">
        <v>2424</v>
      </c>
      <c r="B984" s="112" t="s">
        <v>2912</v>
      </c>
      <c r="C984" s="82">
        <v>1112</v>
      </c>
      <c r="D984" s="43"/>
      <c r="E984" s="29" cm="1">
        <f t="array" ref="E984">_xlfn.IFS(C984=":",":",C984&gt;=N$19,1,C984&gt;=N$20,2,C984&gt;=N$21,3,C984&gt;=N$22,4,C984&gt;=N$23,5,C984&lt;N$23,6)</f>
        <v>5</v>
      </c>
      <c r="F984" s="30"/>
      <c r="G984" s="5"/>
      <c r="H984" s="5"/>
    </row>
    <row r="985" spans="1:8" ht="12" customHeight="1">
      <c r="A985" s="10" t="s">
        <v>2425</v>
      </c>
      <c r="B985" s="112" t="s">
        <v>2913</v>
      </c>
      <c r="C985" s="82">
        <v>762</v>
      </c>
      <c r="D985" s="43"/>
      <c r="E985" s="29" cm="1">
        <f t="array" ref="E985">_xlfn.IFS(C985=":",":",C985&gt;=N$19,1,C985&gt;=N$20,2,C985&gt;=N$21,3,C985&gt;=N$22,4,C985&gt;=N$23,5,C985&lt;N$23,6)</f>
        <v>6</v>
      </c>
      <c r="F985" s="30"/>
      <c r="G985" s="5"/>
      <c r="H985" s="5"/>
    </row>
    <row r="986" spans="1:8" ht="12" customHeight="1">
      <c r="A986" s="10" t="s">
        <v>2426</v>
      </c>
      <c r="B986" s="112" t="s">
        <v>2427</v>
      </c>
      <c r="C986" s="82">
        <v>2688</v>
      </c>
      <c r="D986" s="43"/>
      <c r="E986" s="29" cm="1">
        <f t="array" ref="E986">_xlfn.IFS(C986=":",":",C986&gt;=N$19,1,C986&gt;=N$20,2,C986&gt;=N$21,3,C986&gt;=N$22,4,C986&gt;=N$23,5,C986&lt;N$23,6)</f>
        <v>4</v>
      </c>
      <c r="F986" s="30"/>
      <c r="G986" s="5"/>
      <c r="H986" s="5"/>
    </row>
    <row r="987" spans="1:8" ht="12" customHeight="1">
      <c r="A987" s="10" t="s">
        <v>2428</v>
      </c>
      <c r="B987" s="112" t="s">
        <v>2914</v>
      </c>
      <c r="C987" s="82">
        <v>26387</v>
      </c>
      <c r="D987" s="43"/>
      <c r="E987" s="29" cm="1">
        <f t="array" ref="E987">_xlfn.IFS(C987=":",":",C987&gt;=N$19,1,C987&gt;=N$20,2,C987&gt;=N$21,3,C987&gt;=N$22,4,C987&gt;=N$23,5,C987&lt;N$23,6)</f>
        <v>1</v>
      </c>
      <c r="F987" s="30"/>
      <c r="G987" s="5"/>
      <c r="H987" s="5"/>
    </row>
    <row r="988" spans="1:8" ht="12" customHeight="1">
      <c r="A988" s="10" t="s">
        <v>2429</v>
      </c>
      <c r="B988" s="112" t="s">
        <v>2430</v>
      </c>
      <c r="C988" s="82">
        <v>1174</v>
      </c>
      <c r="D988" s="43"/>
      <c r="E988" s="29" cm="1">
        <f t="array" ref="E988">_xlfn.IFS(C988=":",":",C988&gt;=N$19,1,C988&gt;=N$20,2,C988&gt;=N$21,3,C988&gt;=N$22,4,C988&gt;=N$23,5,C988&lt;N$23,6)</f>
        <v>5</v>
      </c>
      <c r="F988" s="30"/>
      <c r="G988" s="5"/>
      <c r="H988" s="5"/>
    </row>
    <row r="989" spans="1:8" ht="12" customHeight="1">
      <c r="A989" s="10" t="s">
        <v>2431</v>
      </c>
      <c r="B989" s="112" t="s">
        <v>2915</v>
      </c>
      <c r="C989" s="82">
        <v>11448</v>
      </c>
      <c r="D989" s="43"/>
      <c r="E989" s="29" cm="1">
        <f t="array" ref="E989">_xlfn.IFS(C989=":",":",C989&gt;=N$19,1,C989&gt;=N$20,2,C989&gt;=N$21,3,C989&gt;=N$22,4,C989&gt;=N$23,5,C989&lt;N$23,6)</f>
        <v>2</v>
      </c>
      <c r="F989" s="30"/>
      <c r="G989" s="5"/>
      <c r="H989" s="5"/>
    </row>
    <row r="990" spans="1:8" ht="12" customHeight="1">
      <c r="A990" s="10" t="s">
        <v>2432</v>
      </c>
      <c r="B990" s="112" t="s">
        <v>2433</v>
      </c>
      <c r="C990" s="82">
        <v>1945</v>
      </c>
      <c r="D990" s="43"/>
      <c r="E990" s="29" cm="1">
        <f t="array" ref="E990">_xlfn.IFS(C990=":",":",C990&gt;=N$19,1,C990&gt;=N$20,2,C990&gt;=N$21,3,C990&gt;=N$22,4,C990&gt;=N$23,5,C990&lt;N$23,6)</f>
        <v>5</v>
      </c>
      <c r="F990" s="30"/>
      <c r="G990" s="5"/>
      <c r="H990" s="5"/>
    </row>
    <row r="991" spans="1:8" ht="12" customHeight="1">
      <c r="A991" s="10" t="s">
        <v>2434</v>
      </c>
      <c r="B991" s="112" t="s">
        <v>2435</v>
      </c>
      <c r="C991" s="82">
        <v>1182</v>
      </c>
      <c r="D991" s="43"/>
      <c r="E991" s="29" cm="1">
        <f t="array" ref="E991">_xlfn.IFS(C991=":",":",C991&gt;=N$19,1,C991&gt;=N$20,2,C991&gt;=N$21,3,C991&gt;=N$22,4,C991&gt;=N$23,5,C991&lt;N$23,6)</f>
        <v>5</v>
      </c>
      <c r="F991" s="30"/>
      <c r="G991" s="5"/>
      <c r="H991" s="5"/>
    </row>
    <row r="992" spans="1:8" ht="12" customHeight="1">
      <c r="A992" s="10" t="s">
        <v>2436</v>
      </c>
      <c r="B992" s="112" t="s">
        <v>2916</v>
      </c>
      <c r="C992" s="82">
        <v>3622</v>
      </c>
      <c r="D992" s="43"/>
      <c r="E992" s="29" cm="1">
        <f t="array" ref="E992">_xlfn.IFS(C992=":",":",C992&gt;=N$19,1,C992&gt;=N$20,2,C992&gt;=N$21,3,C992&gt;=N$22,4,C992&gt;=N$23,5,C992&lt;N$23,6)</f>
        <v>3</v>
      </c>
      <c r="F992" s="30"/>
      <c r="G992" s="5"/>
      <c r="H992" s="5"/>
    </row>
    <row r="993" spans="1:8" ht="12" customHeight="1">
      <c r="A993" s="10" t="s">
        <v>2437</v>
      </c>
      <c r="B993" s="112" t="s">
        <v>2438</v>
      </c>
      <c r="C993" s="82">
        <v>9454</v>
      </c>
      <c r="D993" s="43"/>
      <c r="E993" s="29" cm="1">
        <f t="array" ref="E993">_xlfn.IFS(C993=":",":",C993&gt;=N$19,1,C993&gt;=N$20,2,C993&gt;=N$21,3,C993&gt;=N$22,4,C993&gt;=N$23,5,C993&lt;N$23,6)</f>
        <v>2</v>
      </c>
      <c r="F993" s="30"/>
      <c r="G993" s="5"/>
      <c r="H993" s="5"/>
    </row>
    <row r="994" spans="1:8" ht="12" customHeight="1">
      <c r="A994" s="10" t="s">
        <v>2439</v>
      </c>
      <c r="B994" s="112" t="s">
        <v>2917</v>
      </c>
      <c r="C994" s="82">
        <v>854</v>
      </c>
      <c r="D994" s="43"/>
      <c r="E994" s="29" cm="1">
        <f t="array" ref="E994">_xlfn.IFS(C994=":",":",C994&gt;=N$19,1,C994&gt;=N$20,2,C994&gt;=N$21,3,C994&gt;=N$22,4,C994&gt;=N$23,5,C994&lt;N$23,6)</f>
        <v>6</v>
      </c>
      <c r="F994" s="30"/>
      <c r="G994" s="5"/>
      <c r="H994" s="5"/>
    </row>
    <row r="995" spans="1:8" ht="12" customHeight="1">
      <c r="A995" s="10" t="s">
        <v>2440</v>
      </c>
      <c r="B995" s="112" t="s">
        <v>2918</v>
      </c>
      <c r="C995" s="82">
        <v>4538</v>
      </c>
      <c r="D995" s="43"/>
      <c r="E995" s="29" cm="1">
        <f t="array" ref="E995">_xlfn.IFS(C995=":",":",C995&gt;=N$19,1,C995&gt;=N$20,2,C995&gt;=N$21,3,C995&gt;=N$22,4,C995&gt;=N$23,5,C995&lt;N$23,6)</f>
        <v>3</v>
      </c>
      <c r="F995" s="30"/>
      <c r="G995" s="5"/>
      <c r="H995" s="5"/>
    </row>
    <row r="996" spans="1:8" ht="12" customHeight="1">
      <c r="A996" s="10" t="s">
        <v>2441</v>
      </c>
      <c r="B996" s="112" t="s">
        <v>2919</v>
      </c>
      <c r="C996" s="82">
        <v>901</v>
      </c>
      <c r="D996" s="43"/>
      <c r="E996" s="29" cm="1">
        <f t="array" ref="E996">_xlfn.IFS(C996=":",":",C996&gt;=N$19,1,C996&gt;=N$20,2,C996&gt;=N$21,3,C996&gt;=N$22,4,C996&gt;=N$23,5,C996&lt;N$23,6)</f>
        <v>6</v>
      </c>
      <c r="F996" s="30"/>
      <c r="G996" s="5"/>
      <c r="H996" s="5"/>
    </row>
    <row r="997" spans="1:8" ht="12" customHeight="1">
      <c r="A997" s="10" t="s">
        <v>2442</v>
      </c>
      <c r="B997" s="112" t="s">
        <v>2443</v>
      </c>
      <c r="C997" s="82">
        <v>887</v>
      </c>
      <c r="D997" s="43"/>
      <c r="E997" s="29" cm="1">
        <f t="array" ref="E997">_xlfn.IFS(C997=":",":",C997&gt;=N$19,1,C997&gt;=N$20,2,C997&gt;=N$21,3,C997&gt;=N$22,4,C997&gt;=N$23,5,C997&lt;N$23,6)</f>
        <v>6</v>
      </c>
      <c r="F997" s="30"/>
      <c r="G997" s="5"/>
      <c r="H997" s="5"/>
    </row>
    <row r="998" spans="1:8" ht="12" customHeight="1">
      <c r="A998" s="10" t="s">
        <v>2444</v>
      </c>
      <c r="B998" s="112" t="s">
        <v>2445</v>
      </c>
      <c r="C998" s="82">
        <v>787</v>
      </c>
      <c r="D998" s="43"/>
      <c r="E998" s="29" cm="1">
        <f t="array" ref="E998">_xlfn.IFS(C998=":",":",C998&gt;=N$19,1,C998&gt;=N$20,2,C998&gt;=N$21,3,C998&gt;=N$22,4,C998&gt;=N$23,5,C998&lt;N$23,6)</f>
        <v>6</v>
      </c>
      <c r="F998" s="30"/>
      <c r="G998" s="5"/>
      <c r="H998" s="5"/>
    </row>
    <row r="999" spans="1:8" ht="12" customHeight="1">
      <c r="A999" s="10" t="s">
        <v>2446</v>
      </c>
      <c r="B999" s="112" t="s">
        <v>2920</v>
      </c>
      <c r="C999" s="82">
        <v>1706</v>
      </c>
      <c r="D999" s="43"/>
      <c r="E999" s="29" cm="1">
        <f t="array" ref="E999">_xlfn.IFS(C999=":",":",C999&gt;=N$19,1,C999&gt;=N$20,2,C999&gt;=N$21,3,C999&gt;=N$22,4,C999&gt;=N$23,5,C999&lt;N$23,6)</f>
        <v>5</v>
      </c>
      <c r="F999" s="30"/>
      <c r="G999" s="5"/>
      <c r="H999" s="5"/>
    </row>
    <row r="1000" spans="1:8" ht="12" customHeight="1">
      <c r="A1000" s="10" t="s">
        <v>2447</v>
      </c>
      <c r="B1000" s="112" t="s">
        <v>2921</v>
      </c>
      <c r="C1000" s="82">
        <v>825</v>
      </c>
      <c r="D1000" s="43"/>
      <c r="E1000" s="29" cm="1">
        <f t="array" ref="E1000">_xlfn.IFS(C1000=":",":",C1000&gt;=N$19,1,C1000&gt;=N$20,2,C1000&gt;=N$21,3,C1000&gt;=N$22,4,C1000&gt;=N$23,5,C1000&lt;N$23,6)</f>
        <v>6</v>
      </c>
      <c r="F1000" s="30"/>
      <c r="G1000" s="5"/>
      <c r="H1000" s="5"/>
    </row>
    <row r="1001" spans="1:8" ht="12" customHeight="1">
      <c r="A1001" s="10" t="s">
        <v>2448</v>
      </c>
      <c r="B1001" s="112" t="s">
        <v>2922</v>
      </c>
      <c r="C1001" s="82">
        <v>2700</v>
      </c>
      <c r="D1001" s="43"/>
      <c r="E1001" s="29" cm="1">
        <f t="array" ref="E1001">_xlfn.IFS(C1001=":",":",C1001&gt;=N$19,1,C1001&gt;=N$20,2,C1001&gt;=N$21,3,C1001&gt;=N$22,4,C1001&gt;=N$23,5,C1001&lt;N$23,6)</f>
        <v>4</v>
      </c>
      <c r="F1001" s="30"/>
      <c r="G1001" s="5"/>
      <c r="H1001" s="5"/>
    </row>
    <row r="1002" spans="1:8" ht="12" customHeight="1">
      <c r="A1002" s="10" t="s">
        <v>2449</v>
      </c>
      <c r="B1002" s="112" t="s">
        <v>2923</v>
      </c>
      <c r="C1002" s="82">
        <v>1248</v>
      </c>
      <c r="D1002" s="43"/>
      <c r="E1002" s="29" cm="1">
        <f t="array" ref="E1002">_xlfn.IFS(C1002=":",":",C1002&gt;=N$19,1,C1002&gt;=N$20,2,C1002&gt;=N$21,3,C1002&gt;=N$22,4,C1002&gt;=N$23,5,C1002&lt;N$23,6)</f>
        <v>5</v>
      </c>
      <c r="F1002" s="30"/>
      <c r="G1002" s="5"/>
      <c r="H1002" s="5"/>
    </row>
    <row r="1003" spans="1:8" ht="12" customHeight="1">
      <c r="A1003" s="10" t="s">
        <v>2450</v>
      </c>
      <c r="B1003" s="112" t="s">
        <v>2924</v>
      </c>
      <c r="C1003" s="82">
        <v>5444</v>
      </c>
      <c r="D1003" s="43"/>
      <c r="E1003" s="29" cm="1">
        <f t="array" ref="E1003">_xlfn.IFS(C1003=":",":",C1003&gt;=N$19,1,C1003&gt;=N$20,2,C1003&gt;=N$21,3,C1003&gt;=N$22,4,C1003&gt;=N$23,5,C1003&lt;N$23,6)</f>
        <v>3</v>
      </c>
      <c r="F1003" s="30"/>
      <c r="G1003" s="5"/>
      <c r="H1003" s="5"/>
    </row>
    <row r="1004" spans="1:8" ht="12" customHeight="1">
      <c r="A1004" s="10" t="s">
        <v>2451</v>
      </c>
      <c r="B1004" s="112" t="s">
        <v>2925</v>
      </c>
      <c r="C1004" s="82">
        <v>1347</v>
      </c>
      <c r="D1004" s="43"/>
      <c r="E1004" s="29" cm="1">
        <f t="array" ref="E1004">_xlfn.IFS(C1004=":",":",C1004&gt;=N$19,1,C1004&gt;=N$20,2,C1004&gt;=N$21,3,C1004&gt;=N$22,4,C1004&gt;=N$23,5,C1004&lt;N$23,6)</f>
        <v>5</v>
      </c>
      <c r="F1004" s="30"/>
      <c r="G1004" s="5"/>
      <c r="H1004" s="5"/>
    </row>
    <row r="1005" spans="1:8" ht="12" customHeight="1">
      <c r="A1005" s="10" t="s">
        <v>2452</v>
      </c>
      <c r="B1005" s="112" t="s">
        <v>2926</v>
      </c>
      <c r="C1005" s="82">
        <v>3038</v>
      </c>
      <c r="D1005" s="43"/>
      <c r="E1005" s="29" cm="1">
        <f t="array" ref="E1005">_xlfn.IFS(C1005=":",":",C1005&gt;=N$19,1,C1005&gt;=N$20,2,C1005&gt;=N$21,3,C1005&gt;=N$22,4,C1005&gt;=N$23,5,C1005&lt;N$23,6)</f>
        <v>4</v>
      </c>
      <c r="F1005" s="30"/>
      <c r="G1005" s="5"/>
      <c r="H1005" s="5"/>
    </row>
    <row r="1006" spans="1:8" ht="12" customHeight="1">
      <c r="A1006" s="10" t="s">
        <v>2453</v>
      </c>
      <c r="B1006" s="112" t="s">
        <v>2927</v>
      </c>
      <c r="C1006" s="82">
        <v>3460</v>
      </c>
      <c r="D1006" s="43"/>
      <c r="E1006" s="29" cm="1">
        <f t="array" ref="E1006">_xlfn.IFS(C1006=":",":",C1006&gt;=N$19,1,C1006&gt;=N$20,2,C1006&gt;=N$21,3,C1006&gt;=N$22,4,C1006&gt;=N$23,5,C1006&lt;N$23,6)</f>
        <v>4</v>
      </c>
      <c r="F1006" s="30"/>
      <c r="G1006" s="5"/>
      <c r="H1006" s="5"/>
    </row>
    <row r="1007" spans="1:8" ht="12" customHeight="1">
      <c r="A1007" s="10" t="s">
        <v>2454</v>
      </c>
      <c r="B1007" s="112" t="s">
        <v>2928</v>
      </c>
      <c r="C1007" s="82">
        <v>6474</v>
      </c>
      <c r="D1007" s="43"/>
      <c r="E1007" s="29" cm="1">
        <f t="array" ref="E1007">_xlfn.IFS(C1007=":",":",C1007&gt;=N$19,1,C1007&gt;=N$20,2,C1007&gt;=N$21,3,C1007&gt;=N$22,4,C1007&gt;=N$23,5,C1007&lt;N$23,6)</f>
        <v>3</v>
      </c>
      <c r="F1007" s="30"/>
      <c r="G1007" s="5"/>
      <c r="H1007" s="5"/>
    </row>
    <row r="1008" spans="1:8" ht="12" customHeight="1">
      <c r="A1008" s="10" t="s">
        <v>2455</v>
      </c>
      <c r="B1008" s="112" t="s">
        <v>2929</v>
      </c>
      <c r="C1008" s="82">
        <v>5384</v>
      </c>
      <c r="D1008" s="43"/>
      <c r="E1008" s="29" cm="1">
        <f t="array" ref="E1008">_xlfn.IFS(C1008=":",":",C1008&gt;=N$19,1,C1008&gt;=N$20,2,C1008&gt;=N$21,3,C1008&gt;=N$22,4,C1008&gt;=N$23,5,C1008&lt;N$23,6)</f>
        <v>3</v>
      </c>
      <c r="F1008" s="30"/>
      <c r="G1008" s="5"/>
      <c r="H1008" s="5"/>
    </row>
    <row r="1009" spans="1:8" ht="12" customHeight="1">
      <c r="A1009" s="10" t="s">
        <v>2456</v>
      </c>
      <c r="B1009" s="112" t="s">
        <v>2930</v>
      </c>
      <c r="C1009" s="82">
        <v>6068</v>
      </c>
      <c r="D1009" s="43"/>
      <c r="E1009" s="29" cm="1">
        <f t="array" ref="E1009">_xlfn.IFS(C1009=":",":",C1009&gt;=N$19,1,C1009&gt;=N$20,2,C1009&gt;=N$21,3,C1009&gt;=N$22,4,C1009&gt;=N$23,5,C1009&lt;N$23,6)</f>
        <v>3</v>
      </c>
      <c r="F1009" s="30"/>
      <c r="G1009" s="5"/>
      <c r="H1009" s="5"/>
    </row>
    <row r="1010" spans="1:8" ht="12" customHeight="1">
      <c r="A1010" s="10" t="s">
        <v>2457</v>
      </c>
      <c r="B1010" s="112" t="s">
        <v>2458</v>
      </c>
      <c r="C1010" s="82">
        <v>2505</v>
      </c>
      <c r="D1010" s="43"/>
      <c r="E1010" s="29" cm="1">
        <f t="array" ref="E1010">_xlfn.IFS(C1010=":",":",C1010&gt;=N$19,1,C1010&gt;=N$20,2,C1010&gt;=N$21,3,C1010&gt;=N$22,4,C1010&gt;=N$23,5,C1010&lt;N$23,6)</f>
        <v>4</v>
      </c>
      <c r="F1010" s="30"/>
      <c r="G1010" s="5"/>
      <c r="H1010" s="5"/>
    </row>
    <row r="1011" spans="1:8" ht="12" customHeight="1">
      <c r="A1011" s="10" t="s">
        <v>2459</v>
      </c>
      <c r="B1011" s="112" t="s">
        <v>2460</v>
      </c>
      <c r="C1011" s="82">
        <v>733</v>
      </c>
      <c r="D1011" s="43"/>
      <c r="E1011" s="29" cm="1">
        <f t="array" ref="E1011">_xlfn.IFS(C1011=":",":",C1011&gt;=N$19,1,C1011&gt;=N$20,2,C1011&gt;=N$21,3,C1011&gt;=N$22,4,C1011&gt;=N$23,5,C1011&lt;N$23,6)</f>
        <v>6</v>
      </c>
      <c r="F1011" s="30"/>
      <c r="G1011" s="5"/>
      <c r="H1011" s="5"/>
    </row>
    <row r="1012" spans="1:8" ht="12" customHeight="1">
      <c r="A1012" s="10" t="s">
        <v>2461</v>
      </c>
      <c r="B1012" s="112" t="s">
        <v>2931</v>
      </c>
      <c r="C1012" s="82">
        <v>1683</v>
      </c>
      <c r="D1012" s="43"/>
      <c r="E1012" s="29" cm="1">
        <f t="array" ref="E1012">_xlfn.IFS(C1012=":",":",C1012&gt;=N$19,1,C1012&gt;=N$20,2,C1012&gt;=N$21,3,C1012&gt;=N$22,4,C1012&gt;=N$23,5,C1012&lt;N$23,6)</f>
        <v>5</v>
      </c>
      <c r="F1012" s="30"/>
      <c r="G1012" s="5"/>
      <c r="H1012" s="5"/>
    </row>
    <row r="1013" spans="1:8" ht="12" customHeight="1">
      <c r="A1013" s="10" t="s">
        <v>2462</v>
      </c>
      <c r="B1013" s="112" t="s">
        <v>2932</v>
      </c>
      <c r="C1013" s="82">
        <v>753</v>
      </c>
      <c r="D1013" s="43"/>
      <c r="E1013" s="29" cm="1">
        <f t="array" ref="E1013">_xlfn.IFS(C1013=":",":",C1013&gt;=N$19,1,C1013&gt;=N$20,2,C1013&gt;=N$21,3,C1013&gt;=N$22,4,C1013&gt;=N$23,5,C1013&lt;N$23,6)</f>
        <v>6</v>
      </c>
      <c r="F1013" s="30"/>
      <c r="G1013" s="5"/>
      <c r="H1013" s="5"/>
    </row>
    <row r="1014" spans="1:8" ht="12" customHeight="1">
      <c r="A1014" s="10" t="s">
        <v>2463</v>
      </c>
      <c r="B1014" s="112" t="s">
        <v>2464</v>
      </c>
      <c r="C1014" s="82">
        <v>954</v>
      </c>
      <c r="D1014" s="43"/>
      <c r="E1014" s="29" cm="1">
        <f t="array" ref="E1014">_xlfn.IFS(C1014=":",":",C1014&gt;=N$19,1,C1014&gt;=N$20,2,C1014&gt;=N$21,3,C1014&gt;=N$22,4,C1014&gt;=N$23,5,C1014&lt;N$23,6)</f>
        <v>6</v>
      </c>
      <c r="F1014" s="30"/>
      <c r="G1014" s="5"/>
      <c r="H1014" s="5"/>
    </row>
    <row r="1015" spans="1:8" ht="12" customHeight="1">
      <c r="A1015" s="10" t="s">
        <v>2465</v>
      </c>
      <c r="B1015" s="112" t="s">
        <v>2466</v>
      </c>
      <c r="C1015" s="82">
        <v>997</v>
      </c>
      <c r="D1015" s="43"/>
      <c r="E1015" s="29" cm="1">
        <f t="array" ref="E1015">_xlfn.IFS(C1015=":",":",C1015&gt;=N$19,1,C1015&gt;=N$20,2,C1015&gt;=N$21,3,C1015&gt;=N$22,4,C1015&gt;=N$23,5,C1015&lt;N$23,6)</f>
        <v>6</v>
      </c>
      <c r="F1015" s="30"/>
      <c r="G1015" s="5"/>
      <c r="H1015" s="5"/>
    </row>
    <row r="1016" spans="1:8" ht="12" customHeight="1">
      <c r="A1016" s="10" t="s">
        <v>2467</v>
      </c>
      <c r="B1016" s="112" t="s">
        <v>2468</v>
      </c>
      <c r="C1016" s="82">
        <v>447</v>
      </c>
      <c r="D1016" s="43"/>
      <c r="E1016" s="29" cm="1">
        <f t="array" ref="E1016">_xlfn.IFS(C1016=":",":",C1016&gt;=N$19,1,C1016&gt;=N$20,2,C1016&gt;=N$21,3,C1016&gt;=N$22,4,C1016&gt;=N$23,5,C1016&lt;N$23,6)</f>
        <v>6</v>
      </c>
      <c r="F1016" s="30"/>
      <c r="G1016" s="5"/>
      <c r="H1016" s="5"/>
    </row>
    <row r="1017" spans="1:8" ht="12" customHeight="1">
      <c r="A1017" s="10" t="s">
        <v>2469</v>
      </c>
      <c r="B1017" s="112" t="s">
        <v>2470</v>
      </c>
      <c r="C1017" s="82">
        <v>1302</v>
      </c>
      <c r="D1017" s="43"/>
      <c r="E1017" s="29" cm="1">
        <f t="array" ref="E1017">_xlfn.IFS(C1017=":",":",C1017&gt;=N$19,1,C1017&gt;=N$20,2,C1017&gt;=N$21,3,C1017&gt;=N$22,4,C1017&gt;=N$23,5,C1017&lt;N$23,6)</f>
        <v>5</v>
      </c>
      <c r="F1017" s="30"/>
      <c r="G1017" s="5"/>
      <c r="H1017" s="5"/>
    </row>
    <row r="1018" spans="1:8" ht="12" customHeight="1">
      <c r="A1018" s="10" t="s">
        <v>2471</v>
      </c>
      <c r="B1018" s="112" t="s">
        <v>2933</v>
      </c>
      <c r="C1018" s="82">
        <v>2313</v>
      </c>
      <c r="D1018" s="43"/>
      <c r="E1018" s="29" cm="1">
        <f t="array" ref="E1018">_xlfn.IFS(C1018=":",":",C1018&gt;=N$19,1,C1018&gt;=N$20,2,C1018&gt;=N$21,3,C1018&gt;=N$22,4,C1018&gt;=N$23,5,C1018&lt;N$23,6)</f>
        <v>4</v>
      </c>
      <c r="F1018" s="30"/>
      <c r="G1018" s="5"/>
      <c r="H1018" s="5"/>
    </row>
    <row r="1019" spans="1:8" ht="12" customHeight="1">
      <c r="A1019" s="10" t="s">
        <v>2472</v>
      </c>
      <c r="B1019" s="112" t="s">
        <v>2473</v>
      </c>
      <c r="C1019" s="82">
        <v>1048</v>
      </c>
      <c r="D1019" s="43"/>
      <c r="E1019" s="29" cm="1">
        <f t="array" ref="E1019">_xlfn.IFS(C1019=":",":",C1019&gt;=N$19,1,C1019&gt;=N$20,2,C1019&gt;=N$21,3,C1019&gt;=N$22,4,C1019&gt;=N$23,5,C1019&lt;N$23,6)</f>
        <v>5</v>
      </c>
      <c r="F1019" s="30"/>
      <c r="G1019" s="5"/>
      <c r="H1019" s="5"/>
    </row>
    <row r="1020" spans="1:8" ht="12" customHeight="1">
      <c r="A1020" s="10" t="s">
        <v>2474</v>
      </c>
      <c r="B1020" s="112" t="s">
        <v>2934</v>
      </c>
      <c r="C1020" s="82">
        <v>898</v>
      </c>
      <c r="D1020" s="43"/>
      <c r="E1020" s="29" cm="1">
        <f t="array" ref="E1020">_xlfn.IFS(C1020=":",":",C1020&gt;=N$19,1,C1020&gt;=N$20,2,C1020&gt;=N$21,3,C1020&gt;=N$22,4,C1020&gt;=N$23,5,C1020&lt;N$23,6)</f>
        <v>6</v>
      </c>
      <c r="F1020" s="30"/>
      <c r="G1020" s="5"/>
      <c r="H1020" s="5"/>
    </row>
    <row r="1021" spans="1:8" ht="12" customHeight="1">
      <c r="A1021" s="10" t="s">
        <v>2475</v>
      </c>
      <c r="B1021" s="112" t="s">
        <v>2476</v>
      </c>
      <c r="C1021" s="82">
        <v>1141</v>
      </c>
      <c r="D1021" s="43"/>
      <c r="E1021" s="29" cm="1">
        <f t="array" ref="E1021">_xlfn.IFS(C1021=":",":",C1021&gt;=N$19,1,C1021&gt;=N$20,2,C1021&gt;=N$21,3,C1021&gt;=N$22,4,C1021&gt;=N$23,5,C1021&lt;N$23,6)</f>
        <v>5</v>
      </c>
      <c r="F1021" s="30"/>
      <c r="G1021" s="5"/>
      <c r="H1021" s="5"/>
    </row>
    <row r="1022" spans="1:8" ht="12" customHeight="1">
      <c r="A1022" s="10" t="s">
        <v>2477</v>
      </c>
      <c r="B1022" s="112" t="s">
        <v>2935</v>
      </c>
      <c r="C1022" s="82">
        <v>1548</v>
      </c>
      <c r="D1022" s="43"/>
      <c r="E1022" s="29" cm="1">
        <f t="array" ref="E1022">_xlfn.IFS(C1022=":",":",C1022&gt;=N$19,1,C1022&gt;=N$20,2,C1022&gt;=N$21,3,C1022&gt;=N$22,4,C1022&gt;=N$23,5,C1022&lt;N$23,6)</f>
        <v>5</v>
      </c>
      <c r="F1022" s="30"/>
      <c r="G1022" s="5"/>
      <c r="H1022" s="5"/>
    </row>
    <row r="1023" spans="1:8" ht="12" customHeight="1">
      <c r="A1023" s="10" t="s">
        <v>2478</v>
      </c>
      <c r="B1023" s="112" t="s">
        <v>2936</v>
      </c>
      <c r="C1023" s="82">
        <v>4054</v>
      </c>
      <c r="D1023" s="43"/>
      <c r="E1023" s="29" cm="1">
        <f t="array" ref="E1023">_xlfn.IFS(C1023=":",":",C1023&gt;=N$19,1,C1023&gt;=N$20,2,C1023&gt;=N$21,3,C1023&gt;=N$22,4,C1023&gt;=N$23,5,C1023&lt;N$23,6)</f>
        <v>3</v>
      </c>
      <c r="F1023" s="30"/>
      <c r="G1023" s="5"/>
      <c r="H1023" s="5"/>
    </row>
    <row r="1024" spans="1:8" ht="12" customHeight="1">
      <c r="A1024" s="10" t="s">
        <v>2479</v>
      </c>
      <c r="B1024" s="112" t="s">
        <v>2480</v>
      </c>
      <c r="C1024" s="82">
        <v>1393</v>
      </c>
      <c r="D1024" s="43"/>
      <c r="E1024" s="29" cm="1">
        <f t="array" ref="E1024">_xlfn.IFS(C1024=":",":",C1024&gt;=N$19,1,C1024&gt;=N$20,2,C1024&gt;=N$21,3,C1024&gt;=N$22,4,C1024&gt;=N$23,5,C1024&lt;N$23,6)</f>
        <v>5</v>
      </c>
      <c r="F1024" s="30"/>
      <c r="G1024" s="5"/>
      <c r="H1024" s="5"/>
    </row>
    <row r="1025" spans="1:8" ht="12" customHeight="1">
      <c r="A1025" s="10" t="s">
        <v>2481</v>
      </c>
      <c r="B1025" s="112" t="s">
        <v>2482</v>
      </c>
      <c r="C1025" s="82">
        <v>1246</v>
      </c>
      <c r="D1025" s="43"/>
      <c r="E1025" s="29" cm="1">
        <f t="array" ref="E1025">_xlfn.IFS(C1025=":",":",C1025&gt;=N$19,1,C1025&gt;=N$20,2,C1025&gt;=N$21,3,C1025&gt;=N$22,4,C1025&gt;=N$23,5,C1025&lt;N$23,6)</f>
        <v>5</v>
      </c>
      <c r="F1025" s="30"/>
      <c r="G1025" s="5"/>
      <c r="H1025" s="5"/>
    </row>
    <row r="1026" spans="1:8" ht="12" customHeight="1">
      <c r="A1026" s="10" t="s">
        <v>2483</v>
      </c>
      <c r="B1026" s="112" t="s">
        <v>2484</v>
      </c>
      <c r="C1026" s="82">
        <v>595</v>
      </c>
      <c r="D1026" s="43"/>
      <c r="E1026" s="29" cm="1">
        <f t="array" ref="E1026">_xlfn.IFS(C1026=":",":",C1026&gt;=N$19,1,C1026&gt;=N$20,2,C1026&gt;=N$21,3,C1026&gt;=N$22,4,C1026&gt;=N$23,5,C1026&lt;N$23,6)</f>
        <v>6</v>
      </c>
      <c r="F1026" s="30"/>
      <c r="G1026" s="5"/>
      <c r="H1026" s="5"/>
    </row>
    <row r="1027" spans="1:8" ht="12" customHeight="1">
      <c r="A1027" s="10" t="s">
        <v>2485</v>
      </c>
      <c r="B1027" s="112" t="s">
        <v>2937</v>
      </c>
      <c r="C1027" s="82">
        <v>970</v>
      </c>
      <c r="D1027" s="43"/>
      <c r="E1027" s="29" cm="1">
        <f t="array" ref="E1027">_xlfn.IFS(C1027=":",":",C1027&gt;=N$19,1,C1027&gt;=N$20,2,C1027&gt;=N$21,3,C1027&gt;=N$22,4,C1027&gt;=N$23,5,C1027&lt;N$23,6)</f>
        <v>6</v>
      </c>
      <c r="F1027" s="30"/>
      <c r="G1027" s="5"/>
      <c r="H1027" s="5"/>
    </row>
    <row r="1028" spans="1:8" ht="12" customHeight="1">
      <c r="A1028" s="10" t="s">
        <v>2486</v>
      </c>
      <c r="B1028" s="112" t="s">
        <v>2938</v>
      </c>
      <c r="C1028" s="82">
        <v>895</v>
      </c>
      <c r="D1028" s="43"/>
      <c r="E1028" s="29" cm="1">
        <f t="array" ref="E1028">_xlfn.IFS(C1028=":",":",C1028&gt;=N$19,1,C1028&gt;=N$20,2,C1028&gt;=N$21,3,C1028&gt;=N$22,4,C1028&gt;=N$23,5,C1028&lt;N$23,6)</f>
        <v>6</v>
      </c>
      <c r="F1028" s="30"/>
      <c r="G1028" s="5"/>
      <c r="H1028" s="5"/>
    </row>
    <row r="1029" spans="1:8" ht="12" customHeight="1">
      <c r="A1029" s="10" t="s">
        <v>2487</v>
      </c>
      <c r="B1029" s="112" t="s">
        <v>2488</v>
      </c>
      <c r="C1029" s="82">
        <v>1732</v>
      </c>
      <c r="D1029" s="43"/>
      <c r="E1029" s="29" cm="1">
        <f t="array" ref="E1029">_xlfn.IFS(C1029=":",":",C1029&gt;=N$19,1,C1029&gt;=N$20,2,C1029&gt;=N$21,3,C1029&gt;=N$22,4,C1029&gt;=N$23,5,C1029&lt;N$23,6)</f>
        <v>5</v>
      </c>
      <c r="F1029" s="30"/>
      <c r="G1029" s="5"/>
      <c r="H1029" s="5"/>
    </row>
    <row r="1030" spans="1:8" ht="12" customHeight="1">
      <c r="A1030" s="10" t="s">
        <v>2489</v>
      </c>
      <c r="B1030" s="112" t="s">
        <v>2490</v>
      </c>
      <c r="C1030" s="82">
        <v>4476</v>
      </c>
      <c r="D1030" s="43"/>
      <c r="E1030" s="29" cm="1">
        <f t="array" ref="E1030">_xlfn.IFS(C1030=":",":",C1030&gt;=N$19,1,C1030&gt;=N$20,2,C1030&gt;=N$21,3,C1030&gt;=N$22,4,C1030&gt;=N$23,5,C1030&lt;N$23,6)</f>
        <v>3</v>
      </c>
      <c r="F1030" s="30"/>
      <c r="G1030" s="5"/>
      <c r="H1030" s="5"/>
    </row>
    <row r="1031" spans="1:8" ht="12" customHeight="1">
      <c r="A1031" s="10" t="s">
        <v>2491</v>
      </c>
      <c r="B1031" s="112" t="s">
        <v>2492</v>
      </c>
      <c r="C1031" s="82">
        <v>1057</v>
      </c>
      <c r="D1031" s="43"/>
      <c r="E1031" s="29" cm="1">
        <f t="array" ref="E1031">_xlfn.IFS(C1031=":",":",C1031&gt;=N$19,1,C1031&gt;=N$20,2,C1031&gt;=N$21,3,C1031&gt;=N$22,4,C1031&gt;=N$23,5,C1031&lt;N$23,6)</f>
        <v>5</v>
      </c>
      <c r="F1031" s="30"/>
      <c r="G1031" s="5"/>
      <c r="H1031" s="5"/>
    </row>
    <row r="1032" spans="1:8" ht="12" customHeight="1">
      <c r="A1032" s="10" t="s">
        <v>2493</v>
      </c>
      <c r="B1032" s="112" t="s">
        <v>2494</v>
      </c>
      <c r="C1032" s="82">
        <v>1282</v>
      </c>
      <c r="D1032" s="43"/>
      <c r="E1032" s="29" cm="1">
        <f t="array" ref="E1032">_xlfn.IFS(C1032=":",":",C1032&gt;=N$19,1,C1032&gt;=N$20,2,C1032&gt;=N$21,3,C1032&gt;=N$22,4,C1032&gt;=N$23,5,C1032&lt;N$23,6)</f>
        <v>5</v>
      </c>
      <c r="F1032" s="30"/>
      <c r="G1032" s="5"/>
      <c r="H1032" s="5"/>
    </row>
    <row r="1033" spans="1:8" ht="12" customHeight="1">
      <c r="A1033" s="10" t="s">
        <v>2495</v>
      </c>
      <c r="B1033" s="112" t="s">
        <v>2496</v>
      </c>
      <c r="C1033" s="82">
        <v>636</v>
      </c>
      <c r="D1033" s="43"/>
      <c r="E1033" s="29" cm="1">
        <f t="array" ref="E1033">_xlfn.IFS(C1033=":",":",C1033&gt;=N$19,1,C1033&gt;=N$20,2,C1033&gt;=N$21,3,C1033&gt;=N$22,4,C1033&gt;=N$23,5,C1033&lt;N$23,6)</f>
        <v>6</v>
      </c>
      <c r="F1033" s="30"/>
      <c r="G1033" s="5"/>
      <c r="H1033" s="5"/>
    </row>
    <row r="1034" spans="1:8" ht="12" customHeight="1">
      <c r="A1034" s="10" t="s">
        <v>2497</v>
      </c>
      <c r="B1034" s="112" t="s">
        <v>2498</v>
      </c>
      <c r="C1034" s="82">
        <v>370</v>
      </c>
      <c r="D1034" s="43"/>
      <c r="E1034" s="29" cm="1">
        <f t="array" ref="E1034">_xlfn.IFS(C1034=":",":",C1034&gt;=N$19,1,C1034&gt;=N$20,2,C1034&gt;=N$21,3,C1034&gt;=N$22,4,C1034&gt;=N$23,5,C1034&lt;N$23,6)</f>
        <v>6</v>
      </c>
      <c r="F1034" s="30"/>
      <c r="G1034" s="5"/>
      <c r="H1034" s="5"/>
    </row>
    <row r="1035" spans="1:8" ht="12" customHeight="1">
      <c r="A1035" s="10" t="s">
        <v>2499</v>
      </c>
      <c r="B1035" s="112" t="s">
        <v>2939</v>
      </c>
      <c r="C1035" s="82">
        <v>546</v>
      </c>
      <c r="D1035" s="43"/>
      <c r="E1035" s="29" cm="1">
        <f t="array" ref="E1035">_xlfn.IFS(C1035=":",":",C1035&gt;=N$19,1,C1035&gt;=N$20,2,C1035&gt;=N$21,3,C1035&gt;=N$22,4,C1035&gt;=N$23,5,C1035&lt;N$23,6)</f>
        <v>6</v>
      </c>
      <c r="F1035" s="30"/>
      <c r="G1035" s="5"/>
      <c r="H1035" s="5"/>
    </row>
    <row r="1036" spans="1:8" ht="12" customHeight="1">
      <c r="A1036" s="10" t="s">
        <v>2500</v>
      </c>
      <c r="B1036" s="112" t="s">
        <v>2940</v>
      </c>
      <c r="C1036" s="82">
        <v>340</v>
      </c>
      <c r="D1036" s="43"/>
      <c r="E1036" s="29" cm="1">
        <f t="array" ref="E1036">_xlfn.IFS(C1036=":",":",C1036&gt;=N$19,1,C1036&gt;=N$20,2,C1036&gt;=N$21,3,C1036&gt;=N$22,4,C1036&gt;=N$23,5,C1036&lt;N$23,6)</f>
        <v>6</v>
      </c>
      <c r="F1036" s="30"/>
      <c r="G1036" s="5"/>
      <c r="H1036" s="5"/>
    </row>
    <row r="1037" spans="1:8" ht="12" customHeight="1">
      <c r="A1037" s="10" t="s">
        <v>2501</v>
      </c>
      <c r="B1037" s="112" t="s">
        <v>2502</v>
      </c>
      <c r="C1037" s="82">
        <v>1036</v>
      </c>
      <c r="D1037" s="43"/>
      <c r="E1037" s="29" cm="1">
        <f t="array" ref="E1037">_xlfn.IFS(C1037=":",":",C1037&gt;=N$19,1,C1037&gt;=N$20,2,C1037&gt;=N$21,3,C1037&gt;=N$22,4,C1037&gt;=N$23,5,C1037&lt;N$23,6)</f>
        <v>5</v>
      </c>
      <c r="F1037" s="30"/>
      <c r="G1037" s="5"/>
      <c r="H1037" s="5"/>
    </row>
    <row r="1038" spans="1:8" ht="12" customHeight="1">
      <c r="A1038" s="10" t="s">
        <v>2503</v>
      </c>
      <c r="B1038" s="112" t="s">
        <v>2941</v>
      </c>
      <c r="C1038" s="82">
        <v>1400</v>
      </c>
      <c r="D1038" s="43"/>
      <c r="E1038" s="29" cm="1">
        <f t="array" ref="E1038">_xlfn.IFS(C1038=":",":",C1038&gt;=N$19,1,C1038&gt;=N$20,2,C1038&gt;=N$21,3,C1038&gt;=N$22,4,C1038&gt;=N$23,5,C1038&lt;N$23,6)</f>
        <v>5</v>
      </c>
      <c r="F1038" s="30"/>
      <c r="G1038" s="5"/>
      <c r="H1038" s="5"/>
    </row>
    <row r="1039" spans="1:8" ht="12" customHeight="1">
      <c r="A1039" s="10" t="s">
        <v>2504</v>
      </c>
      <c r="B1039" s="112" t="s">
        <v>2505</v>
      </c>
      <c r="C1039" s="82">
        <v>5223</v>
      </c>
      <c r="D1039" s="43"/>
      <c r="E1039" s="29" cm="1">
        <f t="array" ref="E1039">_xlfn.IFS(C1039=":",":",C1039&gt;=N$19,1,C1039&gt;=N$20,2,C1039&gt;=N$21,3,C1039&gt;=N$22,4,C1039&gt;=N$23,5,C1039&lt;N$23,6)</f>
        <v>3</v>
      </c>
      <c r="F1039" s="30"/>
      <c r="G1039" s="5"/>
      <c r="H1039" s="5"/>
    </row>
    <row r="1040" spans="1:8" ht="12" customHeight="1">
      <c r="A1040" s="10" t="s">
        <v>2506</v>
      </c>
      <c r="B1040" s="112" t="s">
        <v>2507</v>
      </c>
      <c r="C1040" s="82">
        <v>3240</v>
      </c>
      <c r="D1040" s="43"/>
      <c r="E1040" s="29" cm="1">
        <f t="array" ref="E1040">_xlfn.IFS(C1040=":",":",C1040&gt;=N$19,1,C1040&gt;=N$20,2,C1040&gt;=N$21,3,C1040&gt;=N$22,4,C1040&gt;=N$23,5,C1040&lt;N$23,6)</f>
        <v>4</v>
      </c>
      <c r="F1040" s="30"/>
      <c r="G1040" s="5"/>
      <c r="H1040" s="5"/>
    </row>
    <row r="1041" spans="1:8" ht="12" customHeight="1">
      <c r="A1041" s="10" t="s">
        <v>2508</v>
      </c>
      <c r="B1041" s="112" t="s">
        <v>2509</v>
      </c>
      <c r="C1041" s="82">
        <v>1731</v>
      </c>
      <c r="D1041" s="43"/>
      <c r="E1041" s="29" cm="1">
        <f t="array" ref="E1041">_xlfn.IFS(C1041=":",":",C1041&gt;=N$19,1,C1041&gt;=N$20,2,C1041&gt;=N$21,3,C1041&gt;=N$22,4,C1041&gt;=N$23,5,C1041&lt;N$23,6)</f>
        <v>5</v>
      </c>
      <c r="F1041" s="30"/>
      <c r="G1041" s="5"/>
      <c r="H1041" s="5"/>
    </row>
    <row r="1042" spans="1:8" ht="12" customHeight="1">
      <c r="A1042" s="10" t="s">
        <v>2510</v>
      </c>
      <c r="B1042" s="112" t="s">
        <v>2511</v>
      </c>
      <c r="C1042" s="82">
        <v>5787</v>
      </c>
      <c r="D1042" s="43"/>
      <c r="E1042" s="29" cm="1">
        <f t="array" ref="E1042">_xlfn.IFS(C1042=":",":",C1042&gt;=N$19,1,C1042&gt;=N$20,2,C1042&gt;=N$21,3,C1042&gt;=N$22,4,C1042&gt;=N$23,5,C1042&lt;N$23,6)</f>
        <v>3</v>
      </c>
      <c r="F1042" s="30"/>
      <c r="G1042" s="5"/>
      <c r="H1042" s="5"/>
    </row>
    <row r="1043" spans="1:8" ht="12" customHeight="1">
      <c r="A1043" s="16" t="s">
        <v>2512</v>
      </c>
      <c r="B1043" s="11" t="s">
        <v>3025</v>
      </c>
      <c r="C1043" s="82">
        <v>4714</v>
      </c>
      <c r="D1043" s="43"/>
      <c r="E1043" s="29" cm="1">
        <f t="array" ref="E1043">_xlfn.IFS(C1043=":",":",C1043&gt;=N$19,1,C1043&gt;=N$20,2,C1043&gt;=N$21,3,C1043&gt;=N$22,4,C1043&gt;=N$23,5,C1043&lt;N$23,6)</f>
        <v>3</v>
      </c>
      <c r="F1043" s="30"/>
      <c r="G1043" s="5"/>
      <c r="H1043" s="5"/>
    </row>
    <row r="1044" spans="1:8" ht="12" customHeight="1">
      <c r="A1044" s="10" t="s">
        <v>2513</v>
      </c>
      <c r="B1044" s="112" t="s">
        <v>2514</v>
      </c>
      <c r="C1044" s="82">
        <v>1269</v>
      </c>
      <c r="D1044" s="43"/>
      <c r="E1044" s="29" cm="1">
        <f t="array" ref="E1044">_xlfn.IFS(C1044=":",":",C1044&gt;=N$19,1,C1044&gt;=N$20,2,C1044&gt;=N$21,3,C1044&gt;=N$22,4,C1044&gt;=N$23,5,C1044&lt;N$23,6)</f>
        <v>5</v>
      </c>
      <c r="F1044" s="30"/>
      <c r="G1044" s="5"/>
      <c r="H1044" s="5"/>
    </row>
    <row r="1045" spans="1:8" ht="12" customHeight="1">
      <c r="A1045" s="10" t="s">
        <v>2515</v>
      </c>
      <c r="B1045" s="112" t="s">
        <v>2516</v>
      </c>
      <c r="C1045" s="82">
        <v>3758</v>
      </c>
      <c r="D1045" s="43"/>
      <c r="E1045" s="29" cm="1">
        <f t="array" ref="E1045">_xlfn.IFS(C1045=":",":",C1045&gt;=N$19,1,C1045&gt;=N$20,2,C1045&gt;=N$21,3,C1045&gt;=N$22,4,C1045&gt;=N$23,5,C1045&lt;N$23,6)</f>
        <v>3</v>
      </c>
      <c r="F1045" s="30"/>
      <c r="G1045" s="5"/>
      <c r="H1045" s="5"/>
    </row>
    <row r="1046" spans="1:8" ht="12" customHeight="1">
      <c r="A1046" s="10" t="s">
        <v>2517</v>
      </c>
      <c r="B1046" s="112" t="s">
        <v>2518</v>
      </c>
      <c r="C1046" s="82">
        <v>3352</v>
      </c>
      <c r="D1046" s="43"/>
      <c r="E1046" s="29" cm="1">
        <f t="array" ref="E1046">_xlfn.IFS(C1046=":",":",C1046&gt;=N$19,1,C1046&gt;=N$20,2,C1046&gt;=N$21,3,C1046&gt;=N$22,4,C1046&gt;=N$23,5,C1046&lt;N$23,6)</f>
        <v>4</v>
      </c>
      <c r="F1046" s="30"/>
      <c r="G1046" s="5"/>
      <c r="H1046" s="5"/>
    </row>
    <row r="1047" spans="1:8" ht="12" customHeight="1">
      <c r="A1047" s="10" t="s">
        <v>2519</v>
      </c>
      <c r="B1047" s="112" t="s">
        <v>395</v>
      </c>
      <c r="C1047" s="82">
        <v>52478</v>
      </c>
      <c r="D1047" s="43"/>
      <c r="E1047" s="29" cm="1">
        <f t="array" ref="E1047">_xlfn.IFS(C1047=":",":",C1047&gt;=N$19,1,C1047&gt;=N$20,2,C1047&gt;=N$21,3,C1047&gt;=N$22,4,C1047&gt;=N$23,5,C1047&lt;N$23,6)</f>
        <v>1</v>
      </c>
      <c r="F1047" s="30"/>
      <c r="G1047" s="5"/>
      <c r="H1047" s="5"/>
    </row>
    <row r="1048" spans="1:8" ht="12" customHeight="1">
      <c r="A1048" s="16" t="s">
        <v>3050</v>
      </c>
      <c r="B1048" s="112" t="s">
        <v>2521</v>
      </c>
      <c r="C1048" s="82" t="s">
        <v>546</v>
      </c>
      <c r="D1048" s="43"/>
      <c r="E1048" s="29" t="str" cm="1">
        <f t="array" ref="E1048">_xlfn.IFS(C1048=":",":",C1048&gt;=N$19,1,C1048&gt;=N$20,2,C1048&gt;=N$21,3,C1048&gt;=N$22,4,C1048&gt;=N$23,5,C1048&lt;N$23,6)</f>
        <v>:</v>
      </c>
      <c r="F1048" s="30"/>
      <c r="G1048" s="5"/>
      <c r="H1048" s="5"/>
    </row>
    <row r="1049" spans="1:8" ht="12" customHeight="1">
      <c r="A1049" s="16" t="s">
        <v>3051</v>
      </c>
      <c r="B1049" s="11" t="s">
        <v>2522</v>
      </c>
      <c r="C1049" s="82" t="s">
        <v>546</v>
      </c>
      <c r="D1049" s="43"/>
      <c r="E1049" s="29" t="str" cm="1">
        <f t="array" ref="E1049">_xlfn.IFS(C1049=":",":",C1049&gt;=N$19,1,C1049&gt;=N$20,2,C1049&gt;=N$21,3,C1049&gt;=N$22,4,C1049&gt;=N$23,5,C1049&lt;N$23,6)</f>
        <v>:</v>
      </c>
      <c r="F1049" s="30"/>
      <c r="G1049" s="5"/>
      <c r="H1049" s="5"/>
    </row>
    <row r="1050" spans="1:8" ht="12" customHeight="1">
      <c r="A1050" s="16" t="s">
        <v>3052</v>
      </c>
      <c r="B1050" s="11" t="s">
        <v>2523</v>
      </c>
      <c r="C1050" s="82" t="s">
        <v>546</v>
      </c>
      <c r="D1050" s="43"/>
      <c r="E1050" s="29" t="str" cm="1">
        <f t="array" ref="E1050">_xlfn.IFS(C1050=":",":",C1050&gt;=N$19,1,C1050&gt;=N$20,2,C1050&gt;=N$21,3,C1050&gt;=N$22,4,C1050&gt;=N$23,5,C1050&lt;N$23,6)</f>
        <v>:</v>
      </c>
      <c r="F1050" s="30"/>
      <c r="G1050" s="5"/>
      <c r="H1050" s="5"/>
    </row>
    <row r="1051" spans="1:8" ht="12" customHeight="1">
      <c r="A1051" s="16" t="s">
        <v>3053</v>
      </c>
      <c r="B1051" s="11" t="s">
        <v>2524</v>
      </c>
      <c r="C1051" s="82" t="s">
        <v>546</v>
      </c>
      <c r="D1051" s="43"/>
      <c r="E1051" s="29" t="str" cm="1">
        <f t="array" ref="E1051">_xlfn.IFS(C1051=":",":",C1051&gt;=N$19,1,C1051&gt;=N$20,2,C1051&gt;=N$21,3,C1051&gt;=N$22,4,C1051&gt;=N$23,5,C1051&lt;N$23,6)</f>
        <v>:</v>
      </c>
      <c r="F1051" s="30"/>
      <c r="G1051" s="5"/>
      <c r="H1051" s="5"/>
    </row>
    <row r="1052" spans="1:8" ht="12" customHeight="1">
      <c r="A1052" s="16" t="s">
        <v>3054</v>
      </c>
      <c r="B1052" s="11" t="s">
        <v>2525</v>
      </c>
      <c r="C1052" s="82" t="s">
        <v>546</v>
      </c>
      <c r="D1052" s="43"/>
      <c r="E1052" s="29" t="str" cm="1">
        <f t="array" ref="E1052">_xlfn.IFS(C1052=":",":",C1052&gt;=N$19,1,C1052&gt;=N$20,2,C1052&gt;=N$21,3,C1052&gt;=N$22,4,C1052&gt;=N$23,5,C1052&lt;N$23,6)</f>
        <v>:</v>
      </c>
      <c r="F1052" s="30"/>
      <c r="G1052" s="5"/>
      <c r="H1052" s="5"/>
    </row>
    <row r="1053" spans="1:8" ht="12" customHeight="1">
      <c r="A1053" s="16" t="s">
        <v>3055</v>
      </c>
      <c r="B1053" s="11" t="s">
        <v>2527</v>
      </c>
      <c r="C1053" s="82" t="s">
        <v>546</v>
      </c>
      <c r="D1053" s="43"/>
      <c r="E1053" s="29" t="str" cm="1">
        <f t="array" ref="E1053">_xlfn.IFS(C1053=":",":",C1053&gt;=N$19,1,C1053&gt;=N$20,2,C1053&gt;=N$21,3,C1053&gt;=N$22,4,C1053&gt;=N$23,5,C1053&lt;N$23,6)</f>
        <v>:</v>
      </c>
      <c r="F1053" s="30"/>
      <c r="G1053" s="5"/>
      <c r="H1053" s="5"/>
    </row>
    <row r="1054" spans="1:8" ht="12" customHeight="1">
      <c r="A1054" s="16" t="s">
        <v>3056</v>
      </c>
      <c r="B1054" s="11" t="s">
        <v>3057</v>
      </c>
      <c r="C1054" s="82" t="s">
        <v>546</v>
      </c>
      <c r="D1054" s="43"/>
      <c r="E1054" s="29" t="str" cm="1">
        <f t="array" ref="E1054">_xlfn.IFS(C1054=":",":",C1054&gt;=N$19,1,C1054&gt;=N$20,2,C1054&gt;=N$21,3,C1054&gt;=N$22,4,C1054&gt;=N$23,5,C1054&lt;N$23,6)</f>
        <v>:</v>
      </c>
      <c r="F1054" s="30"/>
      <c r="G1054" s="5"/>
      <c r="H1054" s="5"/>
    </row>
    <row r="1055" spans="1:8" ht="12" customHeight="1">
      <c r="A1055" s="16" t="s">
        <v>3058</v>
      </c>
      <c r="B1055" s="112" t="s">
        <v>3059</v>
      </c>
      <c r="C1055" s="82" t="s">
        <v>546</v>
      </c>
      <c r="D1055" s="43"/>
      <c r="E1055" s="29" t="str" cm="1">
        <f t="array" ref="E1055">_xlfn.IFS(C1055=":",":",C1055&gt;=N$19,1,C1055&gt;=N$20,2,C1055&gt;=N$21,3,C1055&gt;=N$22,4,C1055&gt;=N$23,5,C1055&lt;N$23,6)</f>
        <v>:</v>
      </c>
      <c r="F1055" s="30"/>
      <c r="G1055" s="5"/>
      <c r="H1055" s="5"/>
    </row>
    <row r="1056" spans="1:8" ht="12" customHeight="1">
      <c r="A1056" s="16" t="s">
        <v>3060</v>
      </c>
      <c r="B1056" s="112" t="s">
        <v>2528</v>
      </c>
      <c r="C1056" s="82" t="s">
        <v>546</v>
      </c>
      <c r="D1056" s="43"/>
      <c r="E1056" s="29" t="str" cm="1">
        <f t="array" ref="E1056">_xlfn.IFS(C1056=":",":",C1056&gt;=N$19,1,C1056&gt;=N$20,2,C1056&gt;=N$21,3,C1056&gt;=N$22,4,C1056&gt;=N$23,5,C1056&lt;N$23,6)</f>
        <v>:</v>
      </c>
      <c r="F1056" s="30"/>
      <c r="G1056" s="5"/>
      <c r="H1056" s="5"/>
    </row>
    <row r="1057" spans="1:8" ht="12" customHeight="1">
      <c r="A1057" s="16" t="s">
        <v>3061</v>
      </c>
      <c r="B1057" s="11" t="s">
        <v>2529</v>
      </c>
      <c r="C1057" s="82" t="s">
        <v>546</v>
      </c>
      <c r="D1057" s="43"/>
      <c r="E1057" s="29" t="str" cm="1">
        <f t="array" ref="E1057">_xlfn.IFS(C1057=":",":",C1057&gt;=N$19,1,C1057&gt;=N$20,2,C1057&gt;=N$21,3,C1057&gt;=N$22,4,C1057&gt;=N$23,5,C1057&lt;N$23,6)</f>
        <v>:</v>
      </c>
      <c r="F1057" s="30"/>
      <c r="G1057" s="5"/>
      <c r="H1057" s="5"/>
    </row>
    <row r="1058" spans="1:8" ht="12" customHeight="1">
      <c r="A1058" s="16" t="s">
        <v>3062</v>
      </c>
      <c r="B1058" s="112" t="s">
        <v>2531</v>
      </c>
      <c r="C1058" s="82" t="s">
        <v>546</v>
      </c>
      <c r="D1058" s="43"/>
      <c r="E1058" s="29" t="str" cm="1">
        <f t="array" ref="E1058">_xlfn.IFS(C1058=":",":",C1058&gt;=N$19,1,C1058&gt;=N$20,2,C1058&gt;=N$21,3,C1058&gt;=N$22,4,C1058&gt;=N$23,5,C1058&lt;N$23,6)</f>
        <v>:</v>
      </c>
      <c r="F1058" s="30"/>
      <c r="G1058" s="5"/>
      <c r="H1058" s="5"/>
    </row>
    <row r="1059" spans="1:8" ht="12" customHeight="1">
      <c r="A1059" s="16" t="s">
        <v>3063</v>
      </c>
      <c r="B1059" s="11" t="s">
        <v>2532</v>
      </c>
      <c r="C1059" s="82" t="s">
        <v>546</v>
      </c>
      <c r="D1059" s="43"/>
      <c r="E1059" s="29" t="str" cm="1">
        <f t="array" ref="E1059">_xlfn.IFS(C1059=":",":",C1059&gt;=N$19,1,C1059&gt;=N$20,2,C1059&gt;=N$21,3,C1059&gt;=N$22,4,C1059&gt;=N$23,5,C1059&lt;N$23,6)</f>
        <v>:</v>
      </c>
      <c r="F1059" s="30"/>
      <c r="G1059" s="5"/>
      <c r="H1059" s="5"/>
    </row>
    <row r="1060" spans="1:8" ht="12" customHeight="1">
      <c r="A1060" s="16" t="s">
        <v>3064</v>
      </c>
      <c r="B1060" s="11" t="s">
        <v>2520</v>
      </c>
      <c r="C1060" s="82" t="s">
        <v>546</v>
      </c>
      <c r="D1060" s="43"/>
      <c r="E1060" s="29" t="str" cm="1">
        <f t="array" ref="E1060">_xlfn.IFS(C1060=":",":",C1060&gt;=N$19,1,C1060&gt;=N$20,2,C1060&gt;=N$21,3,C1060&gt;=N$22,4,C1060&gt;=N$23,5,C1060&lt;N$23,6)</f>
        <v>:</v>
      </c>
      <c r="F1060" s="30"/>
      <c r="G1060" s="5"/>
      <c r="H1060" s="5"/>
    </row>
    <row r="1061" spans="1:8" ht="12" customHeight="1">
      <c r="A1061" s="16" t="s">
        <v>3065</v>
      </c>
      <c r="B1061" s="11" t="s">
        <v>2526</v>
      </c>
      <c r="C1061" s="82" t="s">
        <v>546</v>
      </c>
      <c r="D1061" s="43"/>
      <c r="E1061" s="29" t="str" cm="1">
        <f t="array" ref="E1061">_xlfn.IFS(C1061=":",":",C1061&gt;=N$19,1,C1061&gt;=N$20,2,C1061&gt;=N$21,3,C1061&gt;=N$22,4,C1061&gt;=N$23,5,C1061&lt;N$23,6)</f>
        <v>:</v>
      </c>
      <c r="F1061" s="30"/>
      <c r="G1061" s="5"/>
      <c r="H1061" s="5"/>
    </row>
    <row r="1062" spans="1:8" ht="12" customHeight="1">
      <c r="A1062" s="16" t="s">
        <v>3066</v>
      </c>
      <c r="B1062" s="11" t="s">
        <v>2530</v>
      </c>
      <c r="C1062" s="82" t="s">
        <v>546</v>
      </c>
      <c r="D1062" s="43"/>
      <c r="E1062" s="29" t="str" cm="1">
        <f t="array" ref="E1062">_xlfn.IFS(C1062=":",":",C1062&gt;=N$19,1,C1062&gt;=N$20,2,C1062&gt;=N$21,3,C1062&gt;=N$22,4,C1062&gt;=N$23,5,C1062&lt;N$23,6)</f>
        <v>:</v>
      </c>
      <c r="F1062" s="30"/>
      <c r="G1062" s="5"/>
      <c r="H1062" s="5"/>
    </row>
    <row r="1063" spans="1:8" ht="12" customHeight="1">
      <c r="A1063" s="10" t="s">
        <v>2533</v>
      </c>
      <c r="B1063" s="112" t="s">
        <v>537</v>
      </c>
      <c r="C1063" s="82">
        <v>12642</v>
      </c>
      <c r="D1063" s="43"/>
      <c r="E1063" s="29" cm="1">
        <f t="array" ref="E1063">_xlfn.IFS(C1063=":",":",C1063&gt;=N$19,1,C1063&gt;=N$20,2,C1063&gt;=N$21,3,C1063&gt;=N$22,4,C1063&gt;=N$23,5,C1063&lt;N$23,6)</f>
        <v>2</v>
      </c>
      <c r="F1063" s="30"/>
      <c r="G1063" s="5"/>
      <c r="H1063" s="5"/>
    </row>
    <row r="1064" spans="1:8" ht="12" customHeight="1">
      <c r="A1064" s="10" t="s">
        <v>2534</v>
      </c>
      <c r="B1064" s="112" t="s">
        <v>538</v>
      </c>
      <c r="C1064" s="82">
        <v>37717</v>
      </c>
      <c r="D1064" s="43"/>
      <c r="E1064" s="29" cm="1">
        <f t="array" ref="E1064">_xlfn.IFS(C1064=":",":",C1064&gt;=N$19,1,C1064&gt;=N$20,2,C1064&gt;=N$21,3,C1064&gt;=N$22,4,C1064&gt;=N$23,5,C1064&lt;N$23,6)</f>
        <v>1</v>
      </c>
      <c r="F1064" s="30"/>
      <c r="G1064" s="5"/>
      <c r="H1064" s="5"/>
    </row>
    <row r="1065" spans="1:8" ht="12" customHeight="1">
      <c r="A1065" s="10" t="s">
        <v>2535</v>
      </c>
      <c r="B1065" s="112" t="s">
        <v>2536</v>
      </c>
      <c r="C1065" s="82">
        <v>2699</v>
      </c>
      <c r="D1065" s="43"/>
      <c r="E1065" s="29" cm="1">
        <f t="array" ref="E1065">_xlfn.IFS(C1065=":",":",C1065&gt;=N$19,1,C1065&gt;=N$20,2,C1065&gt;=N$21,3,C1065&gt;=N$22,4,C1065&gt;=N$23,5,C1065&lt;N$23,6)</f>
        <v>4</v>
      </c>
      <c r="F1065" s="30"/>
      <c r="G1065" s="5"/>
      <c r="H1065" s="5"/>
    </row>
    <row r="1066" spans="1:8" ht="12" customHeight="1">
      <c r="A1066" s="10" t="s">
        <v>2537</v>
      </c>
      <c r="B1066" s="112" t="s">
        <v>2942</v>
      </c>
      <c r="C1066" s="82">
        <v>745</v>
      </c>
      <c r="D1066" s="43"/>
      <c r="E1066" s="29" cm="1">
        <f t="array" ref="E1066">_xlfn.IFS(C1066=":",":",C1066&gt;=N$19,1,C1066&gt;=N$20,2,C1066&gt;=N$21,3,C1066&gt;=N$22,4,C1066&gt;=N$23,5,C1066&lt;N$23,6)</f>
        <v>6</v>
      </c>
      <c r="F1066" s="30"/>
      <c r="G1066" s="5"/>
      <c r="H1066" s="5"/>
    </row>
    <row r="1067" spans="1:8" ht="12" customHeight="1">
      <c r="A1067" s="10" t="s">
        <v>2538</v>
      </c>
      <c r="B1067" s="112" t="s">
        <v>2539</v>
      </c>
      <c r="C1067" s="82">
        <v>1648</v>
      </c>
      <c r="D1067" s="43"/>
      <c r="E1067" s="29" cm="1">
        <f t="array" ref="E1067">_xlfn.IFS(C1067=":",":",C1067&gt;=N$19,1,C1067&gt;=N$20,2,C1067&gt;=N$21,3,C1067&gt;=N$22,4,C1067&gt;=N$23,5,C1067&lt;N$23,6)</f>
        <v>5</v>
      </c>
      <c r="F1067" s="30"/>
      <c r="G1067" s="5"/>
      <c r="H1067" s="5"/>
    </row>
    <row r="1068" spans="1:8" ht="12" customHeight="1">
      <c r="A1068" s="10" t="s">
        <v>2540</v>
      </c>
      <c r="B1068" s="112" t="s">
        <v>2943</v>
      </c>
      <c r="C1068" s="82">
        <v>1280</v>
      </c>
      <c r="D1068" s="43"/>
      <c r="E1068" s="29" cm="1">
        <f t="array" ref="E1068">_xlfn.IFS(C1068=":",":",C1068&gt;=N$19,1,C1068&gt;=N$20,2,C1068&gt;=N$21,3,C1068&gt;=N$22,4,C1068&gt;=N$23,5,C1068&lt;N$23,6)</f>
        <v>5</v>
      </c>
      <c r="F1068" s="30"/>
      <c r="G1068" s="5"/>
      <c r="H1068" s="5"/>
    </row>
    <row r="1069" spans="1:8" ht="12" customHeight="1">
      <c r="A1069" s="10" t="s">
        <v>2541</v>
      </c>
      <c r="B1069" s="112" t="s">
        <v>2542</v>
      </c>
      <c r="C1069" s="82">
        <v>629</v>
      </c>
      <c r="D1069" s="43"/>
      <c r="E1069" s="29" cm="1">
        <f t="array" ref="E1069">_xlfn.IFS(C1069=":",":",C1069&gt;=N$19,1,C1069&gt;=N$20,2,C1069&gt;=N$21,3,C1069&gt;=N$22,4,C1069&gt;=N$23,5,C1069&lt;N$23,6)</f>
        <v>6</v>
      </c>
      <c r="F1069" s="30"/>
      <c r="G1069" s="5"/>
      <c r="H1069" s="5"/>
    </row>
    <row r="1070" spans="1:8" ht="12" customHeight="1">
      <c r="A1070" s="10" t="s">
        <v>2543</v>
      </c>
      <c r="B1070" s="112" t="s">
        <v>2944</v>
      </c>
      <c r="C1070" s="82">
        <v>380</v>
      </c>
      <c r="D1070" s="43"/>
      <c r="E1070" s="29" cm="1">
        <f t="array" ref="E1070">_xlfn.IFS(C1070=":",":",C1070&gt;=N$19,1,C1070&gt;=N$20,2,C1070&gt;=N$21,3,C1070&gt;=N$22,4,C1070&gt;=N$23,5,C1070&lt;N$23,6)</f>
        <v>6</v>
      </c>
      <c r="F1070" s="30"/>
      <c r="G1070" s="5"/>
      <c r="H1070" s="5"/>
    </row>
    <row r="1071" spans="1:8" ht="12" customHeight="1">
      <c r="A1071" s="10" t="s">
        <v>2544</v>
      </c>
      <c r="B1071" s="112" t="s">
        <v>2545</v>
      </c>
      <c r="C1071" s="82">
        <v>1427</v>
      </c>
      <c r="D1071" s="43"/>
      <c r="E1071" s="29" cm="1">
        <f t="array" ref="E1071">_xlfn.IFS(C1071=":",":",C1071&gt;=N$19,1,C1071&gt;=N$20,2,C1071&gt;=N$21,3,C1071&gt;=N$22,4,C1071&gt;=N$23,5,C1071&lt;N$23,6)</f>
        <v>5</v>
      </c>
      <c r="F1071" s="30"/>
      <c r="G1071" s="5"/>
      <c r="H1071" s="5"/>
    </row>
    <row r="1072" spans="1:8" ht="12" customHeight="1">
      <c r="A1072" s="10" t="s">
        <v>2546</v>
      </c>
      <c r="B1072" s="112" t="s">
        <v>2945</v>
      </c>
      <c r="C1072" s="82">
        <v>5118</v>
      </c>
      <c r="D1072" s="43"/>
      <c r="E1072" s="29" cm="1">
        <f t="array" ref="E1072">_xlfn.IFS(C1072=":",":",C1072&gt;=N$19,1,C1072&gt;=N$20,2,C1072&gt;=N$21,3,C1072&gt;=N$22,4,C1072&gt;=N$23,5,C1072&lt;N$23,6)</f>
        <v>3</v>
      </c>
      <c r="F1072" s="30"/>
      <c r="G1072" s="5"/>
      <c r="H1072" s="5"/>
    </row>
    <row r="1073" spans="1:8" ht="12" customHeight="1">
      <c r="A1073" s="10" t="s">
        <v>2547</v>
      </c>
      <c r="B1073" s="112" t="s">
        <v>2548</v>
      </c>
      <c r="C1073" s="82">
        <v>2999</v>
      </c>
      <c r="D1073" s="43"/>
      <c r="E1073" s="29" cm="1">
        <f t="array" ref="E1073">_xlfn.IFS(C1073=":",":",C1073&gt;=N$19,1,C1073&gt;=N$20,2,C1073&gt;=N$21,3,C1073&gt;=N$22,4,C1073&gt;=N$23,5,C1073&lt;N$23,6)</f>
        <v>4</v>
      </c>
      <c r="F1073" s="30"/>
      <c r="G1073" s="5"/>
      <c r="H1073" s="5"/>
    </row>
    <row r="1074" spans="1:8" ht="12" customHeight="1">
      <c r="A1074" s="10" t="s">
        <v>2549</v>
      </c>
      <c r="B1074" s="112" t="s">
        <v>2550</v>
      </c>
      <c r="C1074" s="82">
        <v>1691</v>
      </c>
      <c r="D1074" s="43"/>
      <c r="E1074" s="29" cm="1">
        <f t="array" ref="E1074">_xlfn.IFS(C1074=":",":",C1074&gt;=N$19,1,C1074&gt;=N$20,2,C1074&gt;=N$21,3,C1074&gt;=N$22,4,C1074&gt;=N$23,5,C1074&lt;N$23,6)</f>
        <v>5</v>
      </c>
      <c r="F1074" s="30"/>
      <c r="G1074" s="5"/>
      <c r="H1074" s="5"/>
    </row>
    <row r="1075" spans="1:8" ht="12" customHeight="1">
      <c r="A1075" s="10" t="s">
        <v>2551</v>
      </c>
      <c r="B1075" s="112" t="s">
        <v>2946</v>
      </c>
      <c r="C1075" s="82">
        <v>1677</v>
      </c>
      <c r="D1075" s="43"/>
      <c r="E1075" s="29" cm="1">
        <f t="array" ref="E1075">_xlfn.IFS(C1075=":",":",C1075&gt;=N$19,1,C1075&gt;=N$20,2,C1075&gt;=N$21,3,C1075&gt;=N$22,4,C1075&gt;=N$23,5,C1075&lt;N$23,6)</f>
        <v>5</v>
      </c>
      <c r="F1075" s="30"/>
      <c r="G1075" s="5"/>
      <c r="H1075" s="5"/>
    </row>
    <row r="1076" spans="1:8" ht="12" customHeight="1">
      <c r="A1076" s="10" t="s">
        <v>2552</v>
      </c>
      <c r="B1076" s="112" t="s">
        <v>2553</v>
      </c>
      <c r="C1076" s="82">
        <v>2286</v>
      </c>
      <c r="D1076" s="43"/>
      <c r="E1076" s="29" cm="1">
        <f t="array" ref="E1076">_xlfn.IFS(C1076=":",":",C1076&gt;=N$19,1,C1076&gt;=N$20,2,C1076&gt;=N$21,3,C1076&gt;=N$22,4,C1076&gt;=N$23,5,C1076&lt;N$23,6)</f>
        <v>4</v>
      </c>
      <c r="F1076" s="30"/>
      <c r="G1076" s="5"/>
      <c r="H1076" s="5"/>
    </row>
    <row r="1077" spans="1:8" ht="12" customHeight="1">
      <c r="A1077" s="10" t="s">
        <v>2554</v>
      </c>
      <c r="B1077" s="112" t="s">
        <v>2947</v>
      </c>
      <c r="C1077" s="82">
        <v>684</v>
      </c>
      <c r="D1077" s="43"/>
      <c r="E1077" s="29" cm="1">
        <f t="array" ref="E1077">_xlfn.IFS(C1077=":",":",C1077&gt;=N$19,1,C1077&gt;=N$20,2,C1077&gt;=N$21,3,C1077&gt;=N$22,4,C1077&gt;=N$23,5,C1077&lt;N$23,6)</f>
        <v>6</v>
      </c>
      <c r="F1077" s="30"/>
      <c r="G1077" s="5"/>
      <c r="H1077" s="5"/>
    </row>
    <row r="1078" spans="1:8" ht="12" customHeight="1">
      <c r="A1078" s="10" t="s">
        <v>2555</v>
      </c>
      <c r="B1078" s="112" t="s">
        <v>2948</v>
      </c>
      <c r="C1078" s="82">
        <v>215</v>
      </c>
      <c r="D1078" s="43"/>
      <c r="E1078" s="29" cm="1">
        <f t="array" ref="E1078">_xlfn.IFS(C1078=":",":",C1078&gt;=N$19,1,C1078&gt;=N$20,2,C1078&gt;=N$21,3,C1078&gt;=N$22,4,C1078&gt;=N$23,5,C1078&lt;N$23,6)</f>
        <v>6</v>
      </c>
      <c r="F1078" s="30"/>
      <c r="G1078" s="5"/>
      <c r="H1078" s="5"/>
    </row>
    <row r="1079" spans="1:8" ht="12" customHeight="1">
      <c r="A1079" s="10" t="s">
        <v>2556</v>
      </c>
      <c r="B1079" s="112" t="s">
        <v>2949</v>
      </c>
      <c r="C1079" s="82">
        <v>758</v>
      </c>
      <c r="D1079" s="43"/>
      <c r="E1079" s="29" cm="1">
        <f t="array" ref="E1079">_xlfn.IFS(C1079=":",":",C1079&gt;=N$19,1,C1079&gt;=N$20,2,C1079&gt;=N$21,3,C1079&gt;=N$22,4,C1079&gt;=N$23,5,C1079&lt;N$23,6)</f>
        <v>6</v>
      </c>
      <c r="F1079" s="30"/>
      <c r="G1079" s="5"/>
      <c r="H1079" s="5"/>
    </row>
    <row r="1080" spans="1:8" ht="12" customHeight="1">
      <c r="A1080" s="10" t="s">
        <v>2557</v>
      </c>
      <c r="B1080" s="112" t="s">
        <v>2950</v>
      </c>
      <c r="C1080" s="82">
        <v>1240</v>
      </c>
      <c r="D1080" s="43"/>
      <c r="E1080" s="29" cm="1">
        <f t="array" ref="E1080">_xlfn.IFS(C1080=":",":",C1080&gt;=N$19,1,C1080&gt;=N$20,2,C1080&gt;=N$21,3,C1080&gt;=N$22,4,C1080&gt;=N$23,5,C1080&lt;N$23,6)</f>
        <v>5</v>
      </c>
      <c r="F1080" s="30"/>
      <c r="G1080" s="5"/>
      <c r="H1080" s="5"/>
    </row>
    <row r="1081" spans="1:8" ht="12" customHeight="1">
      <c r="A1081" s="10" t="s">
        <v>2558</v>
      </c>
      <c r="B1081" s="112" t="s">
        <v>2559</v>
      </c>
      <c r="C1081" s="82">
        <v>1822</v>
      </c>
      <c r="D1081" s="43"/>
      <c r="E1081" s="29" cm="1">
        <f t="array" ref="E1081">_xlfn.IFS(C1081=":",":",C1081&gt;=N$19,1,C1081&gt;=N$20,2,C1081&gt;=N$21,3,C1081&gt;=N$22,4,C1081&gt;=N$23,5,C1081&lt;N$23,6)</f>
        <v>5</v>
      </c>
      <c r="F1081" s="30"/>
      <c r="G1081" s="5"/>
      <c r="H1081" s="5"/>
    </row>
    <row r="1082" spans="1:8" ht="12" customHeight="1">
      <c r="A1082" s="10" t="s">
        <v>2560</v>
      </c>
      <c r="B1082" s="112" t="s">
        <v>2561</v>
      </c>
      <c r="C1082" s="82">
        <v>219</v>
      </c>
      <c r="D1082" s="43"/>
      <c r="E1082" s="29" cm="1">
        <f t="array" ref="E1082">_xlfn.IFS(C1082=":",":",C1082&gt;=N$19,1,C1082&gt;=N$20,2,C1082&gt;=N$21,3,C1082&gt;=N$22,4,C1082&gt;=N$23,5,C1082&lt;N$23,6)</f>
        <v>6</v>
      </c>
      <c r="F1082" s="30"/>
      <c r="G1082" s="5"/>
      <c r="H1082" s="5"/>
    </row>
    <row r="1083" spans="1:8" ht="12" customHeight="1">
      <c r="A1083" s="10" t="s">
        <v>2562</v>
      </c>
      <c r="B1083" s="112" t="s">
        <v>2951</v>
      </c>
      <c r="C1083" s="82">
        <v>902</v>
      </c>
      <c r="D1083" s="43"/>
      <c r="E1083" s="29" cm="1">
        <f t="array" ref="E1083">_xlfn.IFS(C1083=":",":",C1083&gt;=N$19,1,C1083&gt;=N$20,2,C1083&gt;=N$21,3,C1083&gt;=N$22,4,C1083&gt;=N$23,5,C1083&lt;N$23,6)</f>
        <v>6</v>
      </c>
      <c r="F1083" s="30"/>
      <c r="G1083" s="5"/>
      <c r="H1083" s="5"/>
    </row>
    <row r="1084" spans="1:8" ht="12" customHeight="1">
      <c r="A1084" s="10" t="s">
        <v>2563</v>
      </c>
      <c r="B1084" s="112" t="s">
        <v>2952</v>
      </c>
      <c r="C1084" s="82">
        <v>497</v>
      </c>
      <c r="D1084" s="43"/>
      <c r="E1084" s="29" cm="1">
        <f t="array" ref="E1084">_xlfn.IFS(C1084=":",":",C1084&gt;=N$19,1,C1084&gt;=N$20,2,C1084&gt;=N$21,3,C1084&gt;=N$22,4,C1084&gt;=N$23,5,C1084&lt;N$23,6)</f>
        <v>6</v>
      </c>
      <c r="F1084" s="30"/>
      <c r="G1084" s="5"/>
      <c r="H1084" s="5"/>
    </row>
    <row r="1085" spans="1:8" ht="12" customHeight="1">
      <c r="A1085" s="10" t="s">
        <v>2564</v>
      </c>
      <c r="B1085" s="112" t="s">
        <v>2953</v>
      </c>
      <c r="C1085" s="82">
        <v>8329</v>
      </c>
      <c r="D1085" s="43"/>
      <c r="E1085" s="29" cm="1">
        <f t="array" ref="E1085">_xlfn.IFS(C1085=":",":",C1085&gt;=N$19,1,C1085&gt;=N$20,2,C1085&gt;=N$21,3,C1085&gt;=N$22,4,C1085&gt;=N$23,5,C1085&lt;N$23,6)</f>
        <v>2</v>
      </c>
      <c r="F1085" s="30"/>
      <c r="G1085" s="5"/>
      <c r="H1085" s="5"/>
    </row>
    <row r="1086" spans="1:8" ht="12" customHeight="1">
      <c r="A1086" s="10" t="s">
        <v>2565</v>
      </c>
      <c r="B1086" s="112" t="s">
        <v>2954</v>
      </c>
      <c r="C1086" s="82">
        <v>347</v>
      </c>
      <c r="D1086" s="43"/>
      <c r="E1086" s="29" cm="1">
        <f t="array" ref="E1086">_xlfn.IFS(C1086=":",":",C1086&gt;=N$19,1,C1086&gt;=N$20,2,C1086&gt;=N$21,3,C1086&gt;=N$22,4,C1086&gt;=N$23,5,C1086&lt;N$23,6)</f>
        <v>6</v>
      </c>
      <c r="F1086" s="30"/>
      <c r="G1086" s="5"/>
      <c r="H1086" s="5"/>
    </row>
    <row r="1087" spans="1:8" ht="12" customHeight="1">
      <c r="A1087" s="10" t="s">
        <v>2566</v>
      </c>
      <c r="B1087" s="112" t="s">
        <v>2567</v>
      </c>
      <c r="C1087" s="82">
        <v>1972</v>
      </c>
      <c r="D1087" s="43"/>
      <c r="E1087" s="29" cm="1">
        <f t="array" ref="E1087">_xlfn.IFS(C1087=":",":",C1087&gt;=N$19,1,C1087&gt;=N$20,2,C1087&gt;=N$21,3,C1087&gt;=N$22,4,C1087&gt;=N$23,5,C1087&lt;N$23,6)</f>
        <v>5</v>
      </c>
      <c r="F1087" s="30"/>
      <c r="G1087" s="5"/>
      <c r="H1087" s="5"/>
    </row>
    <row r="1088" spans="1:8" ht="12" customHeight="1">
      <c r="A1088" s="10" t="s">
        <v>2568</v>
      </c>
      <c r="B1088" s="112" t="s">
        <v>2569</v>
      </c>
      <c r="C1088" s="82">
        <v>237</v>
      </c>
      <c r="D1088" s="43"/>
      <c r="E1088" s="29" cm="1">
        <f t="array" ref="E1088">_xlfn.IFS(C1088=":",":",C1088&gt;=N$19,1,C1088&gt;=N$20,2,C1088&gt;=N$21,3,C1088&gt;=N$22,4,C1088&gt;=N$23,5,C1088&lt;N$23,6)</f>
        <v>6</v>
      </c>
      <c r="F1088" s="30"/>
      <c r="G1088" s="5"/>
      <c r="H1088" s="5"/>
    </row>
    <row r="1089" spans="1:8" ht="12" customHeight="1">
      <c r="A1089" s="10" t="s">
        <v>2570</v>
      </c>
      <c r="B1089" s="112" t="s">
        <v>2955</v>
      </c>
      <c r="C1089" s="82">
        <v>1015</v>
      </c>
      <c r="D1089" s="43"/>
      <c r="E1089" s="29" cm="1">
        <f t="array" ref="E1089">_xlfn.IFS(C1089=":",":",C1089&gt;=N$19,1,C1089&gt;=N$20,2,C1089&gt;=N$21,3,C1089&gt;=N$22,4,C1089&gt;=N$23,5,C1089&lt;N$23,6)</f>
        <v>5</v>
      </c>
      <c r="F1089" s="30"/>
      <c r="G1089" s="5"/>
      <c r="H1089" s="5"/>
    </row>
    <row r="1090" spans="1:8" ht="12" customHeight="1">
      <c r="A1090" s="10" t="s">
        <v>2571</v>
      </c>
      <c r="B1090" s="112" t="s">
        <v>2956</v>
      </c>
      <c r="C1090" s="82">
        <v>113</v>
      </c>
      <c r="D1090" s="43"/>
      <c r="E1090" s="29" cm="1">
        <f t="array" ref="E1090">_xlfn.IFS(C1090=":",":",C1090&gt;=N$19,1,C1090&gt;=N$20,2,C1090&gt;=N$21,3,C1090&gt;=N$22,4,C1090&gt;=N$23,5,C1090&lt;N$23,6)</f>
        <v>6</v>
      </c>
      <c r="F1090" s="30"/>
      <c r="G1090" s="5"/>
      <c r="H1090" s="5"/>
    </row>
    <row r="1091" spans="1:8" ht="12" customHeight="1">
      <c r="A1091" s="10" t="s">
        <v>2572</v>
      </c>
      <c r="B1091" s="112" t="s">
        <v>2957</v>
      </c>
      <c r="C1091" s="82">
        <v>533</v>
      </c>
      <c r="D1091" s="43"/>
      <c r="E1091" s="29" cm="1">
        <f t="array" ref="E1091">_xlfn.IFS(C1091=":",":",C1091&gt;=N$19,1,C1091&gt;=N$20,2,C1091&gt;=N$21,3,C1091&gt;=N$22,4,C1091&gt;=N$23,5,C1091&lt;N$23,6)</f>
        <v>6</v>
      </c>
      <c r="F1091" s="30"/>
      <c r="G1091" s="5"/>
      <c r="H1091" s="5"/>
    </row>
    <row r="1092" spans="1:8" ht="12" customHeight="1">
      <c r="A1092" s="10" t="s">
        <v>2573</v>
      </c>
      <c r="B1092" s="112" t="s">
        <v>2574</v>
      </c>
      <c r="C1092" s="82">
        <v>269</v>
      </c>
      <c r="D1092" s="43"/>
      <c r="E1092" s="29" cm="1">
        <f t="array" ref="E1092">_xlfn.IFS(C1092=":",":",C1092&gt;=N$19,1,C1092&gt;=N$20,2,C1092&gt;=N$21,3,C1092&gt;=N$22,4,C1092&gt;=N$23,5,C1092&lt;N$23,6)</f>
        <v>6</v>
      </c>
      <c r="F1092" s="30"/>
      <c r="G1092" s="5"/>
      <c r="H1092" s="5"/>
    </row>
    <row r="1093" spans="1:8" ht="12" customHeight="1">
      <c r="A1093" s="10" t="s">
        <v>2575</v>
      </c>
      <c r="B1093" s="112" t="s">
        <v>2958</v>
      </c>
      <c r="C1093" s="82">
        <v>732</v>
      </c>
      <c r="D1093" s="43"/>
      <c r="E1093" s="29" cm="1">
        <f t="array" ref="E1093">_xlfn.IFS(C1093=":",":",C1093&gt;=N$19,1,C1093&gt;=N$20,2,C1093&gt;=N$21,3,C1093&gt;=N$22,4,C1093&gt;=N$23,5,C1093&lt;N$23,6)</f>
        <v>6</v>
      </c>
      <c r="F1093" s="30"/>
      <c r="G1093" s="5"/>
      <c r="H1093" s="5"/>
    </row>
    <row r="1094" spans="1:8" ht="12" customHeight="1">
      <c r="A1094" s="10" t="s">
        <v>2576</v>
      </c>
      <c r="B1094" s="112" t="s">
        <v>2577</v>
      </c>
      <c r="C1094" s="82">
        <v>1777</v>
      </c>
      <c r="D1094" s="43"/>
      <c r="E1094" s="29" cm="1">
        <f t="array" ref="E1094">_xlfn.IFS(C1094=":",":",C1094&gt;=N$19,1,C1094&gt;=N$20,2,C1094&gt;=N$21,3,C1094&gt;=N$22,4,C1094&gt;=N$23,5,C1094&lt;N$23,6)</f>
        <v>5</v>
      </c>
      <c r="F1094" s="30"/>
      <c r="G1094" s="5"/>
      <c r="H1094" s="5"/>
    </row>
    <row r="1095" spans="1:8" ht="12" customHeight="1">
      <c r="A1095" s="10" t="s">
        <v>2578</v>
      </c>
      <c r="B1095" s="112" t="s">
        <v>2579</v>
      </c>
      <c r="C1095" s="82">
        <v>19</v>
      </c>
      <c r="D1095" s="43"/>
      <c r="E1095" s="29" cm="1">
        <f t="array" ref="E1095">_xlfn.IFS(C1095=":",":",C1095&gt;=N$19,1,C1095&gt;=N$20,2,C1095&gt;=N$21,3,C1095&gt;=N$22,4,C1095&gt;=N$23,5,C1095&lt;N$23,6)</f>
        <v>6</v>
      </c>
      <c r="F1095" s="30"/>
      <c r="G1095" s="5"/>
      <c r="H1095" s="5"/>
    </row>
    <row r="1096" spans="1:8" ht="12" customHeight="1">
      <c r="A1096" s="10" t="s">
        <v>2580</v>
      </c>
      <c r="B1096" s="112" t="s">
        <v>2959</v>
      </c>
      <c r="C1096" s="82">
        <v>2169</v>
      </c>
      <c r="D1096" s="43"/>
      <c r="E1096" s="29" cm="1">
        <f t="array" ref="E1096">_xlfn.IFS(C1096=":",":",C1096&gt;=N$19,1,C1096&gt;=N$20,2,C1096&gt;=N$21,3,C1096&gt;=N$22,4,C1096&gt;=N$23,5,C1096&lt;N$23,6)</f>
        <v>4</v>
      </c>
      <c r="F1096" s="30"/>
      <c r="G1096" s="5"/>
      <c r="H1096" s="5"/>
    </row>
    <row r="1097" spans="1:8" ht="12" customHeight="1">
      <c r="A1097" s="10" t="s">
        <v>2581</v>
      </c>
      <c r="B1097" s="112" t="s">
        <v>2582</v>
      </c>
      <c r="C1097" s="82">
        <v>524</v>
      </c>
      <c r="D1097" s="43"/>
      <c r="E1097" s="29" cm="1">
        <f t="array" ref="E1097">_xlfn.IFS(C1097=":",":",C1097&gt;=N$19,1,C1097&gt;=N$20,2,C1097&gt;=N$21,3,C1097&gt;=N$22,4,C1097&gt;=N$23,5,C1097&lt;N$23,6)</f>
        <v>6</v>
      </c>
      <c r="F1097" s="30"/>
      <c r="G1097" s="5"/>
      <c r="H1097" s="5"/>
    </row>
    <row r="1098" spans="1:8" ht="12" customHeight="1">
      <c r="A1098" s="10" t="s">
        <v>2583</v>
      </c>
      <c r="B1098" s="112" t="s">
        <v>2584</v>
      </c>
      <c r="C1098" s="82">
        <v>468</v>
      </c>
      <c r="D1098" s="43"/>
      <c r="E1098" s="29" cm="1">
        <f t="array" ref="E1098">_xlfn.IFS(C1098=":",":",C1098&gt;=N$19,1,C1098&gt;=N$20,2,C1098&gt;=N$21,3,C1098&gt;=N$22,4,C1098&gt;=N$23,5,C1098&lt;N$23,6)</f>
        <v>6</v>
      </c>
      <c r="F1098" s="30"/>
      <c r="G1098" s="5"/>
      <c r="H1098" s="5"/>
    </row>
    <row r="1099" spans="1:8" ht="12" customHeight="1">
      <c r="A1099" s="10" t="s">
        <v>2585</v>
      </c>
      <c r="B1099" s="112" t="s">
        <v>2586</v>
      </c>
      <c r="C1099" s="82">
        <v>723</v>
      </c>
      <c r="D1099" s="43"/>
      <c r="E1099" s="29" cm="1">
        <f t="array" ref="E1099">_xlfn.IFS(C1099=":",":",C1099&gt;=N$19,1,C1099&gt;=N$20,2,C1099&gt;=N$21,3,C1099&gt;=N$22,4,C1099&gt;=N$23,5,C1099&lt;N$23,6)</f>
        <v>6</v>
      </c>
      <c r="F1099" s="30"/>
      <c r="G1099" s="5"/>
      <c r="H1099" s="5"/>
    </row>
    <row r="1100" spans="1:8" ht="12" customHeight="1">
      <c r="A1100" s="10" t="s">
        <v>2587</v>
      </c>
      <c r="B1100" s="112" t="s">
        <v>2960</v>
      </c>
      <c r="C1100" s="82">
        <v>926</v>
      </c>
      <c r="D1100" s="43"/>
      <c r="E1100" s="29" cm="1">
        <f t="array" ref="E1100">_xlfn.IFS(C1100=":",":",C1100&gt;=N$19,1,C1100&gt;=N$20,2,C1100&gt;=N$21,3,C1100&gt;=N$22,4,C1100&gt;=N$23,5,C1100&lt;N$23,6)</f>
        <v>6</v>
      </c>
      <c r="F1100" s="30"/>
      <c r="G1100" s="5"/>
      <c r="H1100" s="5"/>
    </row>
    <row r="1101" spans="1:8" ht="12" customHeight="1">
      <c r="A1101" s="10" t="s">
        <v>2588</v>
      </c>
      <c r="B1101" s="112" t="s">
        <v>2589</v>
      </c>
      <c r="C1101" s="82">
        <v>209</v>
      </c>
      <c r="D1101" s="43"/>
      <c r="E1101" s="29" cm="1">
        <f t="array" ref="E1101">_xlfn.IFS(C1101=":",":",C1101&gt;=N$19,1,C1101&gt;=N$20,2,C1101&gt;=N$21,3,C1101&gt;=N$22,4,C1101&gt;=N$23,5,C1101&lt;N$23,6)</f>
        <v>6</v>
      </c>
      <c r="F1101" s="30"/>
      <c r="G1101" s="5"/>
      <c r="H1101" s="5"/>
    </row>
    <row r="1102" spans="1:8" ht="12" customHeight="1">
      <c r="A1102" s="10" t="s">
        <v>2590</v>
      </c>
      <c r="B1102" s="112" t="s">
        <v>2591</v>
      </c>
      <c r="C1102" s="82">
        <v>4176</v>
      </c>
      <c r="D1102" s="43"/>
      <c r="E1102" s="29" cm="1">
        <f t="array" ref="E1102">_xlfn.IFS(C1102=":",":",C1102&gt;=N$19,1,C1102&gt;=N$20,2,C1102&gt;=N$21,3,C1102&gt;=N$22,4,C1102&gt;=N$23,5,C1102&lt;N$23,6)</f>
        <v>3</v>
      </c>
      <c r="F1102" s="30"/>
      <c r="G1102" s="5"/>
      <c r="H1102" s="5"/>
    </row>
    <row r="1103" spans="1:8" ht="12" customHeight="1">
      <c r="A1103" s="10" t="s">
        <v>2592</v>
      </c>
      <c r="B1103" s="112" t="s">
        <v>2593</v>
      </c>
      <c r="C1103" s="82">
        <v>791</v>
      </c>
      <c r="D1103" s="43"/>
      <c r="E1103" s="29" cm="1">
        <f t="array" ref="E1103">_xlfn.IFS(C1103=":",":",C1103&gt;=N$19,1,C1103&gt;=N$20,2,C1103&gt;=N$21,3,C1103&gt;=N$22,4,C1103&gt;=N$23,5,C1103&lt;N$23,6)</f>
        <v>6</v>
      </c>
      <c r="F1103" s="30"/>
      <c r="G1103" s="5"/>
      <c r="H1103" s="5"/>
    </row>
    <row r="1104" spans="1:8" ht="12" customHeight="1">
      <c r="A1104" s="10" t="s">
        <v>2594</v>
      </c>
      <c r="B1104" s="112" t="s">
        <v>2961</v>
      </c>
      <c r="C1104" s="82">
        <v>2429</v>
      </c>
      <c r="D1104" s="43"/>
      <c r="E1104" s="29" cm="1">
        <f t="array" ref="E1104">_xlfn.IFS(C1104=":",":",C1104&gt;=N$19,1,C1104&gt;=N$20,2,C1104&gt;=N$21,3,C1104&gt;=N$22,4,C1104&gt;=N$23,5,C1104&lt;N$23,6)</f>
        <v>4</v>
      </c>
      <c r="F1104" s="30"/>
      <c r="G1104" s="5"/>
      <c r="H1104" s="5"/>
    </row>
    <row r="1105" spans="1:8" ht="12" customHeight="1">
      <c r="A1105" s="10" t="s">
        <v>2595</v>
      </c>
      <c r="B1105" s="112" t="s">
        <v>2596</v>
      </c>
      <c r="C1105" s="82">
        <v>810</v>
      </c>
      <c r="D1105" s="43"/>
      <c r="E1105" s="29" cm="1">
        <f t="array" ref="E1105">_xlfn.IFS(C1105=":",":",C1105&gt;=N$19,1,C1105&gt;=N$20,2,C1105&gt;=N$21,3,C1105&gt;=N$22,4,C1105&gt;=N$23,5,C1105&lt;N$23,6)</f>
        <v>6</v>
      </c>
      <c r="F1105" s="30"/>
      <c r="G1105" s="5"/>
      <c r="H1105" s="5"/>
    </row>
    <row r="1106" spans="1:8" ht="12" customHeight="1">
      <c r="A1106" s="10" t="s">
        <v>2597</v>
      </c>
      <c r="B1106" s="112" t="s">
        <v>2962</v>
      </c>
      <c r="C1106" s="82">
        <v>987</v>
      </c>
      <c r="D1106" s="43"/>
      <c r="E1106" s="29" cm="1">
        <f t="array" ref="E1106">_xlfn.IFS(C1106=":",":",C1106&gt;=N$19,1,C1106&gt;=N$20,2,C1106&gt;=N$21,3,C1106&gt;=N$22,4,C1106&gt;=N$23,5,C1106&lt;N$23,6)</f>
        <v>6</v>
      </c>
      <c r="F1106" s="30"/>
      <c r="G1106" s="5"/>
      <c r="H1106" s="5"/>
    </row>
    <row r="1107" spans="1:8" ht="12" customHeight="1">
      <c r="A1107" s="10" t="s">
        <v>2598</v>
      </c>
      <c r="B1107" s="112" t="s">
        <v>2599</v>
      </c>
      <c r="C1107" s="82">
        <v>8771</v>
      </c>
      <c r="D1107" s="43"/>
      <c r="E1107" s="29" cm="1">
        <f t="array" ref="E1107">_xlfn.IFS(C1107=":",":",C1107&gt;=N$19,1,C1107&gt;=N$20,2,C1107&gt;=N$21,3,C1107&gt;=N$22,4,C1107&gt;=N$23,5,C1107&lt;N$23,6)</f>
        <v>2</v>
      </c>
      <c r="F1107" s="30"/>
      <c r="G1107" s="5"/>
      <c r="H1107" s="5"/>
    </row>
    <row r="1108" spans="1:8" ht="12" customHeight="1">
      <c r="A1108" s="10" t="s">
        <v>2600</v>
      </c>
      <c r="B1108" s="112" t="s">
        <v>2601</v>
      </c>
      <c r="C1108" s="82">
        <v>2760</v>
      </c>
      <c r="D1108" s="43"/>
      <c r="E1108" s="29" cm="1">
        <f t="array" ref="E1108">_xlfn.IFS(C1108=":",":",C1108&gt;=N$19,1,C1108&gt;=N$20,2,C1108&gt;=N$21,3,C1108&gt;=N$22,4,C1108&gt;=N$23,5,C1108&lt;N$23,6)</f>
        <v>4</v>
      </c>
      <c r="F1108" s="30"/>
      <c r="G1108" s="5"/>
      <c r="H1108" s="5"/>
    </row>
    <row r="1109" spans="1:8" ht="12" customHeight="1">
      <c r="A1109" s="10" t="s">
        <v>2602</v>
      </c>
      <c r="B1109" s="112" t="s">
        <v>2963</v>
      </c>
      <c r="C1109" s="82">
        <v>2056</v>
      </c>
      <c r="D1109" s="43"/>
      <c r="E1109" s="29" cm="1">
        <f t="array" ref="E1109">_xlfn.IFS(C1109=":",":",C1109&gt;=N$19,1,C1109&gt;=N$20,2,C1109&gt;=N$21,3,C1109&gt;=N$22,4,C1109&gt;=N$23,5,C1109&lt;N$23,6)</f>
        <v>4</v>
      </c>
      <c r="F1109" s="30"/>
      <c r="G1109" s="5"/>
      <c r="H1109" s="5"/>
    </row>
    <row r="1110" spans="1:8" ht="12" customHeight="1">
      <c r="A1110" s="10" t="s">
        <v>2603</v>
      </c>
      <c r="B1110" s="112" t="s">
        <v>2604</v>
      </c>
      <c r="C1110" s="82">
        <v>6808</v>
      </c>
      <c r="D1110" s="43"/>
      <c r="E1110" s="29" cm="1">
        <f t="array" ref="E1110">_xlfn.IFS(C1110=":",":",C1110&gt;=N$19,1,C1110&gt;=N$20,2,C1110&gt;=N$21,3,C1110&gt;=N$22,4,C1110&gt;=N$23,5,C1110&lt;N$23,6)</f>
        <v>3</v>
      </c>
      <c r="F1110" s="30"/>
      <c r="G1110" s="5"/>
      <c r="H1110" s="5"/>
    </row>
    <row r="1111" spans="1:8" ht="12" customHeight="1">
      <c r="A1111" s="10" t="s">
        <v>2605</v>
      </c>
      <c r="B1111" s="112" t="s">
        <v>2606</v>
      </c>
      <c r="C1111" s="82">
        <v>394</v>
      </c>
      <c r="D1111" s="43"/>
      <c r="E1111" s="29" cm="1">
        <f t="array" ref="E1111">_xlfn.IFS(C1111=":",":",C1111&gt;=N$19,1,C1111&gt;=N$20,2,C1111&gt;=N$21,3,C1111&gt;=N$22,4,C1111&gt;=N$23,5,C1111&lt;N$23,6)</f>
        <v>6</v>
      </c>
      <c r="F1111" s="30"/>
      <c r="G1111" s="5"/>
      <c r="H1111" s="5"/>
    </row>
    <row r="1112" spans="1:8" ht="12" customHeight="1">
      <c r="A1112" s="10" t="s">
        <v>2607</v>
      </c>
      <c r="B1112" s="112" t="s">
        <v>2608</v>
      </c>
      <c r="C1112" s="82">
        <v>9297</v>
      </c>
      <c r="D1112" s="43"/>
      <c r="E1112" s="29" cm="1">
        <f t="array" ref="E1112">_xlfn.IFS(C1112=":",":",C1112&gt;=N$19,1,C1112&gt;=N$20,2,C1112&gt;=N$21,3,C1112&gt;=N$22,4,C1112&gt;=N$23,5,C1112&lt;N$23,6)</f>
        <v>2</v>
      </c>
      <c r="F1112" s="30"/>
      <c r="G1112" s="5"/>
      <c r="H1112" s="5"/>
    </row>
    <row r="1113" spans="1:8" ht="12" customHeight="1">
      <c r="A1113" s="10" t="s">
        <v>2609</v>
      </c>
      <c r="B1113" s="112" t="s">
        <v>2610</v>
      </c>
      <c r="C1113" s="82">
        <v>3549</v>
      </c>
      <c r="D1113" s="43"/>
      <c r="E1113" s="29" cm="1">
        <f t="array" ref="E1113">_xlfn.IFS(C1113=":",":",C1113&gt;=N$19,1,C1113&gt;=N$20,2,C1113&gt;=N$21,3,C1113&gt;=N$22,4,C1113&gt;=N$23,5,C1113&lt;N$23,6)</f>
        <v>3</v>
      </c>
      <c r="F1113" s="30"/>
      <c r="G1113" s="5"/>
      <c r="H1113" s="5"/>
    </row>
    <row r="1114" spans="1:8" ht="12" customHeight="1">
      <c r="A1114" s="10" t="s">
        <v>2611</v>
      </c>
      <c r="B1114" s="112" t="s">
        <v>2612</v>
      </c>
      <c r="C1114" s="82">
        <v>4448</v>
      </c>
      <c r="D1114" s="43"/>
      <c r="E1114" s="29" cm="1">
        <f t="array" ref="E1114">_xlfn.IFS(C1114=":",":",C1114&gt;=N$19,1,C1114&gt;=N$20,2,C1114&gt;=N$21,3,C1114&gt;=N$22,4,C1114&gt;=N$23,5,C1114&lt;N$23,6)</f>
        <v>3</v>
      </c>
      <c r="F1114" s="30"/>
      <c r="G1114" s="5"/>
      <c r="H1114" s="5"/>
    </row>
    <row r="1115" spans="1:8" ht="12" customHeight="1">
      <c r="A1115" s="10" t="s">
        <v>2613</v>
      </c>
      <c r="B1115" s="112" t="s">
        <v>2614</v>
      </c>
      <c r="C1115" s="82">
        <v>5170</v>
      </c>
      <c r="D1115" s="43"/>
      <c r="E1115" s="29" cm="1">
        <f t="array" ref="E1115">_xlfn.IFS(C1115=":",":",C1115&gt;=N$19,1,C1115&gt;=N$20,2,C1115&gt;=N$21,3,C1115&gt;=N$22,4,C1115&gt;=N$23,5,C1115&lt;N$23,6)</f>
        <v>3</v>
      </c>
      <c r="F1115" s="30"/>
      <c r="G1115" s="5"/>
      <c r="H1115" s="5"/>
    </row>
    <row r="1116" spans="1:8" ht="12" customHeight="1">
      <c r="A1116" s="10" t="s">
        <v>2615</v>
      </c>
      <c r="B1116" s="112" t="s">
        <v>2616</v>
      </c>
      <c r="C1116" s="82">
        <v>18825</v>
      </c>
      <c r="D1116" s="43"/>
      <c r="E1116" s="29" cm="1">
        <f t="array" ref="E1116">_xlfn.IFS(C1116=":",":",C1116&gt;=N$19,1,C1116&gt;=N$20,2,C1116&gt;=N$21,3,C1116&gt;=N$22,4,C1116&gt;=N$23,5,C1116&lt;N$23,6)</f>
        <v>1</v>
      </c>
      <c r="F1116" s="30"/>
      <c r="G1116" s="5"/>
      <c r="H1116" s="5"/>
    </row>
    <row r="1117" spans="1:8" ht="12" customHeight="1">
      <c r="A1117" s="10" t="s">
        <v>2617</v>
      </c>
      <c r="B1117" s="112" t="s">
        <v>2964</v>
      </c>
      <c r="C1117" s="82">
        <v>11444</v>
      </c>
      <c r="D1117" s="43"/>
      <c r="E1117" s="29" cm="1">
        <f t="array" ref="E1117">_xlfn.IFS(C1117=":",":",C1117&gt;=N$19,1,C1117&gt;=N$20,2,C1117&gt;=N$21,3,C1117&gt;=N$22,4,C1117&gt;=N$23,5,C1117&lt;N$23,6)</f>
        <v>2</v>
      </c>
      <c r="F1117" s="30"/>
      <c r="G1117" s="5"/>
      <c r="H1117" s="5"/>
    </row>
    <row r="1118" spans="1:8" ht="12" customHeight="1">
      <c r="A1118" s="10" t="s">
        <v>2618</v>
      </c>
      <c r="B1118" s="112" t="s">
        <v>2965</v>
      </c>
      <c r="C1118" s="82">
        <v>28104</v>
      </c>
      <c r="D1118" s="43"/>
      <c r="E1118" s="29" cm="1">
        <f t="array" ref="E1118">_xlfn.IFS(C1118=":",":",C1118&gt;=N$19,1,C1118&gt;=N$20,2,C1118&gt;=N$21,3,C1118&gt;=N$22,4,C1118&gt;=N$23,5,C1118&lt;N$23,6)</f>
        <v>1</v>
      </c>
      <c r="F1118" s="30"/>
      <c r="G1118" s="5"/>
      <c r="H1118" s="5"/>
    </row>
    <row r="1119" spans="1:8" ht="12" customHeight="1">
      <c r="A1119" s="10" t="s">
        <v>2619</v>
      </c>
      <c r="B1119" s="112" t="s">
        <v>416</v>
      </c>
      <c r="C1119" s="82">
        <v>3851</v>
      </c>
      <c r="D1119" s="43"/>
      <c r="E1119" s="29" cm="1">
        <f t="array" ref="E1119">_xlfn.IFS(C1119=":",":",C1119&gt;=N$19,1,C1119&gt;=N$20,2,C1119&gt;=N$21,3,C1119&gt;=N$22,4,C1119&gt;=N$23,5,C1119&lt;N$23,6)</f>
        <v>3</v>
      </c>
      <c r="F1119" s="30"/>
      <c r="G1119" s="5"/>
      <c r="H1119" s="5"/>
    </row>
    <row r="1120" spans="1:8" ht="12" customHeight="1">
      <c r="A1120" s="10" t="s">
        <v>2620</v>
      </c>
      <c r="B1120" s="112" t="s">
        <v>2621</v>
      </c>
      <c r="C1120" s="82">
        <v>2364</v>
      </c>
      <c r="D1120" s="43"/>
      <c r="E1120" s="29" cm="1">
        <f t="array" ref="E1120">_xlfn.IFS(C1120=":",":",C1120&gt;=N$19,1,C1120&gt;=N$20,2,C1120&gt;=N$21,3,C1120&gt;=N$22,4,C1120&gt;=N$23,5,C1120&lt;N$23,6)</f>
        <v>4</v>
      </c>
      <c r="F1120" s="30"/>
      <c r="G1120" s="5"/>
      <c r="H1120" s="5"/>
    </row>
    <row r="1121" spans="1:8" ht="12" customHeight="1">
      <c r="A1121" s="10" t="s">
        <v>2622</v>
      </c>
      <c r="B1121" s="112" t="s">
        <v>2966</v>
      </c>
      <c r="C1121" s="82">
        <v>2123</v>
      </c>
      <c r="D1121" s="43"/>
      <c r="E1121" s="29" cm="1">
        <f t="array" ref="E1121">_xlfn.IFS(C1121=":",":",C1121&gt;=N$19,1,C1121&gt;=N$20,2,C1121&gt;=N$21,3,C1121&gt;=N$22,4,C1121&gt;=N$23,5,C1121&lt;N$23,6)</f>
        <v>4</v>
      </c>
      <c r="F1121" s="30"/>
      <c r="G1121" s="5"/>
      <c r="H1121" s="5"/>
    </row>
    <row r="1122" spans="1:8" ht="12" customHeight="1">
      <c r="A1122" s="10" t="s">
        <v>2623</v>
      </c>
      <c r="B1122" s="112" t="s">
        <v>2624</v>
      </c>
      <c r="C1122" s="82">
        <v>1088</v>
      </c>
      <c r="D1122" s="43"/>
      <c r="E1122" s="29" cm="1">
        <f t="array" ref="E1122">_xlfn.IFS(C1122=":",":",C1122&gt;=N$19,1,C1122&gt;=N$20,2,C1122&gt;=N$21,3,C1122&gt;=N$22,4,C1122&gt;=N$23,5,C1122&lt;N$23,6)</f>
        <v>5</v>
      </c>
      <c r="F1122" s="30"/>
      <c r="G1122" s="5"/>
      <c r="H1122" s="5"/>
    </row>
    <row r="1123" spans="1:8" ht="12" customHeight="1">
      <c r="A1123" s="10" t="s">
        <v>2625</v>
      </c>
      <c r="B1123" s="112" t="s">
        <v>2967</v>
      </c>
      <c r="C1123" s="82">
        <v>4506</v>
      </c>
      <c r="D1123" s="43"/>
      <c r="E1123" s="29" cm="1">
        <f t="array" ref="E1123">_xlfn.IFS(C1123=":",":",C1123&gt;=N$19,1,C1123&gt;=N$20,2,C1123&gt;=N$21,3,C1123&gt;=N$22,4,C1123&gt;=N$23,5,C1123&lt;N$23,6)</f>
        <v>3</v>
      </c>
      <c r="F1123" s="30"/>
      <c r="G1123" s="5"/>
      <c r="H1123" s="5"/>
    </row>
    <row r="1124" spans="1:8" ht="12" customHeight="1">
      <c r="A1124" s="10" t="s">
        <v>2626</v>
      </c>
      <c r="B1124" s="112" t="s">
        <v>2627</v>
      </c>
      <c r="C1124" s="82">
        <v>2879</v>
      </c>
      <c r="D1124" s="43"/>
      <c r="E1124" s="29" cm="1">
        <f t="array" ref="E1124">_xlfn.IFS(C1124=":",":",C1124&gt;=N$19,1,C1124&gt;=N$20,2,C1124&gt;=N$21,3,C1124&gt;=N$22,4,C1124&gt;=N$23,5,C1124&lt;N$23,6)</f>
        <v>4</v>
      </c>
      <c r="F1124" s="30"/>
      <c r="G1124" s="5"/>
      <c r="H1124" s="5"/>
    </row>
    <row r="1125" spans="1:8" ht="12" customHeight="1">
      <c r="A1125" s="10" t="s">
        <v>2628</v>
      </c>
      <c r="B1125" s="112" t="s">
        <v>2968</v>
      </c>
      <c r="C1125" s="82">
        <v>3535</v>
      </c>
      <c r="D1125" s="43"/>
      <c r="E1125" s="29" cm="1">
        <f t="array" ref="E1125">_xlfn.IFS(C1125=":",":",C1125&gt;=N$19,1,C1125&gt;=N$20,2,C1125&gt;=N$21,3,C1125&gt;=N$22,4,C1125&gt;=N$23,5,C1125&lt;N$23,6)</f>
        <v>3</v>
      </c>
      <c r="F1125" s="30"/>
      <c r="G1125" s="5"/>
      <c r="H1125" s="5"/>
    </row>
    <row r="1126" spans="1:8" ht="12" customHeight="1">
      <c r="A1126" s="10" t="s">
        <v>2629</v>
      </c>
      <c r="B1126" s="112" t="s">
        <v>2969</v>
      </c>
      <c r="C1126" s="82">
        <v>1081</v>
      </c>
      <c r="D1126" s="43"/>
      <c r="E1126" s="29" cm="1">
        <f t="array" ref="E1126">_xlfn.IFS(C1126=":",":",C1126&gt;=N$19,1,C1126&gt;=N$20,2,C1126&gt;=N$21,3,C1126&gt;=N$22,4,C1126&gt;=N$23,5,C1126&lt;N$23,6)</f>
        <v>5</v>
      </c>
      <c r="F1126" s="30"/>
      <c r="G1126" s="5"/>
      <c r="H1126" s="5"/>
    </row>
    <row r="1127" spans="1:8" ht="12" customHeight="1">
      <c r="A1127" s="10" t="s">
        <v>2633</v>
      </c>
      <c r="B1127" s="112" t="s">
        <v>2634</v>
      </c>
      <c r="C1127" s="82">
        <v>1924</v>
      </c>
      <c r="D1127" s="43"/>
      <c r="E1127" s="29" cm="1">
        <f t="array" ref="E1127">_xlfn.IFS(C1127=":",":",C1127&gt;=N$19,1,C1127&gt;=N$20,2,C1127&gt;=N$21,3,C1127&gt;=N$22,4,C1127&gt;=N$23,5,C1127&lt;N$23,6)</f>
        <v>5</v>
      </c>
      <c r="F1127" s="30"/>
      <c r="G1127" s="5"/>
      <c r="H1127" s="5"/>
    </row>
    <row r="1128" spans="1:8" ht="12" customHeight="1">
      <c r="A1128" s="16" t="s">
        <v>3067</v>
      </c>
      <c r="B1128" s="11" t="s">
        <v>2630</v>
      </c>
      <c r="C1128" s="82" t="s">
        <v>546</v>
      </c>
      <c r="D1128" s="43"/>
      <c r="E1128" s="29" t="str" cm="1">
        <f t="array" ref="E1128">_xlfn.IFS(C1128=":",":",C1128&gt;=N$19,1,C1128&gt;=N$20,2,C1128&gt;=N$21,3,C1128&gt;=N$22,4,C1128&gt;=N$23,5,C1128&lt;N$23,6)</f>
        <v>:</v>
      </c>
      <c r="F1128" s="30"/>
      <c r="G1128" s="5"/>
      <c r="H1128" s="5"/>
    </row>
    <row r="1129" spans="1:8" ht="12" customHeight="1">
      <c r="A1129" s="16" t="s">
        <v>3068</v>
      </c>
      <c r="B1129" s="11" t="s">
        <v>2631</v>
      </c>
      <c r="C1129" s="82" t="s">
        <v>546</v>
      </c>
      <c r="D1129" s="43"/>
      <c r="E1129" s="29" t="str" cm="1">
        <f t="array" ref="E1129">_xlfn.IFS(C1129=":",":",C1129&gt;=N$19,1,C1129&gt;=N$20,2,C1129&gt;=N$21,3,C1129&gt;=N$22,4,C1129&gt;=N$23,5,C1129&lt;N$23,6)</f>
        <v>:</v>
      </c>
      <c r="F1129" s="30"/>
      <c r="G1129" s="5"/>
      <c r="H1129" s="5"/>
    </row>
    <row r="1130" spans="1:8" ht="12" customHeight="1">
      <c r="A1130" s="16" t="s">
        <v>3069</v>
      </c>
      <c r="B1130" s="11" t="s">
        <v>2632</v>
      </c>
      <c r="C1130" s="82" t="s">
        <v>546</v>
      </c>
      <c r="D1130" s="43"/>
      <c r="E1130" s="29" t="str" cm="1">
        <f t="array" ref="E1130">_xlfn.IFS(C1130=":",":",C1130&gt;=N$19,1,C1130&gt;=N$20,2,C1130&gt;=N$21,3,C1130&gt;=N$22,4,C1130&gt;=N$23,5,C1130&lt;N$23,6)</f>
        <v>:</v>
      </c>
      <c r="F1130" s="30"/>
      <c r="G1130" s="5"/>
      <c r="H1130" s="5"/>
    </row>
    <row r="1131" spans="1:8" ht="12" customHeight="1">
      <c r="A1131" s="16" t="s">
        <v>3070</v>
      </c>
      <c r="B1131" s="11" t="s">
        <v>2635</v>
      </c>
      <c r="C1131" s="82" t="s">
        <v>546</v>
      </c>
      <c r="D1131" s="43"/>
      <c r="E1131" s="29" t="str" cm="1">
        <f t="array" ref="E1131">_xlfn.IFS(C1131=":",":",C1131&gt;=N$19,1,C1131&gt;=N$20,2,C1131&gt;=N$21,3,C1131&gt;=N$22,4,C1131&gt;=N$23,5,C1131&lt;N$23,6)</f>
        <v>:</v>
      </c>
      <c r="F1131" s="30"/>
      <c r="G1131" s="5"/>
      <c r="H1131" s="5"/>
    </row>
    <row r="1132" spans="1:8" ht="12" customHeight="1">
      <c r="A1132" s="10" t="s">
        <v>2636</v>
      </c>
      <c r="B1132" s="112" t="s">
        <v>426</v>
      </c>
      <c r="C1132" s="82">
        <v>3998</v>
      </c>
      <c r="D1132" s="43"/>
      <c r="E1132" s="29" cm="1">
        <f t="array" ref="E1132">_xlfn.IFS(C1132=":",":",C1132&gt;=N$19,1,C1132&gt;=N$20,2,C1132&gt;=N$21,3,C1132&gt;=N$22,4,C1132&gt;=N$23,5,C1132&lt;N$23,6)</f>
        <v>3</v>
      </c>
      <c r="F1132" s="30"/>
      <c r="G1132" s="5"/>
      <c r="H1132" s="5"/>
    </row>
    <row r="1133" spans="1:8" ht="12" customHeight="1">
      <c r="A1133" s="10" t="s">
        <v>2637</v>
      </c>
      <c r="B1133" s="112" t="s">
        <v>2638</v>
      </c>
      <c r="C1133" s="82">
        <v>2776</v>
      </c>
      <c r="D1133" s="43"/>
      <c r="E1133" s="29" cm="1">
        <f t="array" ref="E1133">_xlfn.IFS(C1133=":",":",C1133&gt;=N$19,1,C1133&gt;=N$20,2,C1133&gt;=N$21,3,C1133&gt;=N$22,4,C1133&gt;=N$23,5,C1133&lt;N$23,6)</f>
        <v>4</v>
      </c>
      <c r="F1133" s="30"/>
      <c r="G1133" s="5"/>
      <c r="H1133" s="5"/>
    </row>
    <row r="1134" spans="1:8" ht="12" customHeight="1">
      <c r="A1134" s="10" t="s">
        <v>2639</v>
      </c>
      <c r="B1134" s="112" t="s">
        <v>2640</v>
      </c>
      <c r="C1134" s="82">
        <v>2267</v>
      </c>
      <c r="D1134" s="43"/>
      <c r="E1134" s="29" cm="1">
        <f t="array" ref="E1134">_xlfn.IFS(C1134=":",":",C1134&gt;=N$19,1,C1134&gt;=N$20,2,C1134&gt;=N$21,3,C1134&gt;=N$22,4,C1134&gt;=N$23,5,C1134&lt;N$23,6)</f>
        <v>4</v>
      </c>
      <c r="F1134" s="30"/>
      <c r="G1134" s="5"/>
      <c r="H1134" s="5"/>
    </row>
    <row r="1135" spans="1:8" ht="12" customHeight="1">
      <c r="A1135" s="10" t="s">
        <v>2643</v>
      </c>
      <c r="B1135" s="112" t="s">
        <v>2644</v>
      </c>
      <c r="C1135" s="82">
        <v>4134</v>
      </c>
      <c r="D1135" s="43"/>
      <c r="E1135" s="29" cm="1">
        <f t="array" ref="E1135">_xlfn.IFS(C1135=":",":",C1135&gt;=N$19,1,C1135&gt;=N$20,2,C1135&gt;=N$21,3,C1135&gt;=N$22,4,C1135&gt;=N$23,5,C1135&lt;N$23,6)</f>
        <v>3</v>
      </c>
      <c r="F1135" s="5"/>
      <c r="G1135" s="5"/>
      <c r="H1135" s="5"/>
    </row>
    <row r="1136" spans="1:8" ht="12" customHeight="1">
      <c r="A1136" s="16" t="s">
        <v>3071</v>
      </c>
      <c r="B1136" s="11" t="s">
        <v>2641</v>
      </c>
      <c r="C1136" s="82" t="s">
        <v>546</v>
      </c>
      <c r="D1136" s="43"/>
      <c r="E1136" s="29" t="str" cm="1">
        <f t="array" ref="E1136">_xlfn.IFS(C1136=":",":",C1136&gt;=N$19,1,C1136&gt;=N$20,2,C1136&gt;=N$21,3,C1136&gt;=N$22,4,C1136&gt;=N$23,5,C1136&lt;N$23,6)</f>
        <v>:</v>
      </c>
      <c r="F1136" s="5"/>
      <c r="G1136" s="5"/>
      <c r="H1136" s="5"/>
    </row>
    <row r="1137" spans="1:8" ht="12" customHeight="1">
      <c r="A1137" s="16" t="s">
        <v>3072</v>
      </c>
      <c r="B1137" s="11" t="s">
        <v>2642</v>
      </c>
      <c r="C1137" s="82" t="s">
        <v>546</v>
      </c>
      <c r="D1137" s="43"/>
      <c r="E1137" s="29" t="str" cm="1">
        <f t="array" ref="E1137">_xlfn.IFS(C1137=":",":",C1137&gt;=N$19,1,C1137&gt;=N$20,2,C1137&gt;=N$21,3,C1137&gt;=N$22,4,C1137&gt;=N$23,5,C1137&lt;N$23,6)</f>
        <v>:</v>
      </c>
      <c r="F1137" s="5"/>
      <c r="G1137" s="5"/>
      <c r="H1137" s="5"/>
    </row>
    <row r="1138" spans="1:8" ht="12" customHeight="1">
      <c r="A1138" s="10" t="s">
        <v>2648</v>
      </c>
      <c r="B1138" s="112" t="s">
        <v>2649</v>
      </c>
      <c r="C1138" s="82">
        <v>2032</v>
      </c>
      <c r="D1138" s="43"/>
      <c r="E1138" s="29" cm="1">
        <f t="array" ref="E1138">_xlfn.IFS(C1138=":",":",C1138&gt;=N$19,1,C1138&gt;=N$20,2,C1138&gt;=N$21,3,C1138&gt;=N$22,4,C1138&gt;=N$23,5,C1138&lt;N$23,6)</f>
        <v>4</v>
      </c>
      <c r="F1138" s="30"/>
      <c r="G1138" s="5"/>
      <c r="H1138" s="5"/>
    </row>
    <row r="1139" spans="1:8" ht="12" customHeight="1">
      <c r="A1139" s="10" t="s">
        <v>2650</v>
      </c>
      <c r="B1139" s="112" t="s">
        <v>2651</v>
      </c>
      <c r="C1139" s="82">
        <v>19094</v>
      </c>
      <c r="D1139" s="43"/>
      <c r="E1139" s="29" cm="1">
        <f t="array" ref="E1139">_xlfn.IFS(C1139=":",":",C1139&gt;=N$19,1,C1139&gt;=N$20,2,C1139&gt;=N$21,3,C1139&gt;=N$22,4,C1139&gt;=N$23,5,C1139&lt;N$23,6)</f>
        <v>1</v>
      </c>
      <c r="F1139" s="30"/>
      <c r="G1139" s="5"/>
      <c r="H1139" s="5"/>
    </row>
    <row r="1140" spans="1:8" ht="12" customHeight="1">
      <c r="A1140" s="10" t="s">
        <v>2652</v>
      </c>
      <c r="B1140" s="112" t="s">
        <v>2653</v>
      </c>
      <c r="C1140" s="82">
        <v>8570</v>
      </c>
      <c r="D1140" s="43"/>
      <c r="E1140" s="29" cm="1">
        <f t="array" ref="E1140">_xlfn.IFS(C1140=":",":",C1140&gt;=N$19,1,C1140&gt;=N$20,2,C1140&gt;=N$21,3,C1140&gt;=N$22,4,C1140&gt;=N$23,5,C1140&lt;N$23,6)</f>
        <v>2</v>
      </c>
      <c r="F1140" s="30"/>
      <c r="G1140" s="5"/>
      <c r="H1140" s="5"/>
    </row>
    <row r="1141" spans="1:8" ht="12" customHeight="1">
      <c r="A1141" s="10" t="s">
        <v>2654</v>
      </c>
      <c r="B1141" s="112" t="s">
        <v>2655</v>
      </c>
      <c r="C1141" s="82">
        <v>4429</v>
      </c>
      <c r="D1141" s="43"/>
      <c r="E1141" s="29" cm="1">
        <f t="array" ref="E1141">_xlfn.IFS(C1141=":",":",C1141&gt;=N$19,1,C1141&gt;=N$20,2,C1141&gt;=N$21,3,C1141&gt;=N$22,4,C1141&gt;=N$23,5,C1141&lt;N$23,6)</f>
        <v>3</v>
      </c>
      <c r="F1141" s="30"/>
      <c r="G1141" s="5"/>
      <c r="H1141" s="5"/>
    </row>
    <row r="1142" spans="1:8" ht="12" customHeight="1">
      <c r="A1142" s="16" t="s">
        <v>3073</v>
      </c>
      <c r="B1142" s="11" t="s">
        <v>2645</v>
      </c>
      <c r="C1142" s="82" t="s">
        <v>546</v>
      </c>
      <c r="D1142" s="43"/>
      <c r="E1142" s="29" t="str" cm="1">
        <f t="array" ref="E1142">_xlfn.IFS(C1142=":",":",C1142&gt;=N$19,1,C1142&gt;=N$20,2,C1142&gt;=N$21,3,C1142&gt;=N$22,4,C1142&gt;=N$23,5,C1142&lt;N$23,6)</f>
        <v>:</v>
      </c>
      <c r="F1142" s="30"/>
      <c r="G1142" s="5"/>
      <c r="H1142" s="5"/>
    </row>
    <row r="1143" spans="1:8" ht="12" customHeight="1">
      <c r="A1143" s="16" t="s">
        <v>3074</v>
      </c>
      <c r="B1143" s="11" t="s">
        <v>2646</v>
      </c>
      <c r="C1143" s="82" t="s">
        <v>546</v>
      </c>
      <c r="D1143" s="43"/>
      <c r="E1143" s="29" t="str" cm="1">
        <f t="array" ref="E1143">_xlfn.IFS(C1143=":",":",C1143&gt;=N$19,1,C1143&gt;=N$20,2,C1143&gt;=N$21,3,C1143&gt;=N$22,4,C1143&gt;=N$23,5,C1143&lt;N$23,6)</f>
        <v>:</v>
      </c>
      <c r="F1143" s="30"/>
      <c r="G1143" s="5"/>
      <c r="H1143" s="5"/>
    </row>
    <row r="1144" spans="1:8" ht="12" customHeight="1">
      <c r="A1144" s="16" t="s">
        <v>3075</v>
      </c>
      <c r="B1144" s="11" t="s">
        <v>2647</v>
      </c>
      <c r="C1144" s="82" t="s">
        <v>546</v>
      </c>
      <c r="D1144" s="43"/>
      <c r="E1144" s="29" t="str" cm="1">
        <f t="array" ref="E1144">_xlfn.IFS(C1144=":",":",C1144&gt;=N$19,1,C1144&gt;=N$20,2,C1144&gt;=N$21,3,C1144&gt;=N$22,4,C1144&gt;=N$23,5,C1144&lt;N$23,6)</f>
        <v>:</v>
      </c>
      <c r="F1144" s="30"/>
      <c r="G1144" s="5"/>
      <c r="H1144" s="5"/>
    </row>
    <row r="1145" spans="1:8" ht="12" customHeight="1">
      <c r="A1145" s="10" t="s">
        <v>2656</v>
      </c>
      <c r="B1145" s="112" t="s">
        <v>431</v>
      </c>
      <c r="C1145" s="82">
        <v>13936</v>
      </c>
      <c r="D1145" s="43"/>
      <c r="E1145" s="29" cm="1">
        <f t="array" ref="E1145">_xlfn.IFS(C1145=":",":",C1145&gt;=N$19,1,C1145&gt;=N$20,2,C1145&gt;=N$21,3,C1145&gt;=N$22,4,C1145&gt;=N$23,5,C1145&lt;N$23,6)</f>
        <v>2</v>
      </c>
      <c r="F1145" s="30"/>
      <c r="G1145" s="5"/>
      <c r="H1145" s="5"/>
    </row>
    <row r="1146" spans="1:8" ht="12" customHeight="1">
      <c r="A1146" s="10" t="s">
        <v>2657</v>
      </c>
      <c r="B1146" s="112" t="s">
        <v>2658</v>
      </c>
      <c r="C1146" s="82">
        <v>6400</v>
      </c>
      <c r="D1146" s="43"/>
      <c r="E1146" s="29" cm="1">
        <f t="array" ref="E1146">_xlfn.IFS(C1146=":",":",C1146&gt;=N$19,1,C1146&gt;=N$20,2,C1146&gt;=N$21,3,C1146&gt;=N$22,4,C1146&gt;=N$23,5,C1146&lt;N$23,6)</f>
        <v>3</v>
      </c>
      <c r="F1146" s="30"/>
      <c r="G1146" s="5"/>
      <c r="H1146" s="5"/>
    </row>
    <row r="1147" spans="1:8" ht="12" customHeight="1">
      <c r="A1147" s="10" t="s">
        <v>2659</v>
      </c>
      <c r="B1147" s="112" t="s">
        <v>2660</v>
      </c>
      <c r="C1147" s="82">
        <v>3039</v>
      </c>
      <c r="D1147" s="43"/>
      <c r="E1147" s="29" cm="1">
        <f t="array" ref="E1147">_xlfn.IFS(C1147=":",":",C1147&gt;=N$19,1,C1147&gt;=N$20,2,C1147&gt;=N$21,3,C1147&gt;=N$22,4,C1147&gt;=N$23,5,C1147&lt;N$23,6)</f>
        <v>4</v>
      </c>
      <c r="F1147" s="30"/>
      <c r="G1147" s="5"/>
      <c r="H1147" s="5"/>
    </row>
    <row r="1148" spans="1:8" ht="12" customHeight="1">
      <c r="A1148" s="10" t="s">
        <v>2661</v>
      </c>
      <c r="B1148" s="112" t="s">
        <v>2662</v>
      </c>
      <c r="C1148" s="82">
        <v>3764</v>
      </c>
      <c r="D1148" s="43"/>
      <c r="E1148" s="29" cm="1">
        <f t="array" ref="E1148">_xlfn.IFS(C1148=":",":",C1148&gt;=N$19,1,C1148&gt;=N$20,2,C1148&gt;=N$21,3,C1148&gt;=N$22,4,C1148&gt;=N$23,5,C1148&lt;N$23,6)</f>
        <v>3</v>
      </c>
      <c r="F1148" s="30"/>
      <c r="G1148" s="5"/>
      <c r="H1148" s="5"/>
    </row>
    <row r="1149" spans="1:8" ht="12" customHeight="1">
      <c r="A1149" s="10" t="s">
        <v>2663</v>
      </c>
      <c r="B1149" s="112" t="s">
        <v>2664</v>
      </c>
      <c r="C1149" s="82">
        <v>4279</v>
      </c>
      <c r="D1149" s="43"/>
      <c r="E1149" s="29" cm="1">
        <f t="array" ref="E1149">_xlfn.IFS(C1149=":",":",C1149&gt;=N$19,1,C1149&gt;=N$20,2,C1149&gt;=N$21,3,C1149&gt;=N$22,4,C1149&gt;=N$23,5,C1149&lt;N$23,6)</f>
        <v>3</v>
      </c>
      <c r="F1149" s="30"/>
      <c r="G1149" s="5"/>
      <c r="H1149" s="5"/>
    </row>
    <row r="1150" spans="1:8" ht="12" customHeight="1">
      <c r="A1150" s="10" t="s">
        <v>2665</v>
      </c>
      <c r="B1150" s="112" t="s">
        <v>2666</v>
      </c>
      <c r="C1150" s="82">
        <v>4086</v>
      </c>
      <c r="D1150" s="43"/>
      <c r="E1150" s="29" cm="1">
        <f t="array" ref="E1150">_xlfn.IFS(C1150=":",":",C1150&gt;=N$19,1,C1150&gt;=N$20,2,C1150&gt;=N$21,3,C1150&gt;=N$22,4,C1150&gt;=N$23,5,C1150&lt;N$23,6)</f>
        <v>3</v>
      </c>
      <c r="F1150" s="30"/>
      <c r="G1150" s="5"/>
      <c r="H1150" s="5"/>
    </row>
    <row r="1151" spans="1:8" ht="12" customHeight="1">
      <c r="A1151" s="10" t="s">
        <v>2667</v>
      </c>
      <c r="B1151" s="112" t="s">
        <v>2668</v>
      </c>
      <c r="C1151" s="82">
        <v>3481</v>
      </c>
      <c r="D1151" s="43"/>
      <c r="E1151" s="29" cm="1">
        <f t="array" ref="E1151">_xlfn.IFS(C1151=":",":",C1151&gt;=N$19,1,C1151&gt;=N$20,2,C1151&gt;=N$21,3,C1151&gt;=N$22,4,C1151&gt;=N$23,5,C1151&lt;N$23,6)</f>
        <v>4</v>
      </c>
      <c r="F1151" s="30"/>
      <c r="G1151" s="5"/>
      <c r="H1151" s="5"/>
    </row>
    <row r="1152" spans="1:8" ht="12" customHeight="1">
      <c r="A1152" s="10" t="s">
        <v>2669</v>
      </c>
      <c r="B1152" s="112" t="s">
        <v>2670</v>
      </c>
      <c r="C1152" s="82">
        <v>4627</v>
      </c>
      <c r="D1152" s="43"/>
      <c r="E1152" s="29" cm="1">
        <f t="array" ref="E1152">_xlfn.IFS(C1152=":",":",C1152&gt;=N$19,1,C1152&gt;=N$20,2,C1152&gt;=N$21,3,C1152&gt;=N$22,4,C1152&gt;=N$23,5,C1152&lt;N$23,6)</f>
        <v>3</v>
      </c>
      <c r="F1152" s="30"/>
      <c r="G1152" s="5"/>
      <c r="H1152" s="5"/>
    </row>
    <row r="1153" spans="1:8" ht="12" customHeight="1">
      <c r="A1153" s="10" t="s">
        <v>2671</v>
      </c>
      <c r="B1153" s="112" t="s">
        <v>2672</v>
      </c>
      <c r="C1153" s="82">
        <v>4328</v>
      </c>
      <c r="D1153" s="43"/>
      <c r="E1153" s="29" cm="1">
        <f t="array" ref="E1153">_xlfn.IFS(C1153=":",":",C1153&gt;=N$19,1,C1153&gt;=N$20,2,C1153&gt;=N$21,3,C1153&gt;=N$22,4,C1153&gt;=N$23,5,C1153&lt;N$23,6)</f>
        <v>3</v>
      </c>
      <c r="F1153" s="30"/>
      <c r="G1153" s="5"/>
      <c r="H1153" s="5"/>
    </row>
    <row r="1154" spans="1:8" ht="12" customHeight="1">
      <c r="A1154" s="10" t="s">
        <v>2673</v>
      </c>
      <c r="B1154" s="112" t="s">
        <v>2674</v>
      </c>
      <c r="C1154" s="82">
        <v>12900</v>
      </c>
      <c r="D1154" s="43"/>
      <c r="E1154" s="29" cm="1">
        <f t="array" ref="E1154">_xlfn.IFS(C1154=":",":",C1154&gt;=N$19,1,C1154&gt;=N$20,2,C1154&gt;=N$21,3,C1154&gt;=N$22,4,C1154&gt;=N$23,5,C1154&lt;N$23,6)</f>
        <v>2</v>
      </c>
      <c r="F1154" s="30"/>
      <c r="G1154" s="5"/>
      <c r="H1154" s="5"/>
    </row>
    <row r="1155" spans="1:8" ht="12" customHeight="1">
      <c r="A1155" s="10" t="s">
        <v>2675</v>
      </c>
      <c r="B1155" s="112" t="s">
        <v>2676</v>
      </c>
      <c r="C1155" s="82">
        <v>15538</v>
      </c>
      <c r="D1155" s="43"/>
      <c r="E1155" s="29" cm="1">
        <f t="array" ref="E1155">_xlfn.IFS(C1155=":",":",C1155&gt;=N$19,1,C1155&gt;=N$20,2,C1155&gt;=N$21,3,C1155&gt;=N$22,4,C1155&gt;=N$23,5,C1155&lt;N$23,6)</f>
        <v>1</v>
      </c>
      <c r="F1155" s="30"/>
      <c r="G1155" s="5"/>
      <c r="H1155" s="5"/>
    </row>
    <row r="1156" spans="1:8" ht="12" customHeight="1">
      <c r="A1156" s="10" t="s">
        <v>2677</v>
      </c>
      <c r="B1156" s="112" t="s">
        <v>2678</v>
      </c>
      <c r="C1156" s="82">
        <v>6158</v>
      </c>
      <c r="D1156" s="43"/>
      <c r="E1156" s="29" cm="1">
        <f t="array" ref="E1156">_xlfn.IFS(C1156=":",":",C1156&gt;=N$19,1,C1156&gt;=N$20,2,C1156&gt;=N$21,3,C1156&gt;=N$22,4,C1156&gt;=N$23,5,C1156&lt;N$23,6)</f>
        <v>3</v>
      </c>
      <c r="F1156" s="30"/>
      <c r="G1156" s="5"/>
      <c r="H1156" s="5"/>
    </row>
    <row r="1157" spans="1:8" ht="12" customHeight="1">
      <c r="A1157" s="10" t="s">
        <v>2679</v>
      </c>
      <c r="B1157" s="112" t="s">
        <v>2680</v>
      </c>
      <c r="C1157" s="82">
        <v>4801</v>
      </c>
      <c r="D1157" s="43"/>
      <c r="E1157" s="29" cm="1">
        <f t="array" ref="E1157">_xlfn.IFS(C1157=":",":",C1157&gt;=N$19,1,C1157&gt;=N$20,2,C1157&gt;=N$21,3,C1157&gt;=N$22,4,C1157&gt;=N$23,5,C1157&lt;N$23,6)</f>
        <v>3</v>
      </c>
      <c r="F1157" s="30"/>
      <c r="G1157" s="5"/>
      <c r="H1157" s="5"/>
    </row>
    <row r="1158" spans="1:8" ht="12" customHeight="1">
      <c r="A1158" s="10" t="s">
        <v>2681</v>
      </c>
      <c r="B1158" s="112" t="s">
        <v>2682</v>
      </c>
      <c r="C1158" s="82">
        <v>8507</v>
      </c>
      <c r="D1158" s="43"/>
      <c r="E1158" s="29" cm="1">
        <f t="array" ref="E1158">_xlfn.IFS(C1158=":",":",C1158&gt;=N$19,1,C1158&gt;=N$20,2,C1158&gt;=N$21,3,C1158&gt;=N$22,4,C1158&gt;=N$23,5,C1158&lt;N$23,6)</f>
        <v>2</v>
      </c>
      <c r="F1158" s="30"/>
      <c r="G1158" s="5"/>
      <c r="H1158" s="5"/>
    </row>
    <row r="1159" spans="1:8" ht="12" customHeight="1">
      <c r="A1159" s="10" t="s">
        <v>2683</v>
      </c>
      <c r="B1159" s="112" t="s">
        <v>2684</v>
      </c>
      <c r="C1159" s="82">
        <v>6288</v>
      </c>
      <c r="D1159" s="43"/>
      <c r="E1159" s="29" cm="1">
        <f t="array" ref="E1159">_xlfn.IFS(C1159=":",":",C1159&gt;=N$19,1,C1159&gt;=N$20,2,C1159&gt;=N$21,3,C1159&gt;=N$22,4,C1159&gt;=N$23,5,C1159&lt;N$23,6)</f>
        <v>3</v>
      </c>
      <c r="F1159" s="30"/>
      <c r="G1159" s="5"/>
      <c r="H1159" s="5"/>
    </row>
    <row r="1160" spans="1:8" ht="12" customHeight="1">
      <c r="A1160" s="10" t="s">
        <v>2685</v>
      </c>
      <c r="B1160" s="112" t="s">
        <v>2686</v>
      </c>
      <c r="C1160" s="82">
        <v>6761</v>
      </c>
      <c r="D1160" s="43"/>
      <c r="E1160" s="29" cm="1">
        <f t="array" ref="E1160">_xlfn.IFS(C1160=":",":",C1160&gt;=N$19,1,C1160&gt;=N$20,2,C1160&gt;=N$21,3,C1160&gt;=N$22,4,C1160&gt;=N$23,5,C1160&lt;N$23,6)</f>
        <v>3</v>
      </c>
      <c r="F1160" s="30"/>
      <c r="G1160" s="5"/>
      <c r="H1160" s="5"/>
    </row>
    <row r="1161" spans="1:8" ht="12" customHeight="1">
      <c r="A1161" s="10" t="s">
        <v>2687</v>
      </c>
      <c r="B1161" s="112" t="s">
        <v>2688</v>
      </c>
      <c r="C1161" s="82">
        <v>11247</v>
      </c>
      <c r="D1161" s="43"/>
      <c r="E1161" s="29" cm="1">
        <f t="array" ref="E1161">_xlfn.IFS(C1161=":",":",C1161&gt;=N$19,1,C1161&gt;=N$20,2,C1161&gt;=N$21,3,C1161&gt;=N$22,4,C1161&gt;=N$23,5,C1161&lt;N$23,6)</f>
        <v>2</v>
      </c>
      <c r="F1161" s="30"/>
      <c r="G1161" s="5"/>
      <c r="H1161" s="5"/>
    </row>
    <row r="1162" spans="1:8" ht="12" customHeight="1">
      <c r="A1162" s="10" t="s">
        <v>2689</v>
      </c>
      <c r="B1162" s="112" t="s">
        <v>2690</v>
      </c>
      <c r="C1162" s="82">
        <v>4139</v>
      </c>
      <c r="D1162" s="43"/>
      <c r="E1162" s="29" cm="1">
        <f t="array" ref="E1162">_xlfn.IFS(C1162=":",":",C1162&gt;=N$19,1,C1162&gt;=N$20,2,C1162&gt;=N$21,3,C1162&gt;=N$22,4,C1162&gt;=N$23,5,C1162&lt;N$23,6)</f>
        <v>3</v>
      </c>
      <c r="F1162" s="30"/>
      <c r="G1162" s="5"/>
      <c r="H1162" s="5"/>
    </row>
    <row r="1163" spans="1:8" ht="12" customHeight="1">
      <c r="A1163" s="10" t="s">
        <v>2691</v>
      </c>
      <c r="B1163" s="112" t="s">
        <v>2692</v>
      </c>
      <c r="C1163" s="82">
        <v>5418</v>
      </c>
      <c r="D1163" s="43"/>
      <c r="E1163" s="29" cm="1">
        <f t="array" ref="E1163">_xlfn.IFS(C1163=":",":",C1163&gt;=N$19,1,C1163&gt;=N$20,2,C1163&gt;=N$21,3,C1163&gt;=N$22,4,C1163&gt;=N$23,5,C1163&lt;N$23,6)</f>
        <v>3</v>
      </c>
      <c r="F1163" s="30"/>
      <c r="G1163" s="5"/>
      <c r="H1163" s="5"/>
    </row>
    <row r="1164" spans="1:8" ht="12" customHeight="1">
      <c r="A1164" s="10" t="s">
        <v>2693</v>
      </c>
      <c r="B1164" s="112" t="s">
        <v>2694</v>
      </c>
      <c r="C1164" s="82">
        <v>13481</v>
      </c>
      <c r="D1164" s="43"/>
      <c r="E1164" s="29" cm="1">
        <f t="array" ref="E1164">_xlfn.IFS(C1164=":",":",C1164&gt;=N$19,1,C1164&gt;=N$20,2,C1164&gt;=N$21,3,C1164&gt;=N$22,4,C1164&gt;=N$23,5,C1164&lt;N$23,6)</f>
        <v>2</v>
      </c>
      <c r="F1164" s="30"/>
      <c r="G1164" s="5"/>
      <c r="H1164" s="5"/>
    </row>
    <row r="1165" spans="1:8" ht="12" customHeight="1">
      <c r="A1165" s="10" t="s">
        <v>2695</v>
      </c>
      <c r="B1165" s="112" t="s">
        <v>2696</v>
      </c>
      <c r="C1165" s="82">
        <v>6780</v>
      </c>
      <c r="D1165" s="43"/>
      <c r="E1165" s="29" cm="1">
        <f t="array" ref="E1165">_xlfn.IFS(C1165=":",":",C1165&gt;=N$19,1,C1165&gt;=N$20,2,C1165&gt;=N$21,3,C1165&gt;=N$22,4,C1165&gt;=N$23,5,C1165&lt;N$23,6)</f>
        <v>3</v>
      </c>
      <c r="F1165" s="30"/>
      <c r="G1165" s="5"/>
      <c r="H1165" s="5"/>
    </row>
    <row r="1166" spans="1:8" ht="12" customHeight="1">
      <c r="A1166" s="10" t="s">
        <v>2697</v>
      </c>
      <c r="B1166" s="112" t="s">
        <v>2698</v>
      </c>
      <c r="C1166" s="82">
        <v>11666</v>
      </c>
      <c r="D1166" s="43"/>
      <c r="E1166" s="29" cm="1">
        <f t="array" ref="E1166">_xlfn.IFS(C1166=":",":",C1166&gt;=N$19,1,C1166&gt;=N$20,2,C1166&gt;=N$21,3,C1166&gt;=N$22,4,C1166&gt;=N$23,5,C1166&lt;N$23,6)</f>
        <v>2</v>
      </c>
      <c r="F1166" s="30"/>
      <c r="G1166" s="5"/>
      <c r="H1166" s="5"/>
    </row>
    <row r="1167" spans="1:8" ht="12" customHeight="1">
      <c r="A1167" s="16" t="s">
        <v>449</v>
      </c>
      <c r="B1167" s="11" t="s">
        <v>450</v>
      </c>
      <c r="C1167" s="82">
        <v>24548</v>
      </c>
      <c r="D1167" s="43" t="s">
        <v>3130</v>
      </c>
      <c r="E1167" s="29" cm="1">
        <f t="array" ref="E1167">_xlfn.IFS(C1167=":",":",C1167&gt;=N$19,1,C1167&gt;=N$20,2,C1167&gt;=N$21,3,C1167&gt;=N$22,4,C1167&gt;=N$23,5,C1167&lt;N$23,6)</f>
        <v>1</v>
      </c>
      <c r="F1167" s="43">
        <v>2023</v>
      </c>
      <c r="G1167" s="5"/>
      <c r="H1167" s="5"/>
    </row>
    <row r="1168" spans="1:8" ht="12" customHeight="1">
      <c r="A1168" s="16" t="s">
        <v>2701</v>
      </c>
      <c r="B1168" s="11" t="s">
        <v>453</v>
      </c>
      <c r="C1168" s="82">
        <v>5853</v>
      </c>
      <c r="D1168" s="43"/>
      <c r="E1168" s="29" cm="1">
        <f t="array" ref="E1168">_xlfn.IFS(C1168=":",":",C1168&gt;=N$19,1,C1168&gt;=N$20,2,C1168&gt;=N$21,3,C1168&gt;=N$22,4,C1168&gt;=N$23,5,C1168&lt;N$23,6)</f>
        <v>3</v>
      </c>
      <c r="F1168" s="30"/>
      <c r="G1168" s="5"/>
      <c r="H1168" s="5"/>
    </row>
    <row r="1169" spans="1:8" ht="12" customHeight="1">
      <c r="A1169" s="16" t="s">
        <v>2702</v>
      </c>
      <c r="B1169" s="11" t="s">
        <v>456</v>
      </c>
      <c r="C1169" s="82">
        <v>9803</v>
      </c>
      <c r="D1169" s="43"/>
      <c r="E1169" s="29" cm="1">
        <f t="array" ref="E1169">_xlfn.IFS(C1169=":",":",C1169&gt;=N$19,1,C1169&gt;=N$20,2,C1169&gt;=N$21,3,C1169&gt;=N$22,4,C1169&gt;=N$23,5,C1169&lt;N$23,6)</f>
        <v>2</v>
      </c>
      <c r="F1169" s="30"/>
      <c r="G1169" s="5"/>
      <c r="H1169" s="5"/>
    </row>
    <row r="1170" spans="1:8" ht="12" customHeight="1">
      <c r="A1170" s="16" t="s">
        <v>2703</v>
      </c>
      <c r="B1170" s="11" t="s">
        <v>3026</v>
      </c>
      <c r="C1170" s="82">
        <v>6111</v>
      </c>
      <c r="D1170" s="43"/>
      <c r="E1170" s="29" cm="1">
        <f t="array" ref="E1170">_xlfn.IFS(C1170=":",":",C1170&gt;=N$19,1,C1170&gt;=N$20,2,C1170&gt;=N$21,3,C1170&gt;=N$22,4,C1170&gt;=N$23,5,C1170&lt;N$23,6)</f>
        <v>3</v>
      </c>
      <c r="F1170" s="30"/>
      <c r="G1170" s="5"/>
      <c r="H1170" s="5"/>
    </row>
    <row r="1171" spans="1:8" ht="12" customHeight="1">
      <c r="A1171" s="17" t="s">
        <v>2704</v>
      </c>
      <c r="B1171" s="80" t="s">
        <v>3027</v>
      </c>
      <c r="C1171" s="82">
        <v>10937</v>
      </c>
      <c r="D1171" s="43"/>
      <c r="E1171" s="29" cm="1">
        <f t="array" ref="E1171">_xlfn.IFS(C1171=":",":",C1171&gt;=N$19,1,C1171&gt;=N$20,2,C1171&gt;=N$21,3,C1171&gt;=N$22,4,C1171&gt;=N$23,5,C1171&lt;N$23,6)</f>
        <v>2</v>
      </c>
      <c r="F1171" s="30"/>
      <c r="G1171" s="5"/>
      <c r="H1171" s="5"/>
    </row>
    <row r="1172" spans="1:8" ht="12" customHeight="1">
      <c r="A1172" s="17" t="s">
        <v>3096</v>
      </c>
      <c r="B1172" s="80" t="s">
        <v>3097</v>
      </c>
      <c r="C1172" s="82">
        <v>11261</v>
      </c>
      <c r="D1172" s="43"/>
      <c r="E1172" s="29" cm="1">
        <f t="array" ref="E1172">_xlfn.IFS(C1172=":",":",C1172&gt;=N$19,1,C1172&gt;=N$20,2,C1172&gt;=N$21,3,C1172&gt;=N$22,4,C1172&gt;=N$23,5,C1172&lt;N$23,6)</f>
        <v>2</v>
      </c>
      <c r="F1172" s="30"/>
      <c r="G1172" s="5"/>
      <c r="H1172" s="5"/>
    </row>
    <row r="1173" spans="1:8" ht="12" customHeight="1">
      <c r="A1173" s="17" t="s">
        <v>3098</v>
      </c>
      <c r="B1173" s="80" t="s">
        <v>3099</v>
      </c>
      <c r="C1173" s="82">
        <v>10248</v>
      </c>
      <c r="D1173" s="43"/>
      <c r="E1173" s="29" cm="1">
        <f t="array" ref="E1173">_xlfn.IFS(C1173=":",":",C1173&gt;=N$19,1,C1173&gt;=N$20,2,C1173&gt;=N$21,3,C1173&gt;=N$22,4,C1173&gt;=N$23,5,C1173&lt;N$23,6)</f>
        <v>2</v>
      </c>
      <c r="F1173" s="30"/>
      <c r="G1173" s="5"/>
      <c r="H1173" s="5"/>
    </row>
    <row r="1174" spans="1:8" ht="12" customHeight="1">
      <c r="A1174" s="17" t="s">
        <v>2705</v>
      </c>
      <c r="B1174" s="80" t="s">
        <v>2706</v>
      </c>
      <c r="C1174" s="82">
        <v>9640</v>
      </c>
      <c r="D1174" s="43"/>
      <c r="E1174" s="29" cm="1">
        <f t="array" ref="E1174">_xlfn.IFS(C1174=":",":",C1174&gt;=N$19,1,C1174&gt;=N$20,2,C1174&gt;=N$21,3,C1174&gt;=N$22,4,C1174&gt;=N$23,5,C1174&lt;N$23,6)</f>
        <v>2</v>
      </c>
      <c r="F1174" s="30"/>
      <c r="G1174" s="5"/>
      <c r="H1174" s="5"/>
    </row>
    <row r="1175" spans="1:8" ht="12" customHeight="1">
      <c r="A1175" s="17" t="s">
        <v>3100</v>
      </c>
      <c r="B1175" s="80" t="s">
        <v>3101</v>
      </c>
      <c r="C1175" s="82" t="s">
        <v>546</v>
      </c>
      <c r="D1175" s="43"/>
      <c r="E1175" s="29" t="str" cm="1">
        <f t="array" ref="E1175">_xlfn.IFS(C1175=":",":",C1175&gt;=N$19,1,C1175&gt;=N$20,2,C1175&gt;=N$21,3,C1175&gt;=N$22,4,C1175&gt;=N$23,5,C1175&lt;N$23,6)</f>
        <v>:</v>
      </c>
      <c r="F1175" s="30"/>
      <c r="G1175" s="5"/>
      <c r="H1175" s="5"/>
    </row>
    <row r="1176" spans="1:8" ht="12" customHeight="1">
      <c r="A1176" s="17" t="s">
        <v>3102</v>
      </c>
      <c r="B1176" s="80" t="s">
        <v>3103</v>
      </c>
      <c r="C1176" s="82" t="s">
        <v>546</v>
      </c>
      <c r="D1176" s="43"/>
      <c r="E1176" s="29" t="str" cm="1">
        <f t="array" ref="E1176">_xlfn.IFS(C1176=":",":",C1176&gt;=N$19,1,C1176&gt;=N$20,2,C1176&gt;=N$21,3,C1176&gt;=N$22,4,C1176&gt;=N$23,5,C1176&lt;N$23,6)</f>
        <v>:</v>
      </c>
      <c r="F1176" s="30"/>
      <c r="G1176" s="5"/>
      <c r="H1176" s="5"/>
    </row>
    <row r="1177" spans="1:8" ht="12" customHeight="1">
      <c r="A1177" s="17" t="s">
        <v>3104</v>
      </c>
      <c r="B1177" s="80" t="s">
        <v>3105</v>
      </c>
      <c r="C1177" s="82" t="s">
        <v>546</v>
      </c>
      <c r="D1177" s="43"/>
      <c r="E1177" s="29" t="str" cm="1">
        <f t="array" ref="E1177">_xlfn.IFS(C1177=":",":",C1177&gt;=N$19,1,C1177&gt;=N$20,2,C1177&gt;=N$21,3,C1177&gt;=N$22,4,C1177&gt;=N$23,5,C1177&lt;N$23,6)</f>
        <v>:</v>
      </c>
      <c r="F1177" s="30"/>
      <c r="G1177" s="5"/>
      <c r="H1177" s="5"/>
    </row>
    <row r="1178" spans="1:8" ht="12" customHeight="1">
      <c r="A1178" s="17" t="s">
        <v>2707</v>
      </c>
      <c r="B1178" s="80" t="s">
        <v>2708</v>
      </c>
      <c r="C1178" s="82">
        <v>6780</v>
      </c>
      <c r="D1178" s="43"/>
      <c r="E1178" s="29" cm="1">
        <f t="array" ref="E1178">_xlfn.IFS(C1178=":",":",C1178&gt;=N$19,1,C1178&gt;=N$20,2,C1178&gt;=N$21,3,C1178&gt;=N$22,4,C1178&gt;=N$23,5,C1178&lt;N$23,6)</f>
        <v>3</v>
      </c>
      <c r="F1178" s="30"/>
      <c r="G1178" s="5"/>
      <c r="H1178" s="5"/>
    </row>
    <row r="1179" spans="1:8" ht="12" customHeight="1">
      <c r="A1179" s="17" t="s">
        <v>3106</v>
      </c>
      <c r="B1179" s="80" t="s">
        <v>3107</v>
      </c>
      <c r="C1179" s="82" t="s">
        <v>546</v>
      </c>
      <c r="D1179" s="43"/>
      <c r="E1179" s="29" t="str" cm="1">
        <f t="array" ref="E1179">_xlfn.IFS(C1179=":",":",C1179&gt;=N$19,1,C1179&gt;=N$20,2,C1179&gt;=N$21,3,C1179&gt;=N$22,4,C1179&gt;=N$23,5,C1179&lt;N$23,6)</f>
        <v>:</v>
      </c>
      <c r="F1179" s="30"/>
      <c r="G1179" s="5"/>
      <c r="H1179" s="5"/>
    </row>
    <row r="1180" spans="1:8" ht="12" customHeight="1">
      <c r="A1180" s="17" t="s">
        <v>3108</v>
      </c>
      <c r="B1180" s="80" t="s">
        <v>3109</v>
      </c>
      <c r="C1180" s="82" t="s">
        <v>546</v>
      </c>
      <c r="D1180" s="43"/>
      <c r="E1180" s="29" t="str" cm="1">
        <f t="array" ref="E1180">_xlfn.IFS(C1180=":",":",C1180&gt;=N$19,1,C1180&gt;=N$20,2,C1180&gt;=N$21,3,C1180&gt;=N$22,4,C1180&gt;=N$23,5,C1180&lt;N$23,6)</f>
        <v>:</v>
      </c>
      <c r="F1180" s="30"/>
      <c r="G1180" s="5"/>
      <c r="H1180" s="5"/>
    </row>
    <row r="1181" spans="1:8" ht="12" customHeight="1">
      <c r="A1181" s="17" t="s">
        <v>2709</v>
      </c>
      <c r="B1181" s="80" t="s">
        <v>2710</v>
      </c>
      <c r="C1181" s="82">
        <v>4993</v>
      </c>
      <c r="D1181" s="43"/>
      <c r="E1181" s="29" cm="1">
        <f t="array" ref="E1181">_xlfn.IFS(C1181=":",":",C1181&gt;=N$19,1,C1181&gt;=N$20,2,C1181&gt;=N$21,3,C1181&gt;=N$22,4,C1181&gt;=N$23,5,C1181&lt;N$23,6)</f>
        <v>3</v>
      </c>
      <c r="F1181" s="30"/>
      <c r="G1181" s="5"/>
      <c r="H1181" s="5"/>
    </row>
    <row r="1182" spans="1:8" ht="12" customHeight="1">
      <c r="A1182" s="17" t="s">
        <v>2711</v>
      </c>
      <c r="B1182" s="80" t="s">
        <v>2712</v>
      </c>
      <c r="C1182" s="82">
        <v>9132</v>
      </c>
      <c r="D1182" s="43"/>
      <c r="E1182" s="29" cm="1">
        <f t="array" ref="E1182">_xlfn.IFS(C1182=":",":",C1182&gt;=N$19,1,C1182&gt;=N$20,2,C1182&gt;=N$21,3,C1182&gt;=N$22,4,C1182&gt;=N$23,5,C1182&lt;N$23,6)</f>
        <v>2</v>
      </c>
      <c r="F1182" s="30"/>
      <c r="G1182" s="5"/>
      <c r="H1182" s="5"/>
    </row>
    <row r="1183" spans="1:8" ht="12" customHeight="1">
      <c r="A1183" s="17" t="s">
        <v>2713</v>
      </c>
      <c r="B1183" s="80" t="s">
        <v>2714</v>
      </c>
      <c r="C1183" s="82">
        <v>6864</v>
      </c>
      <c r="D1183" s="43"/>
      <c r="E1183" s="29" cm="1">
        <f t="array" ref="E1183">_xlfn.IFS(C1183=":",":",C1183&gt;=N$19,1,C1183&gt;=N$20,2,C1183&gt;=N$21,3,C1183&gt;=N$22,4,C1183&gt;=N$23,5,C1183&lt;N$23,6)</f>
        <v>3</v>
      </c>
      <c r="F1183" s="30"/>
      <c r="G1183" s="5"/>
      <c r="H1183" s="5"/>
    </row>
    <row r="1184" spans="1:8" ht="12" customHeight="1">
      <c r="A1184" s="17" t="s">
        <v>2847</v>
      </c>
      <c r="B1184" s="80" t="s">
        <v>2848</v>
      </c>
      <c r="C1184" s="82" t="s">
        <v>546</v>
      </c>
      <c r="D1184" s="43"/>
      <c r="E1184" s="29" t="str" cm="1">
        <f t="array" ref="E1184">_xlfn.IFS(C1184=":",":",C1184&gt;=N$19,1,C1184&gt;=N$20,2,C1184&gt;=N$21,3,C1184&gt;=N$22,4,C1184&gt;=N$23,5,C1184&lt;N$23,6)</f>
        <v>:</v>
      </c>
      <c r="F1184" s="30"/>
      <c r="G1184" s="5"/>
      <c r="H1184" s="5"/>
    </row>
    <row r="1185" spans="1:8" ht="12" customHeight="1">
      <c r="A1185" s="17" t="s">
        <v>2715</v>
      </c>
      <c r="B1185" s="80" t="s">
        <v>2716</v>
      </c>
      <c r="C1185" s="82" t="s">
        <v>546</v>
      </c>
      <c r="D1185" s="43"/>
      <c r="E1185" s="29" t="str" cm="1">
        <f t="array" ref="E1185">_xlfn.IFS(C1185=":",":",C1185&gt;=N$19,1,C1185&gt;=N$20,2,C1185&gt;=N$21,3,C1185&gt;=N$22,4,C1185&gt;=N$23,5,C1185&lt;N$23,6)</f>
        <v>:</v>
      </c>
      <c r="F1185" s="30"/>
      <c r="G1185" s="5"/>
      <c r="H1185" s="5"/>
    </row>
    <row r="1186" spans="1:8" ht="12" customHeight="1">
      <c r="A1186" s="16" t="s">
        <v>2717</v>
      </c>
      <c r="B1186" s="11" t="s">
        <v>2718</v>
      </c>
      <c r="C1186" s="82">
        <v>4707</v>
      </c>
      <c r="D1186" s="43"/>
      <c r="E1186" s="29" cm="1">
        <f t="array" ref="E1186">_xlfn.IFS(C1186=":",":",C1186&gt;=N$19,1,C1186&gt;=N$20,2,C1186&gt;=N$21,3,C1186&gt;=N$22,4,C1186&gt;=N$23,5,C1186&lt;N$23,6)</f>
        <v>3</v>
      </c>
      <c r="F1186" s="30"/>
      <c r="G1186" s="5"/>
      <c r="H1186" s="5"/>
    </row>
    <row r="1187" spans="1:8" ht="12" customHeight="1">
      <c r="A1187" s="16" t="s">
        <v>2719</v>
      </c>
      <c r="B1187" s="11" t="s">
        <v>3013</v>
      </c>
      <c r="C1187" s="82">
        <v>23747</v>
      </c>
      <c r="D1187" s="43"/>
      <c r="E1187" s="29" cm="1">
        <f t="array" ref="E1187">_xlfn.IFS(C1187=":",":",C1187&gt;=N$19,1,C1187&gt;=N$20,2,C1187&gt;=N$21,3,C1187&gt;=N$22,4,C1187&gt;=N$23,5,C1187&lt;N$23,6)</f>
        <v>1</v>
      </c>
      <c r="F1187" s="30"/>
      <c r="G1187" s="5"/>
      <c r="H1187" s="5"/>
    </row>
    <row r="1188" spans="1:8" ht="12" customHeight="1">
      <c r="A1188" s="16" t="s">
        <v>2720</v>
      </c>
      <c r="B1188" s="11" t="s">
        <v>2721</v>
      </c>
      <c r="C1188" s="82">
        <v>7777</v>
      </c>
      <c r="D1188" s="43"/>
      <c r="E1188" s="29" cm="1">
        <f t="array" ref="E1188">_xlfn.IFS(C1188=":",":",C1188&gt;=N$19,1,C1188&gt;=N$20,2,C1188&gt;=N$21,3,C1188&gt;=N$22,4,C1188&gt;=N$23,5,C1188&lt;N$23,6)</f>
        <v>2</v>
      </c>
      <c r="F1188" s="30"/>
      <c r="G1188" s="5"/>
      <c r="H1188" s="5"/>
    </row>
    <row r="1189" spans="1:8" ht="12" customHeight="1">
      <c r="A1189" s="16" t="s">
        <v>2722</v>
      </c>
      <c r="B1189" s="11" t="s">
        <v>3014</v>
      </c>
      <c r="C1189" s="82">
        <v>8997</v>
      </c>
      <c r="D1189" s="43"/>
      <c r="E1189" s="29" cm="1">
        <f t="array" ref="E1189">_xlfn.IFS(C1189=":",":",C1189&gt;=N$19,1,C1189&gt;=N$20,2,C1189&gt;=N$21,3,C1189&gt;=N$22,4,C1189&gt;=N$23,5,C1189&lt;N$23,6)</f>
        <v>2</v>
      </c>
      <c r="F1189" s="30"/>
      <c r="G1189" s="5"/>
      <c r="H1189" s="5"/>
    </row>
    <row r="1190" spans="1:8" ht="12" customHeight="1">
      <c r="A1190" s="16" t="s">
        <v>2723</v>
      </c>
      <c r="B1190" s="11" t="s">
        <v>3015</v>
      </c>
      <c r="C1190" s="82">
        <v>2271</v>
      </c>
      <c r="D1190" s="43"/>
      <c r="E1190" s="29" cm="1">
        <f t="array" ref="E1190">_xlfn.IFS(C1190=":",":",C1190&gt;=N$19,1,C1190&gt;=N$20,2,C1190&gt;=N$21,3,C1190&gt;=N$22,4,C1190&gt;=N$23,5,C1190&lt;N$23,6)</f>
        <v>4</v>
      </c>
      <c r="F1190" s="30"/>
      <c r="G1190" s="5"/>
      <c r="H1190" s="5"/>
    </row>
    <row r="1191" spans="1:8" ht="12" customHeight="1">
      <c r="A1191" s="16" t="s">
        <v>2724</v>
      </c>
      <c r="B1191" s="11" t="s">
        <v>2725</v>
      </c>
      <c r="C1191" s="82">
        <v>1984</v>
      </c>
      <c r="D1191" s="43"/>
      <c r="E1191" s="29" cm="1">
        <f t="array" ref="E1191">_xlfn.IFS(C1191=":",":",C1191&gt;=N$19,1,C1191&gt;=N$20,2,C1191&gt;=N$21,3,C1191&gt;=N$22,4,C1191&gt;=N$23,5,C1191&lt;N$23,6)</f>
        <v>5</v>
      </c>
      <c r="F1191" s="30"/>
      <c r="G1191" s="5"/>
      <c r="H1191" s="5"/>
    </row>
    <row r="1192" spans="1:8" ht="12" customHeight="1">
      <c r="A1192" s="16" t="s">
        <v>2726</v>
      </c>
      <c r="B1192" s="11" t="s">
        <v>2727</v>
      </c>
      <c r="C1192" s="82">
        <v>2645</v>
      </c>
      <c r="D1192" s="43"/>
      <c r="E1192" s="29" cm="1">
        <f t="array" ref="E1192">_xlfn.IFS(C1192=":",":",C1192&gt;=N$19,1,C1192&gt;=N$20,2,C1192&gt;=N$21,3,C1192&gt;=N$22,4,C1192&gt;=N$23,5,C1192&lt;N$23,6)</f>
        <v>4</v>
      </c>
      <c r="F1192" s="30"/>
      <c r="G1192" s="5"/>
      <c r="H1192" s="5"/>
    </row>
    <row r="1193" spans="1:8" ht="12" customHeight="1">
      <c r="A1193" s="16" t="s">
        <v>2728</v>
      </c>
      <c r="B1193" s="11" t="s">
        <v>1818</v>
      </c>
      <c r="C1193" s="82">
        <v>3813</v>
      </c>
      <c r="D1193" s="43"/>
      <c r="E1193" s="29" cm="1">
        <f t="array" ref="E1193">_xlfn.IFS(C1193=":",":",C1193&gt;=N$19,1,C1193&gt;=N$20,2,C1193&gt;=N$21,3,C1193&gt;=N$22,4,C1193&gt;=N$23,5,C1193&lt;N$23,6)</f>
        <v>3</v>
      </c>
      <c r="F1193" s="30"/>
      <c r="G1193" s="5"/>
      <c r="H1193" s="5"/>
    </row>
    <row r="1194" spans="1:8" ht="12" customHeight="1">
      <c r="A1194" s="16" t="s">
        <v>2729</v>
      </c>
      <c r="B1194" s="11" t="s">
        <v>2730</v>
      </c>
      <c r="C1194" s="82">
        <v>8124</v>
      </c>
      <c r="D1194" s="43"/>
      <c r="E1194" s="29" cm="1">
        <f t="array" ref="E1194">_xlfn.IFS(C1194=":",":",C1194&gt;=N$19,1,C1194&gt;=N$20,2,C1194&gt;=N$21,3,C1194&gt;=N$22,4,C1194&gt;=N$23,5,C1194&lt;N$23,6)</f>
        <v>2</v>
      </c>
      <c r="F1194" s="30"/>
      <c r="G1194" s="5"/>
      <c r="H1194" s="5"/>
    </row>
    <row r="1195" spans="1:8" ht="12" customHeight="1">
      <c r="A1195" s="16" t="s">
        <v>2731</v>
      </c>
      <c r="B1195" s="11" t="s">
        <v>2732</v>
      </c>
      <c r="C1195" s="82">
        <v>1119</v>
      </c>
      <c r="D1195" s="43"/>
      <c r="E1195" s="29" cm="1">
        <f t="array" ref="E1195">_xlfn.IFS(C1195=":",":",C1195&gt;=N$19,1,C1195&gt;=N$20,2,C1195&gt;=N$21,3,C1195&gt;=N$22,4,C1195&gt;=N$23,5,C1195&lt;N$23,6)</f>
        <v>5</v>
      </c>
      <c r="F1195" s="30"/>
      <c r="G1195" s="5"/>
      <c r="H1195" s="5"/>
    </row>
    <row r="1196" spans="1:8" ht="12" customHeight="1">
      <c r="A1196" s="16" t="s">
        <v>2733</v>
      </c>
      <c r="B1196" s="11" t="s">
        <v>2734</v>
      </c>
      <c r="C1196" s="82">
        <v>1487</v>
      </c>
      <c r="D1196" s="43"/>
      <c r="E1196" s="29" cm="1">
        <f t="array" ref="E1196">_xlfn.IFS(C1196=":",":",C1196&gt;=N$19,1,C1196&gt;=N$20,2,C1196&gt;=N$21,3,C1196&gt;=N$22,4,C1196&gt;=N$23,5,C1196&lt;N$23,6)</f>
        <v>5</v>
      </c>
      <c r="F1196" s="30"/>
      <c r="G1196" s="5"/>
      <c r="H1196" s="5"/>
    </row>
    <row r="1197" spans="1:8" ht="12" customHeight="1">
      <c r="A1197" s="16" t="s">
        <v>2735</v>
      </c>
      <c r="B1197" s="11" t="s">
        <v>467</v>
      </c>
      <c r="C1197" s="82">
        <v>4566</v>
      </c>
      <c r="D1197" s="43"/>
      <c r="E1197" s="29" cm="1">
        <f t="array" ref="E1197">_xlfn.IFS(C1197=":",":",C1197&gt;=N$19,1,C1197&gt;=N$20,2,C1197&gt;=N$21,3,C1197&gt;=N$22,4,C1197&gt;=N$23,5,C1197&lt;N$23,6)</f>
        <v>3</v>
      </c>
      <c r="F1197" s="30"/>
      <c r="G1197" s="5"/>
      <c r="H1197" s="5"/>
    </row>
    <row r="1198" spans="1:8" ht="12" customHeight="1">
      <c r="A1198" s="16" t="s">
        <v>2736</v>
      </c>
      <c r="B1198" s="11" t="s">
        <v>2737</v>
      </c>
      <c r="C1198" s="82">
        <v>7605</v>
      </c>
      <c r="D1198" s="43"/>
      <c r="E1198" s="29" cm="1">
        <f t="array" ref="E1198">_xlfn.IFS(C1198=":",":",C1198&gt;=N$19,1,C1198&gt;=N$20,2,C1198&gt;=N$21,3,C1198&gt;=N$22,4,C1198&gt;=N$23,5,C1198&lt;N$23,6)</f>
        <v>2</v>
      </c>
      <c r="F1198" s="30"/>
      <c r="G1198" s="5"/>
      <c r="H1198" s="5"/>
    </row>
    <row r="1199" spans="1:8" ht="12" customHeight="1">
      <c r="A1199" s="16" t="s">
        <v>2738</v>
      </c>
      <c r="B1199" s="11" t="s">
        <v>2739</v>
      </c>
      <c r="C1199" s="82">
        <v>1956</v>
      </c>
      <c r="D1199" s="43"/>
      <c r="E1199" s="29" cm="1">
        <f t="array" ref="E1199">_xlfn.IFS(C1199=":",":",C1199&gt;=N$19,1,C1199&gt;=N$20,2,C1199&gt;=N$21,3,C1199&gt;=N$22,4,C1199&gt;=N$23,5,C1199&lt;N$23,6)</f>
        <v>5</v>
      </c>
      <c r="F1199" s="30"/>
      <c r="G1199" s="5"/>
      <c r="H1199" s="5"/>
    </row>
    <row r="1200" spans="1:8" ht="12" customHeight="1">
      <c r="A1200" s="16" t="s">
        <v>2740</v>
      </c>
      <c r="B1200" s="11" t="s">
        <v>2741</v>
      </c>
      <c r="C1200" s="82">
        <v>3483</v>
      </c>
      <c r="D1200" s="43"/>
      <c r="E1200" s="29" cm="1">
        <f t="array" ref="E1200">_xlfn.IFS(C1200=":",":",C1200&gt;=N$19,1,C1200&gt;=N$20,2,C1200&gt;=N$21,3,C1200&gt;=N$22,4,C1200&gt;=N$23,5,C1200&lt;N$23,6)</f>
        <v>4</v>
      </c>
      <c r="F1200" s="30"/>
      <c r="G1200" s="5"/>
      <c r="H1200" s="5"/>
    </row>
    <row r="1201" spans="1:8" ht="12" customHeight="1">
      <c r="A1201" s="16" t="s">
        <v>2742</v>
      </c>
      <c r="B1201" s="11" t="s">
        <v>2743</v>
      </c>
      <c r="C1201" s="82">
        <v>18764</v>
      </c>
      <c r="D1201" s="43"/>
      <c r="E1201" s="29" cm="1">
        <f t="array" ref="E1201">_xlfn.IFS(C1201=":",":",C1201&gt;=N$19,1,C1201&gt;=N$20,2,C1201&gt;=N$21,3,C1201&gt;=N$22,4,C1201&gt;=N$23,5,C1201&lt;N$23,6)</f>
        <v>1</v>
      </c>
      <c r="F1201" s="30"/>
      <c r="G1201" s="5"/>
      <c r="H1201" s="5"/>
    </row>
    <row r="1202" spans="1:8" ht="12" customHeight="1">
      <c r="A1202" s="16" t="s">
        <v>2744</v>
      </c>
      <c r="B1202" s="11" t="s">
        <v>2745</v>
      </c>
      <c r="C1202" s="82">
        <v>3148</v>
      </c>
      <c r="D1202" s="43"/>
      <c r="E1202" s="29" cm="1">
        <f t="array" ref="E1202">_xlfn.IFS(C1202=":",":",C1202&gt;=N$19,1,C1202&gt;=N$20,2,C1202&gt;=N$21,3,C1202&gt;=N$22,4,C1202&gt;=N$23,5,C1202&lt;N$23,6)</f>
        <v>4</v>
      </c>
      <c r="F1202" s="30"/>
      <c r="G1202" s="5"/>
      <c r="H1202" s="5"/>
    </row>
    <row r="1203" spans="1:8" ht="12" customHeight="1">
      <c r="A1203" s="16" t="s">
        <v>2746</v>
      </c>
      <c r="B1203" s="11" t="s">
        <v>3016</v>
      </c>
      <c r="C1203" s="82">
        <v>44588</v>
      </c>
      <c r="D1203" s="43"/>
      <c r="E1203" s="29" cm="1">
        <f t="array" ref="E1203">_xlfn.IFS(C1203=":",":",C1203&gt;=N$19,1,C1203&gt;=N$20,2,C1203&gt;=N$21,3,C1203&gt;=N$22,4,C1203&gt;=N$23,5,C1203&lt;N$23,6)</f>
        <v>1</v>
      </c>
      <c r="F1203" s="30"/>
      <c r="G1203" s="5"/>
      <c r="H1203" s="5"/>
    </row>
    <row r="1204" spans="1:8" ht="12" customHeight="1">
      <c r="A1204" s="16" t="s">
        <v>2747</v>
      </c>
      <c r="B1204" s="11" t="s">
        <v>2748</v>
      </c>
      <c r="C1204" s="82">
        <v>2201</v>
      </c>
      <c r="D1204" s="43"/>
      <c r="E1204" s="29" cm="1">
        <f t="array" ref="E1204">_xlfn.IFS(C1204=":",":",C1204&gt;=N$19,1,C1204&gt;=N$20,2,C1204&gt;=N$21,3,C1204&gt;=N$22,4,C1204&gt;=N$23,5,C1204&lt;N$23,6)</f>
        <v>4</v>
      </c>
      <c r="F1204" s="30"/>
      <c r="G1204" s="5"/>
      <c r="H1204" s="5"/>
    </row>
    <row r="1205" spans="1:8" ht="12" customHeight="1">
      <c r="A1205" s="16" t="s">
        <v>2749</v>
      </c>
      <c r="B1205" s="11" t="s">
        <v>2750</v>
      </c>
      <c r="C1205" s="82">
        <v>7347</v>
      </c>
      <c r="D1205" s="43"/>
      <c r="E1205" s="29" cm="1">
        <f t="array" ref="E1205">_xlfn.IFS(C1205=":",":",C1205&gt;=N$19,1,C1205&gt;=N$20,2,C1205&gt;=N$21,3,C1205&gt;=N$22,4,C1205&gt;=N$23,5,C1205&lt;N$23,6)</f>
        <v>3</v>
      </c>
      <c r="F1205" s="30"/>
      <c r="G1205" s="5"/>
      <c r="H1205" s="5"/>
    </row>
    <row r="1206" spans="1:8" ht="12" customHeight="1">
      <c r="A1206" s="16" t="s">
        <v>2751</v>
      </c>
      <c r="B1206" s="11" t="s">
        <v>2752</v>
      </c>
      <c r="C1206" s="82">
        <v>13622</v>
      </c>
      <c r="D1206" s="43"/>
      <c r="E1206" s="29" cm="1">
        <f t="array" ref="E1206">_xlfn.IFS(C1206=":",":",C1206&gt;=N$19,1,C1206&gt;=N$20,2,C1206&gt;=N$21,3,C1206&gt;=N$22,4,C1206&gt;=N$23,5,C1206&lt;N$23,6)</f>
        <v>2</v>
      </c>
      <c r="F1206" s="30"/>
      <c r="G1206" s="5"/>
      <c r="H1206" s="5"/>
    </row>
    <row r="1207" spans="1:8" ht="12" customHeight="1">
      <c r="A1207" s="16" t="s">
        <v>2753</v>
      </c>
      <c r="B1207" s="11" t="s">
        <v>2754</v>
      </c>
      <c r="C1207" s="82">
        <v>5150</v>
      </c>
      <c r="D1207" s="43"/>
      <c r="E1207" s="29" cm="1">
        <f t="array" ref="E1207">_xlfn.IFS(C1207=":",":",C1207&gt;=N$19,1,C1207&gt;=N$20,2,C1207&gt;=N$21,3,C1207&gt;=N$22,4,C1207&gt;=N$23,5,C1207&lt;N$23,6)</f>
        <v>3</v>
      </c>
      <c r="F1207" s="30"/>
      <c r="G1207" s="5"/>
      <c r="H1207" s="5"/>
    </row>
    <row r="1208" spans="1:8" ht="12" customHeight="1">
      <c r="A1208" s="16" t="s">
        <v>2755</v>
      </c>
      <c r="B1208" s="11" t="s">
        <v>2756</v>
      </c>
      <c r="C1208" s="82">
        <v>26165</v>
      </c>
      <c r="D1208" s="43"/>
      <c r="E1208" s="29" cm="1">
        <f t="array" ref="E1208">_xlfn.IFS(C1208=":",":",C1208&gt;=N$19,1,C1208&gt;=N$20,2,C1208&gt;=N$21,3,C1208&gt;=N$22,4,C1208&gt;=N$23,5,C1208&lt;N$23,6)</f>
        <v>1</v>
      </c>
      <c r="F1208" s="30"/>
      <c r="G1208" s="5"/>
      <c r="H1208" s="5"/>
    </row>
    <row r="1209" spans="1:8" ht="12" customHeight="1">
      <c r="A1209" s="16" t="s">
        <v>2757</v>
      </c>
      <c r="B1209" s="11" t="s">
        <v>2758</v>
      </c>
      <c r="C1209" s="82">
        <v>9414</v>
      </c>
      <c r="D1209" s="43"/>
      <c r="E1209" s="29" cm="1">
        <f t="array" ref="E1209">_xlfn.IFS(C1209=":",":",C1209&gt;=N$19,1,C1209&gt;=N$20,2,C1209&gt;=N$21,3,C1209&gt;=N$22,4,C1209&gt;=N$23,5,C1209&lt;N$23,6)</f>
        <v>2</v>
      </c>
      <c r="F1209" s="30"/>
      <c r="G1209" s="5"/>
      <c r="H1209" s="5"/>
    </row>
    <row r="1210" spans="1:8" ht="12" customHeight="1">
      <c r="A1210" s="16" t="s">
        <v>2759</v>
      </c>
      <c r="B1210" s="11" t="s">
        <v>2760</v>
      </c>
      <c r="C1210" s="82">
        <v>2582</v>
      </c>
      <c r="D1210" s="43"/>
      <c r="E1210" s="29" cm="1">
        <f t="array" ref="E1210">_xlfn.IFS(C1210=":",":",C1210&gt;=N$19,1,C1210&gt;=N$20,2,C1210&gt;=N$21,3,C1210&gt;=N$22,4,C1210&gt;=N$23,5,C1210&lt;N$23,6)</f>
        <v>4</v>
      </c>
      <c r="F1210" s="30"/>
      <c r="G1210" s="5"/>
      <c r="H1210" s="5"/>
    </row>
    <row r="1211" spans="1:8" ht="12" customHeight="1">
      <c r="A1211" s="16" t="s">
        <v>2761</v>
      </c>
      <c r="B1211" s="11" t="s">
        <v>473</v>
      </c>
      <c r="C1211" s="82">
        <v>12324</v>
      </c>
      <c r="D1211" s="43"/>
      <c r="E1211" s="29" cm="1">
        <f t="array" ref="E1211">_xlfn.IFS(C1211=":",":",C1211&gt;=N$19,1,C1211&gt;=N$20,2,C1211&gt;=N$21,3,C1211&gt;=N$22,4,C1211&gt;=N$23,5,C1211&lt;N$23,6)</f>
        <v>2</v>
      </c>
      <c r="F1211" s="30"/>
      <c r="G1211" s="5"/>
      <c r="H1211" s="5"/>
    </row>
    <row r="1212" spans="1:8" ht="12" customHeight="1">
      <c r="A1212" s="16" t="s">
        <v>2996</v>
      </c>
      <c r="B1212" s="11" t="s">
        <v>2997</v>
      </c>
      <c r="C1212" s="82" t="s">
        <v>546</v>
      </c>
      <c r="D1212" s="43"/>
      <c r="E1212" s="29" t="str" cm="1">
        <f t="array" ref="E1212">_xlfn.IFS(C1212=":",":",C1212&gt;=N$19,1,C1212&gt;=N$20,2,C1212&gt;=N$21,3,C1212&gt;=N$22,4,C1212&gt;=N$23,5,C1212&lt;N$23,6)</f>
        <v>:</v>
      </c>
      <c r="F1212" s="30"/>
      <c r="G1212" s="5"/>
      <c r="H1212" s="5"/>
    </row>
    <row r="1213" spans="1:8" ht="12" customHeight="1">
      <c r="A1213" s="10" t="s">
        <v>2972</v>
      </c>
      <c r="B1213" s="11" t="s">
        <v>3110</v>
      </c>
      <c r="C1213" s="82">
        <v>8378</v>
      </c>
      <c r="D1213" s="43"/>
      <c r="E1213" s="29" cm="1">
        <f t="array" ref="E1213">_xlfn.IFS(C1213=":",":",C1213&gt;=N$19,1,C1213&gt;=N$20,2,C1213&gt;=N$21,3,C1213&gt;=N$22,4,C1213&gt;=N$23,5,C1213&lt;N$23,6)</f>
        <v>2</v>
      </c>
      <c r="F1213" s="30"/>
      <c r="G1213" s="5"/>
      <c r="H1213" s="5"/>
    </row>
    <row r="1214" spans="1:8" ht="12" customHeight="1">
      <c r="A1214" s="16" t="s">
        <v>2990</v>
      </c>
      <c r="B1214" s="11" t="s">
        <v>2991</v>
      </c>
      <c r="C1214" s="82" t="s">
        <v>546</v>
      </c>
      <c r="D1214" s="43"/>
      <c r="E1214" s="29" t="str" cm="1">
        <f t="array" ref="E1214">_xlfn.IFS(C1214=":",":",C1214&gt;=N$19,1,C1214&gt;=N$20,2,C1214&gt;=N$21,3,C1214&gt;=N$22,4,C1214&gt;=N$23,5,C1214&lt;N$23,6)</f>
        <v>:</v>
      </c>
      <c r="F1214" s="30"/>
      <c r="G1214" s="5"/>
      <c r="H1214" s="5"/>
    </row>
    <row r="1215" spans="1:8" ht="12" customHeight="1">
      <c r="A1215" s="10" t="s">
        <v>2762</v>
      </c>
      <c r="B1215" s="11" t="s">
        <v>2763</v>
      </c>
      <c r="C1215" s="82">
        <v>284</v>
      </c>
      <c r="D1215" s="5"/>
      <c r="E1215" s="29" cm="1">
        <f t="array" ref="E1215">_xlfn.IFS(C1215=":",":",C1215&gt;=N$19,1,C1215&gt;=N$20,2,C1215&gt;=N$21,3,C1215&gt;=N$22,4,C1215&gt;=N$23,5,C1215&lt;N$23,6)</f>
        <v>6</v>
      </c>
      <c r="F1215" s="5"/>
      <c r="G1215" s="5"/>
      <c r="H1215" s="5"/>
    </row>
    <row r="1216" spans="1:8" ht="12" customHeight="1">
      <c r="A1216" s="10" t="s">
        <v>2764</v>
      </c>
      <c r="B1216" s="11" t="s">
        <v>2973</v>
      </c>
      <c r="C1216" s="82">
        <v>481</v>
      </c>
      <c r="D1216" s="5"/>
      <c r="E1216" s="29" cm="1">
        <f t="array" ref="E1216">_xlfn.IFS(C1216=":",":",C1216&gt;=N$19,1,C1216&gt;=N$20,2,C1216&gt;=N$21,3,C1216&gt;=N$22,4,C1216&gt;=N$23,5,C1216&lt;N$23,6)</f>
        <v>6</v>
      </c>
      <c r="F1216" s="5"/>
      <c r="G1216" s="5"/>
      <c r="H1216" s="5"/>
    </row>
    <row r="1217" spans="1:8" ht="12" customHeight="1">
      <c r="A1217" s="16" t="s">
        <v>2765</v>
      </c>
      <c r="B1217" s="11" t="s">
        <v>2766</v>
      </c>
      <c r="C1217" s="82">
        <v>4158</v>
      </c>
      <c r="D1217" s="5"/>
      <c r="E1217" s="29" cm="1">
        <f t="array" ref="E1217">_xlfn.IFS(C1217=":",":",C1217&gt;=N$19,1,C1217&gt;=N$20,2,C1217&gt;=N$21,3,C1217&gt;=N$22,4,C1217&gt;=N$23,5,C1217&lt;N$23,6)</f>
        <v>3</v>
      </c>
      <c r="F1217" s="5"/>
      <c r="G1217" s="5"/>
      <c r="H1217" s="5"/>
    </row>
    <row r="1218" spans="1:8" ht="12" customHeight="1">
      <c r="A1218" s="16" t="s">
        <v>2767</v>
      </c>
      <c r="B1218" s="11" t="s">
        <v>2974</v>
      </c>
      <c r="C1218" s="82">
        <v>809</v>
      </c>
      <c r="D1218" s="5"/>
      <c r="E1218" s="29" cm="1">
        <f t="array" ref="E1218">_xlfn.IFS(C1218=":",":",C1218&gt;=N$19,1,C1218&gt;=N$20,2,C1218&gt;=N$21,3,C1218&gt;=N$22,4,C1218&gt;=N$23,5,C1218&lt;N$23,6)</f>
        <v>6</v>
      </c>
      <c r="F1218" s="5"/>
      <c r="G1218" s="5"/>
      <c r="H1218" s="5"/>
    </row>
    <row r="1219" spans="1:8" ht="12" customHeight="1">
      <c r="A1219" s="16" t="s">
        <v>2768</v>
      </c>
      <c r="B1219" s="11" t="s">
        <v>2769</v>
      </c>
      <c r="C1219" s="82">
        <v>434</v>
      </c>
      <c r="D1219" s="5"/>
      <c r="E1219" s="29" cm="1">
        <f t="array" ref="E1219">_xlfn.IFS(C1219=":",":",C1219&gt;=N$19,1,C1219&gt;=N$20,2,C1219&gt;=N$21,3,C1219&gt;=N$22,4,C1219&gt;=N$23,5,C1219&lt;N$23,6)</f>
        <v>6</v>
      </c>
      <c r="F1219" s="5"/>
      <c r="G1219" s="5"/>
      <c r="H1219" s="5"/>
    </row>
    <row r="1220" spans="1:8" ht="12" customHeight="1">
      <c r="A1220" s="16" t="s">
        <v>2770</v>
      </c>
      <c r="B1220" s="11" t="s">
        <v>2975</v>
      </c>
      <c r="C1220" s="82">
        <v>236</v>
      </c>
      <c r="D1220" s="5"/>
      <c r="E1220" s="29" cm="1">
        <f t="array" ref="E1220">_xlfn.IFS(C1220=":",":",C1220&gt;=N$19,1,C1220&gt;=N$20,2,C1220&gt;=N$21,3,C1220&gt;=N$22,4,C1220&gt;=N$23,5,C1220&lt;N$23,6)</f>
        <v>6</v>
      </c>
      <c r="F1220" s="5"/>
      <c r="G1220" s="5"/>
      <c r="H1220" s="5"/>
    </row>
    <row r="1221" spans="1:8" ht="12" customHeight="1">
      <c r="A1221" s="16" t="s">
        <v>2771</v>
      </c>
      <c r="B1221" s="11" t="s">
        <v>2976</v>
      </c>
      <c r="C1221" s="82">
        <v>356</v>
      </c>
      <c r="D1221" s="5"/>
      <c r="E1221" s="29" cm="1">
        <f t="array" ref="E1221">_xlfn.IFS(C1221=":",":",C1221&gt;=N$19,1,C1221&gt;=N$20,2,C1221&gt;=N$21,3,C1221&gt;=N$22,4,C1221&gt;=N$23,5,C1221&lt;N$23,6)</f>
        <v>6</v>
      </c>
      <c r="F1221" s="5"/>
      <c r="G1221" s="5"/>
      <c r="H1221" s="5"/>
    </row>
    <row r="1222" spans="1:8" ht="12" customHeight="1">
      <c r="A1222" s="16" t="s">
        <v>2772</v>
      </c>
      <c r="B1222" s="11" t="s">
        <v>2773</v>
      </c>
      <c r="C1222" s="82">
        <v>1219</v>
      </c>
      <c r="D1222" s="5"/>
      <c r="E1222" s="29" cm="1">
        <f t="array" ref="E1222">_xlfn.IFS(C1222=":",":",C1222&gt;=N$19,1,C1222&gt;=N$20,2,C1222&gt;=N$21,3,C1222&gt;=N$22,4,C1222&gt;=N$23,5,C1222&lt;N$23,6)</f>
        <v>5</v>
      </c>
      <c r="F1222" s="5"/>
      <c r="G1222" s="5"/>
      <c r="H1222" s="5"/>
    </row>
    <row r="1223" spans="1:8" ht="12" customHeight="1">
      <c r="A1223" s="16" t="s">
        <v>3017</v>
      </c>
      <c r="B1223" s="11" t="s">
        <v>3018</v>
      </c>
      <c r="C1223" s="82" t="s">
        <v>546</v>
      </c>
      <c r="D1223" s="5"/>
      <c r="E1223" s="29" t="str" cm="1">
        <f t="array" ref="E1223">_xlfn.IFS(C1223=":",":",C1223&gt;=N$19,1,C1223&gt;=N$20,2,C1223&gt;=N$21,3,C1223&gt;=N$22,4,C1223&gt;=N$23,5,C1223&lt;N$23,6)</f>
        <v>:</v>
      </c>
      <c r="F1223" s="5"/>
      <c r="G1223" s="5"/>
      <c r="H1223" s="5"/>
    </row>
    <row r="1224" spans="1:8" ht="12" customHeight="1">
      <c r="A1224" s="16" t="s">
        <v>3166</v>
      </c>
      <c r="B1224" s="11" t="s">
        <v>3167</v>
      </c>
      <c r="C1224" s="82">
        <v>280</v>
      </c>
      <c r="D1224" s="5"/>
      <c r="E1224" s="29" cm="1">
        <f t="array" ref="E1224">_xlfn.IFS(C1224=":",":",C1224&gt;=N$19,1,C1224&gt;=N$20,2,C1224&gt;=N$21,3,C1224&gt;=N$22,4,C1224&gt;=N$23,5,C1224&lt;N$23,6)</f>
        <v>6</v>
      </c>
      <c r="F1224" s="5"/>
      <c r="G1224" s="5"/>
      <c r="H1224" s="5"/>
    </row>
    <row r="1225" spans="1:8" ht="12" customHeight="1">
      <c r="A1225" s="16" t="s">
        <v>3168</v>
      </c>
      <c r="B1225" s="11" t="s">
        <v>3169</v>
      </c>
      <c r="C1225" s="82">
        <v>2548</v>
      </c>
      <c r="E1225" s="29" cm="1">
        <f t="array" ref="E1225">_xlfn.IFS(C1225=":",":",C1225&gt;=N$19,1,C1225&gt;=N$20,2,C1225&gt;=N$21,3,C1225&gt;=N$22,4,C1225&gt;=N$23,5,C1225&lt;N$23,6)</f>
        <v>4</v>
      </c>
      <c r="F1225" s="5"/>
      <c r="G1225" s="5"/>
      <c r="H1225" s="5"/>
    </row>
    <row r="1226" spans="1:8" ht="12" customHeight="1">
      <c r="A1226" s="16" t="s">
        <v>3170</v>
      </c>
      <c r="B1226" s="11" t="s">
        <v>3171</v>
      </c>
      <c r="C1226" s="82">
        <v>198</v>
      </c>
      <c r="D1226" s="5"/>
      <c r="E1226" s="29" cm="1">
        <f t="array" ref="E1226">_xlfn.IFS(C1226=":",":",C1226&gt;=N$19,1,C1226&gt;=N$20,2,C1226&gt;=N$21,3,C1226&gt;=N$22,4,C1226&gt;=N$23,5,C1226&lt;N$23,6)</f>
        <v>6</v>
      </c>
      <c r="F1226" s="5"/>
      <c r="G1226" s="5"/>
      <c r="H1226" s="5"/>
    </row>
    <row r="1227" spans="1:8" ht="12" customHeight="1">
      <c r="A1227" s="16" t="s">
        <v>3172</v>
      </c>
      <c r="B1227" s="11" t="s">
        <v>3173</v>
      </c>
      <c r="C1227" s="82">
        <v>3597</v>
      </c>
      <c r="D1227" s="5"/>
      <c r="E1227" s="29" cm="1">
        <f t="array" ref="E1227">_xlfn.IFS(C1227=":",":",C1227&gt;=N$19,1,C1227&gt;=N$20,2,C1227&gt;=N$21,3,C1227&gt;=N$22,4,C1227&gt;=N$23,5,C1227&lt;N$23,6)</f>
        <v>3</v>
      </c>
      <c r="F1227" s="5"/>
      <c r="G1227" s="5"/>
      <c r="H1227" s="5"/>
    </row>
    <row r="1228" spans="1:8" ht="12" customHeight="1">
      <c r="A1228" s="16" t="s">
        <v>3174</v>
      </c>
      <c r="B1228" s="11" t="s">
        <v>3175</v>
      </c>
      <c r="C1228" s="82">
        <v>2265</v>
      </c>
      <c r="D1228" s="5"/>
      <c r="E1228" s="29" cm="1">
        <f t="array" ref="E1228">_xlfn.IFS(C1228=":",":",C1228&gt;=N$19,1,C1228&gt;=N$20,2,C1228&gt;=N$21,3,C1228&gt;=N$22,4,C1228&gt;=N$23,5,C1228&lt;N$23,6)</f>
        <v>4</v>
      </c>
      <c r="F1228" s="5"/>
      <c r="G1228" s="5"/>
      <c r="H1228" s="5"/>
    </row>
    <row r="1229" spans="1:8" ht="12" customHeight="1">
      <c r="A1229" s="16" t="s">
        <v>3176</v>
      </c>
      <c r="B1229" s="11" t="s">
        <v>3177</v>
      </c>
      <c r="C1229" s="82">
        <v>388</v>
      </c>
      <c r="D1229" s="5"/>
      <c r="E1229" s="29" cm="1">
        <f t="array" ref="E1229">_xlfn.IFS(C1229=":",":",C1229&gt;=N$19,1,C1229&gt;=N$20,2,C1229&gt;=N$21,3,C1229&gt;=N$22,4,C1229&gt;=N$23,5,C1229&lt;N$23,6)</f>
        <v>6</v>
      </c>
      <c r="F1229" s="5"/>
      <c r="G1229" s="5"/>
      <c r="H1229" s="5"/>
    </row>
    <row r="1230" spans="1:8" ht="12" customHeight="1">
      <c r="A1230" s="16" t="s">
        <v>3178</v>
      </c>
      <c r="B1230" s="11" t="s">
        <v>3179</v>
      </c>
      <c r="C1230" s="82">
        <v>3338</v>
      </c>
      <c r="D1230" s="5"/>
      <c r="E1230" s="29" cm="1">
        <f t="array" ref="E1230">_xlfn.IFS(C1230=":",":",C1230&gt;=N$19,1,C1230&gt;=N$20,2,C1230&gt;=N$21,3,C1230&gt;=N$22,4,C1230&gt;=N$23,5,C1230&lt;N$23,6)</f>
        <v>4</v>
      </c>
      <c r="F1230" s="5"/>
      <c r="G1230" s="5"/>
      <c r="H1230" s="5"/>
    </row>
    <row r="1231" spans="1:8" ht="12" customHeight="1">
      <c r="A1231" s="16" t="s">
        <v>3180</v>
      </c>
      <c r="B1231" s="11" t="s">
        <v>3181</v>
      </c>
      <c r="C1231" s="82">
        <v>741</v>
      </c>
      <c r="D1231" s="5"/>
      <c r="E1231" s="29" cm="1">
        <f t="array" ref="E1231">_xlfn.IFS(C1231=":",":",C1231&gt;=N$19,1,C1231&gt;=N$20,2,C1231&gt;=N$21,3,C1231&gt;=N$22,4,C1231&gt;=N$23,5,C1231&lt;N$23,6)</f>
        <v>6</v>
      </c>
      <c r="F1231" s="5"/>
      <c r="G1231" s="5"/>
      <c r="H1231" s="5"/>
    </row>
    <row r="1232" spans="1:8" ht="12" customHeight="1">
      <c r="A1232" s="16" t="s">
        <v>3182</v>
      </c>
      <c r="B1232" s="11" t="s">
        <v>3183</v>
      </c>
      <c r="C1232" s="82">
        <v>176</v>
      </c>
      <c r="D1232" s="5"/>
      <c r="E1232" s="29" cm="1">
        <f t="array" ref="E1232">_xlfn.IFS(C1232=":",":",C1232&gt;=N$19,1,C1232&gt;=N$20,2,C1232&gt;=N$21,3,C1232&gt;=N$22,4,C1232&gt;=N$23,5,C1232&lt;N$23,6)</f>
        <v>6</v>
      </c>
      <c r="F1232" s="5"/>
      <c r="G1232" s="5"/>
      <c r="H1232" s="5"/>
    </row>
    <row r="1233" spans="1:8" ht="12" customHeight="1">
      <c r="A1233" s="16" t="s">
        <v>3184</v>
      </c>
      <c r="B1233" s="11" t="s">
        <v>3185</v>
      </c>
      <c r="C1233" s="82">
        <v>2013</v>
      </c>
      <c r="D1233" s="5"/>
      <c r="E1233" s="29" cm="1">
        <f t="array" ref="E1233">_xlfn.IFS(C1233=":",":",C1233&gt;=N$19,1,C1233&gt;=N$20,2,C1233&gt;=N$21,3,C1233&gt;=N$22,4,C1233&gt;=N$23,5,C1233&lt;N$23,6)</f>
        <v>4</v>
      </c>
      <c r="F1233" s="5"/>
      <c r="G1233" s="5"/>
      <c r="H1233" s="5"/>
    </row>
    <row r="1234" spans="1:8" ht="12" customHeight="1">
      <c r="A1234" s="16" t="s">
        <v>3186</v>
      </c>
      <c r="B1234" s="11" t="s">
        <v>3187</v>
      </c>
      <c r="C1234" s="82">
        <v>1304</v>
      </c>
      <c r="D1234" s="5"/>
      <c r="E1234" s="29" cm="1">
        <f t="array" ref="E1234">_xlfn.IFS(C1234=":",":",C1234&gt;=N$19,1,C1234&gt;=N$20,2,C1234&gt;=N$21,3,C1234&gt;=N$22,4,C1234&gt;=N$23,5,C1234&lt;N$23,6)</f>
        <v>5</v>
      </c>
      <c r="F1234" s="5"/>
      <c r="G1234" s="5"/>
      <c r="H1234" s="5"/>
    </row>
    <row r="1235" spans="1:8" ht="12" customHeight="1">
      <c r="A1235" s="16" t="s">
        <v>3188</v>
      </c>
      <c r="B1235" s="11" t="s">
        <v>3189</v>
      </c>
      <c r="C1235" s="82">
        <v>11224</v>
      </c>
      <c r="D1235" s="5"/>
      <c r="E1235" s="29" cm="1">
        <f t="array" ref="E1235">_xlfn.IFS(C1235=":",":",C1235&gt;=N$19,1,C1235&gt;=N$20,2,C1235&gt;=N$21,3,C1235&gt;=N$22,4,C1235&gt;=N$23,5,C1235&lt;N$23,6)</f>
        <v>2</v>
      </c>
      <c r="F1235" s="5"/>
      <c r="G1235" s="5"/>
      <c r="H1235" s="5"/>
    </row>
    <row r="1236" spans="1:8" ht="12" customHeight="1">
      <c r="A1236" s="16" t="s">
        <v>2774</v>
      </c>
      <c r="B1236" s="11" t="s">
        <v>558</v>
      </c>
      <c r="C1236" s="82">
        <v>2204</v>
      </c>
      <c r="D1236" s="5"/>
      <c r="E1236" s="29" cm="1">
        <f t="array" ref="E1236">_xlfn.IFS(C1236=":",":",C1236&gt;=N$19,1,C1236&gt;=N$20,2,C1236&gt;=N$21,3,C1236&gt;=N$22,4,C1236&gt;=N$23,5,C1236&lt;N$23,6)</f>
        <v>4</v>
      </c>
      <c r="F1236" s="5"/>
      <c r="G1236" s="5"/>
      <c r="H1236" s="5"/>
    </row>
    <row r="1237" spans="1:8" ht="12" customHeight="1">
      <c r="A1237" s="16" t="s">
        <v>2775</v>
      </c>
      <c r="B1237" s="11" t="s">
        <v>3191</v>
      </c>
      <c r="C1237" s="82">
        <v>877</v>
      </c>
      <c r="D1237" s="5"/>
      <c r="E1237" s="29" cm="1">
        <f t="array" ref="E1237">_xlfn.IFS(C1237=":",":",C1237&gt;=N$19,1,C1237&gt;=N$20,2,C1237&gt;=N$21,3,C1237&gt;=N$22,4,C1237&gt;=N$23,5,C1237&lt;N$23,6)</f>
        <v>6</v>
      </c>
      <c r="F1237" s="5"/>
      <c r="G1237" s="5"/>
      <c r="H1237" s="5"/>
    </row>
    <row r="1238" spans="1:8" ht="12" customHeight="1">
      <c r="A1238" s="16" t="s">
        <v>2776</v>
      </c>
      <c r="B1238" s="11" t="s">
        <v>2977</v>
      </c>
      <c r="C1238" s="82">
        <v>560</v>
      </c>
      <c r="D1238" s="5"/>
      <c r="E1238" s="29" cm="1">
        <f t="array" ref="E1238">_xlfn.IFS(C1238=":",":",C1238&gt;=N$19,1,C1238&gt;=N$20,2,C1238&gt;=N$21,3,C1238&gt;=N$22,4,C1238&gt;=N$23,5,C1238&lt;N$23,6)</f>
        <v>6</v>
      </c>
      <c r="F1238" s="5"/>
      <c r="G1238" s="5"/>
      <c r="H1238" s="5"/>
    </row>
    <row r="1239" spans="1:8" ht="12" customHeight="1">
      <c r="A1239" s="16" t="s">
        <v>2777</v>
      </c>
      <c r="B1239" s="11" t="s">
        <v>2978</v>
      </c>
      <c r="C1239" s="82">
        <v>1060</v>
      </c>
      <c r="D1239" s="5"/>
      <c r="E1239" s="29" cm="1">
        <f t="array" ref="E1239">_xlfn.IFS(C1239=":",":",C1239&gt;=N$19,1,C1239&gt;=N$20,2,C1239&gt;=N$21,3,C1239&gt;=N$22,4,C1239&gt;=N$23,5,C1239&lt;N$23,6)</f>
        <v>5</v>
      </c>
      <c r="F1239" s="5"/>
      <c r="G1239" s="5"/>
      <c r="H1239" s="5"/>
    </row>
    <row r="1240" spans="1:8" ht="12" customHeight="1">
      <c r="A1240" s="16" t="s">
        <v>2778</v>
      </c>
      <c r="B1240" s="11" t="s">
        <v>2779</v>
      </c>
      <c r="C1240" s="82">
        <v>1674</v>
      </c>
      <c r="D1240" s="5"/>
      <c r="E1240" s="29" cm="1">
        <f t="array" ref="E1240">_xlfn.IFS(C1240=":",":",C1240&gt;=N$19,1,C1240&gt;=N$20,2,C1240&gt;=N$21,3,C1240&gt;=N$22,4,C1240&gt;=N$23,5,C1240&lt;N$23,6)</f>
        <v>5</v>
      </c>
      <c r="F1240" s="5"/>
      <c r="G1240" s="5"/>
      <c r="H1240" s="5"/>
    </row>
    <row r="1241" spans="1:8" ht="12" customHeight="1">
      <c r="A1241" s="16" t="s">
        <v>2780</v>
      </c>
      <c r="B1241" s="11" t="s">
        <v>2979</v>
      </c>
      <c r="C1241" s="82">
        <v>1993</v>
      </c>
      <c r="D1241" s="43"/>
      <c r="E1241" s="29" cm="1">
        <f t="array" ref="E1241">_xlfn.IFS(C1241=":",":",C1241&gt;=N$19,1,C1241&gt;=N$20,2,C1241&gt;=N$21,3,C1241&gt;=N$22,4,C1241&gt;=N$23,5,C1241&lt;N$23,6)</f>
        <v>5</v>
      </c>
      <c r="F1241" s="30"/>
      <c r="G1241" s="5"/>
      <c r="H1241" s="5"/>
    </row>
    <row r="1242" spans="1:8" ht="12" customHeight="1">
      <c r="A1242" s="16" t="s">
        <v>2781</v>
      </c>
      <c r="B1242" s="11" t="s">
        <v>2782</v>
      </c>
      <c r="C1242" s="82">
        <v>550</v>
      </c>
      <c r="D1242" s="43"/>
      <c r="E1242" s="29" cm="1">
        <f t="array" ref="E1242">_xlfn.IFS(C1242=":",":",C1242&gt;=N$19,1,C1242&gt;=N$20,2,C1242&gt;=N$21,3,C1242&gt;=N$22,4,C1242&gt;=N$23,5,C1242&lt;N$23,6)</f>
        <v>6</v>
      </c>
      <c r="F1242" s="30"/>
      <c r="G1242" s="5"/>
      <c r="H1242" s="5"/>
    </row>
    <row r="1243" spans="1:8" ht="12" customHeight="1">
      <c r="A1243" s="16" t="s">
        <v>2783</v>
      </c>
      <c r="B1243" s="11" t="s">
        <v>2784</v>
      </c>
      <c r="C1243" s="82">
        <v>1318</v>
      </c>
      <c r="D1243" s="43"/>
      <c r="E1243" s="29" cm="1">
        <f t="array" ref="E1243">_xlfn.IFS(C1243=":",":",C1243&gt;=N$19,1,C1243&gt;=N$20,2,C1243&gt;=N$21,3,C1243&gt;=N$22,4,C1243&gt;=N$23,5,C1243&lt;N$23,6)</f>
        <v>5</v>
      </c>
      <c r="F1243" s="30"/>
      <c r="G1243" s="5"/>
      <c r="H1243" s="5"/>
    </row>
    <row r="1244" spans="1:8" ht="12" customHeight="1">
      <c r="A1244" s="16" t="s">
        <v>2785</v>
      </c>
      <c r="B1244" s="11" t="s">
        <v>2786</v>
      </c>
      <c r="C1244" s="82">
        <v>6851</v>
      </c>
      <c r="D1244" s="43"/>
      <c r="E1244" s="29" cm="1">
        <f t="array" ref="E1244">_xlfn.IFS(C1244=":",":",C1244&gt;=N$19,1,C1244&gt;=N$20,2,C1244&gt;=N$21,3,C1244&gt;=N$22,4,C1244&gt;=N$23,5,C1244&lt;N$23,6)</f>
        <v>3</v>
      </c>
      <c r="F1244" s="30"/>
      <c r="G1244" s="5"/>
      <c r="H1244" s="5"/>
    </row>
    <row r="1245" spans="1:8" ht="12" customHeight="1">
      <c r="A1245" s="16" t="s">
        <v>2787</v>
      </c>
      <c r="B1245" s="11" t="s">
        <v>2788</v>
      </c>
      <c r="C1245" s="82">
        <v>1954</v>
      </c>
      <c r="D1245" s="43"/>
      <c r="E1245" s="29" cm="1">
        <f t="array" ref="E1245">_xlfn.IFS(C1245=":",":",C1245&gt;=N$19,1,C1245&gt;=N$20,2,C1245&gt;=N$21,3,C1245&gt;=N$22,4,C1245&gt;=N$23,5,C1245&lt;N$23,6)</f>
        <v>5</v>
      </c>
      <c r="F1245" s="30"/>
      <c r="G1245" s="5"/>
      <c r="H1245" s="5"/>
    </row>
    <row r="1246" spans="1:8" ht="12" customHeight="1">
      <c r="A1246" s="16" t="s">
        <v>2789</v>
      </c>
      <c r="B1246" s="11" t="s">
        <v>2980</v>
      </c>
      <c r="C1246" s="82">
        <v>1475</v>
      </c>
      <c r="D1246" s="43"/>
      <c r="E1246" s="29" cm="1">
        <f t="array" ref="E1246">_xlfn.IFS(C1246=":",":",C1246&gt;=N$19,1,C1246&gt;=N$20,2,C1246&gt;=N$21,3,C1246&gt;=N$22,4,C1246&gt;=N$23,5,C1246&lt;N$23,6)</f>
        <v>5</v>
      </c>
      <c r="F1246" s="30"/>
      <c r="G1246" s="5"/>
      <c r="H1246" s="5"/>
    </row>
    <row r="1247" spans="1:8" ht="12" customHeight="1">
      <c r="A1247" s="16" t="s">
        <v>2790</v>
      </c>
      <c r="B1247" s="11" t="s">
        <v>2981</v>
      </c>
      <c r="C1247" s="82">
        <v>1533</v>
      </c>
      <c r="D1247" s="43"/>
      <c r="E1247" s="29" cm="1">
        <f t="array" ref="E1247">_xlfn.IFS(C1247=":",":",C1247&gt;=N$19,1,C1247&gt;=N$20,2,C1247&gt;=N$21,3,C1247&gt;=N$22,4,C1247&gt;=N$23,5,C1247&lt;N$23,6)</f>
        <v>5</v>
      </c>
      <c r="F1247" s="30"/>
      <c r="G1247" s="5"/>
      <c r="H1247" s="5"/>
    </row>
    <row r="1248" spans="1:8" ht="12" customHeight="1">
      <c r="A1248" s="16" t="s">
        <v>2791</v>
      </c>
      <c r="B1248" s="11" t="s">
        <v>2792</v>
      </c>
      <c r="C1248" s="82">
        <v>678</v>
      </c>
      <c r="D1248" s="43"/>
      <c r="E1248" s="29" cm="1">
        <f t="array" ref="E1248">_xlfn.IFS(C1248=":",":",C1248&gt;=N$19,1,C1248&gt;=N$20,2,C1248&gt;=N$21,3,C1248&gt;=N$22,4,C1248&gt;=N$23,5,C1248&lt;N$23,6)</f>
        <v>6</v>
      </c>
      <c r="F1248" s="30"/>
      <c r="G1248" s="5"/>
      <c r="H1248" s="5"/>
    </row>
    <row r="1249" spans="1:6" ht="12" customHeight="1">
      <c r="A1249" s="16" t="s">
        <v>2793</v>
      </c>
      <c r="B1249" s="11" t="s">
        <v>2794</v>
      </c>
      <c r="C1249" s="82">
        <v>1060</v>
      </c>
      <c r="E1249" s="29" cm="1">
        <f t="array" ref="E1249">_xlfn.IFS(C1249=":",":",C1249&gt;=N$19,1,C1249&gt;=N$20,2,C1249&gt;=N$21,3,C1249&gt;=N$22,4,C1249&gt;=N$23,5,C1249&lt;N$23,6)</f>
        <v>5</v>
      </c>
    </row>
    <row r="1250" spans="1:6" ht="12" customHeight="1">
      <c r="A1250" s="16" t="s">
        <v>2795</v>
      </c>
      <c r="B1250" s="11" t="s">
        <v>2982</v>
      </c>
      <c r="C1250" s="82">
        <v>4511</v>
      </c>
      <c r="E1250" s="29" cm="1">
        <f t="array" ref="E1250">_xlfn.IFS(C1250=":",":",C1250&gt;=N$19,1,C1250&gt;=N$20,2,C1250&gt;=N$21,3,C1250&gt;=N$22,4,C1250&gt;=N$23,5,C1250&lt;N$23,6)</f>
        <v>3</v>
      </c>
    </row>
    <row r="1251" spans="1:6" ht="12" customHeight="1">
      <c r="A1251" s="16" t="s">
        <v>2796</v>
      </c>
      <c r="B1251" s="11" t="s">
        <v>2983</v>
      </c>
      <c r="C1251" s="82">
        <v>1127</v>
      </c>
      <c r="E1251" s="29" cm="1">
        <f t="array" ref="E1251">_xlfn.IFS(C1251=":",":",C1251&gt;=N$19,1,C1251&gt;=N$20,2,C1251&gt;=N$21,3,C1251&gt;=N$22,4,C1251&gt;=N$23,5,C1251&lt;N$23,6)</f>
        <v>5</v>
      </c>
      <c r="F1251" s="59"/>
    </row>
    <row r="1252" spans="1:6" ht="12" customHeight="1">
      <c r="A1252" s="16" t="s">
        <v>2797</v>
      </c>
      <c r="B1252" s="11" t="s">
        <v>2798</v>
      </c>
      <c r="C1252" s="82">
        <v>2028</v>
      </c>
      <c r="E1252" s="29" cm="1">
        <f t="array" ref="E1252">_xlfn.IFS(C1252=":",":",C1252&gt;=N$19,1,C1252&gt;=N$20,2,C1252&gt;=N$21,3,C1252&gt;=N$22,4,C1252&gt;=N$23,5,C1252&lt;N$23,6)</f>
        <v>4</v>
      </c>
    </row>
    <row r="1253" spans="1:6" ht="12" customHeight="1">
      <c r="A1253" s="16" t="s">
        <v>2799</v>
      </c>
      <c r="B1253" s="11" t="s">
        <v>2984</v>
      </c>
      <c r="C1253" s="82">
        <v>1387</v>
      </c>
      <c r="E1253" s="29" cm="1">
        <f t="array" ref="E1253">_xlfn.IFS(C1253=":",":",C1253&gt;=N$19,1,C1253&gt;=N$20,2,C1253&gt;=N$21,3,C1253&gt;=N$22,4,C1253&gt;=N$23,5,C1253&lt;N$23,6)</f>
        <v>5</v>
      </c>
    </row>
    <row r="1254" spans="1:6" ht="12" customHeight="1">
      <c r="A1254" s="16" t="s">
        <v>2800</v>
      </c>
      <c r="B1254" s="11" t="s">
        <v>2985</v>
      </c>
      <c r="C1254" s="82">
        <v>6353</v>
      </c>
      <c r="E1254" s="29" cm="1">
        <f t="array" ref="E1254">_xlfn.IFS(C1254=":",":",C1254&gt;=N$19,1,C1254&gt;=N$20,2,C1254&gt;=N$21,3,C1254&gt;=N$22,4,C1254&gt;=N$23,5,C1254&lt;N$23,6)</f>
        <v>3</v>
      </c>
    </row>
    <row r="1255" spans="1:6" ht="12" customHeight="1">
      <c r="A1255" s="16" t="s">
        <v>2801</v>
      </c>
      <c r="B1255" s="11" t="s">
        <v>2986</v>
      </c>
      <c r="C1255" s="82">
        <v>737</v>
      </c>
      <c r="E1255" s="29" cm="1">
        <f t="array" ref="E1255">_xlfn.IFS(C1255=":",":",C1255&gt;=N$19,1,C1255&gt;=N$20,2,C1255&gt;=N$21,3,C1255&gt;=N$22,4,C1255&gt;=N$23,5,C1255&lt;N$23,6)</f>
        <v>6</v>
      </c>
    </row>
    <row r="1256" spans="1:6" ht="12" customHeight="1">
      <c r="A1256" s="16" t="s">
        <v>2802</v>
      </c>
      <c r="B1256" s="11" t="s">
        <v>2987</v>
      </c>
      <c r="C1256" s="82">
        <v>1042</v>
      </c>
      <c r="E1256" s="29" cm="1">
        <f t="array" ref="E1256">_xlfn.IFS(C1256=":",":",C1256&gt;=N$19,1,C1256&gt;=N$20,2,C1256&gt;=N$21,3,C1256&gt;=N$22,4,C1256&gt;=N$23,5,C1256&lt;N$23,6)</f>
        <v>5</v>
      </c>
    </row>
    <row r="1257" spans="1:6" ht="12" customHeight="1">
      <c r="A1257" s="16" t="s">
        <v>2803</v>
      </c>
      <c r="B1257" s="11" t="s">
        <v>2804</v>
      </c>
      <c r="C1257" s="82">
        <v>1254</v>
      </c>
      <c r="E1257" s="29" cm="1">
        <f t="array" ref="E1257">_xlfn.IFS(C1257=":",":",C1257&gt;=N$19,1,C1257&gt;=N$20,2,C1257&gt;=N$21,3,C1257&gt;=N$22,4,C1257&gt;=N$23,5,C1257&lt;N$23,6)</f>
        <v>5</v>
      </c>
    </row>
    <row r="1258" spans="1:6" ht="12" customHeight="1">
      <c r="A1258" s="16" t="s">
        <v>2805</v>
      </c>
      <c r="B1258" s="11" t="s">
        <v>2806</v>
      </c>
      <c r="C1258" s="82">
        <v>327</v>
      </c>
      <c r="E1258" s="29" cm="1">
        <f t="array" ref="E1258">_xlfn.IFS(C1258=":",":",C1258&gt;=N$19,1,C1258&gt;=N$20,2,C1258&gt;=N$21,3,C1258&gt;=N$22,4,C1258&gt;=N$23,5,C1258&lt;N$23,6)</f>
        <v>6</v>
      </c>
    </row>
    <row r="1259" spans="1:6" ht="12" customHeight="1">
      <c r="A1259" s="16" t="s">
        <v>2807</v>
      </c>
      <c r="B1259" s="11" t="s">
        <v>2988</v>
      </c>
      <c r="C1259" s="82">
        <v>786</v>
      </c>
      <c r="E1259" s="29" cm="1">
        <f t="array" ref="E1259">_xlfn.IFS(C1259=":",":",C1259&gt;=N$19,1,C1259&gt;=N$20,2,C1259&gt;=N$21,3,C1259&gt;=N$22,4,C1259&gt;=N$23,5,C1259&lt;N$23,6)</f>
        <v>6</v>
      </c>
    </row>
    <row r="1260" spans="1:6" ht="12" customHeight="1">
      <c r="A1260" s="16" t="s">
        <v>2808</v>
      </c>
      <c r="B1260" s="11" t="s">
        <v>2989</v>
      </c>
      <c r="C1260" s="82">
        <v>3477</v>
      </c>
      <c r="E1260" s="29" cm="1">
        <f t="array" ref="E1260">_xlfn.IFS(C1260=":",":",C1260&gt;=N$19,1,C1260&gt;=N$20,2,C1260&gt;=N$21,3,C1260&gt;=N$22,4,C1260&gt;=N$23,5,C1260&lt;N$23,6)</f>
        <v>4</v>
      </c>
    </row>
    <row r="1261" spans="1:6" ht="12" customHeight="1">
      <c r="A1261" s="16" t="s">
        <v>479</v>
      </c>
      <c r="B1261" s="11" t="s">
        <v>562</v>
      </c>
      <c r="C1261" s="82">
        <v>1726</v>
      </c>
      <c r="D1261" s="28" t="s">
        <v>3215</v>
      </c>
      <c r="E1261" s="29" cm="1">
        <f t="array" ref="E1261">_xlfn.IFS(C1261=":",":",C1261&gt;=N$19,1,C1261&gt;=N$20,2,C1261&gt;=N$21,3,C1261&gt;=N$22,4,C1261&gt;=N$23,5,C1261&lt;N$23,6)</f>
        <v>5</v>
      </c>
      <c r="F1261" s="59">
        <v>2021</v>
      </c>
    </row>
    <row r="1262" spans="1:6" ht="12" customHeight="1">
      <c r="A1262" s="16" t="s">
        <v>480</v>
      </c>
      <c r="B1262" s="11" t="s">
        <v>563</v>
      </c>
      <c r="C1262" s="82">
        <v>1035</v>
      </c>
      <c r="D1262" s="28" t="s">
        <v>3215</v>
      </c>
      <c r="E1262" s="29" cm="1">
        <f t="array" ref="E1262">_xlfn.IFS(C1262=":",":",C1262&gt;=N$19,1,C1262&gt;=N$20,2,C1262&gt;=N$21,3,C1262&gt;=N$22,4,C1262&gt;=N$23,5,C1262&lt;N$23,6)</f>
        <v>5</v>
      </c>
      <c r="F1262" s="59">
        <v>2021</v>
      </c>
    </row>
    <row r="1263" spans="1:6" ht="12" customHeight="1">
      <c r="A1263" s="16" t="s">
        <v>481</v>
      </c>
      <c r="B1263" s="11" t="s">
        <v>564</v>
      </c>
      <c r="C1263" s="82">
        <v>2522</v>
      </c>
      <c r="D1263" s="28" t="s">
        <v>3215</v>
      </c>
      <c r="E1263" s="29" cm="1">
        <f t="array" ref="E1263">_xlfn.IFS(C1263=":",":",C1263&gt;=N$19,1,C1263&gt;=N$20,2,C1263&gt;=N$21,3,C1263&gt;=N$22,4,C1263&gt;=N$23,5,C1263&lt;N$23,6)</f>
        <v>4</v>
      </c>
      <c r="F1263" s="59">
        <v>2021</v>
      </c>
    </row>
    <row r="1264" spans="1:6" ht="12" customHeight="1">
      <c r="A1264" s="16" t="s">
        <v>482</v>
      </c>
      <c r="B1264" s="11" t="s">
        <v>565</v>
      </c>
      <c r="C1264" s="82">
        <v>1375</v>
      </c>
      <c r="D1264" s="28" t="s">
        <v>3215</v>
      </c>
      <c r="E1264" s="29" cm="1">
        <f t="array" ref="E1264">_xlfn.IFS(C1264=":",":",C1264&gt;=N$19,1,C1264&gt;=N$20,2,C1264&gt;=N$21,3,C1264&gt;=N$22,4,C1264&gt;=N$23,5,C1264&lt;N$23,6)</f>
        <v>5</v>
      </c>
      <c r="F1264" s="59">
        <v>2021</v>
      </c>
    </row>
    <row r="1265" spans="1:6" ht="12" customHeight="1">
      <c r="A1265" s="16" t="s">
        <v>483</v>
      </c>
      <c r="B1265" s="11" t="s">
        <v>566</v>
      </c>
      <c r="C1265" s="82">
        <v>5450</v>
      </c>
      <c r="D1265" s="28" t="s">
        <v>3215</v>
      </c>
      <c r="E1265" s="29" cm="1">
        <f t="array" ref="E1265">_xlfn.IFS(C1265=":",":",C1265&gt;=N$19,1,C1265&gt;=N$20,2,C1265&gt;=N$21,3,C1265&gt;=N$22,4,C1265&gt;=N$23,5,C1265&lt;N$23,6)</f>
        <v>3</v>
      </c>
      <c r="F1265" s="59">
        <v>2021</v>
      </c>
    </row>
    <row r="1266" spans="1:6" ht="12" customHeight="1">
      <c r="A1266" s="16" t="s">
        <v>484</v>
      </c>
      <c r="B1266" s="11" t="s">
        <v>567</v>
      </c>
      <c r="C1266" s="82">
        <v>1202</v>
      </c>
      <c r="D1266" s="28" t="s">
        <v>3215</v>
      </c>
      <c r="E1266" s="29" cm="1">
        <f t="array" ref="E1266">_xlfn.IFS(C1266=":",":",C1266&gt;=N$19,1,C1266&gt;=N$20,2,C1266&gt;=N$21,3,C1266&gt;=N$22,4,C1266&gt;=N$23,5,C1266&lt;N$23,6)</f>
        <v>5</v>
      </c>
      <c r="F1266" s="59">
        <v>2021</v>
      </c>
    </row>
    <row r="1267" spans="1:6" ht="12" customHeight="1">
      <c r="A1267" s="16" t="s">
        <v>485</v>
      </c>
      <c r="B1267" s="11" t="s">
        <v>568</v>
      </c>
      <c r="C1267" s="82">
        <v>878</v>
      </c>
      <c r="D1267" s="28" t="s">
        <v>3215</v>
      </c>
      <c r="E1267" s="29" cm="1">
        <f t="array" ref="E1267">_xlfn.IFS(C1267=":",":",C1267&gt;=N$19,1,C1267&gt;=N$20,2,C1267&gt;=N$21,3,C1267&gt;=N$22,4,C1267&gt;=N$23,5,C1267&lt;N$23,6)</f>
        <v>6</v>
      </c>
      <c r="F1267" s="59">
        <v>2021</v>
      </c>
    </row>
    <row r="1268" spans="1:6" ht="12" customHeight="1">
      <c r="A1268" s="16" t="s">
        <v>486</v>
      </c>
      <c r="B1268" s="11" t="s">
        <v>487</v>
      </c>
      <c r="C1268" s="82">
        <v>1158</v>
      </c>
      <c r="D1268" s="28" t="s">
        <v>3215</v>
      </c>
      <c r="E1268" s="29" cm="1">
        <f t="array" ref="E1268">_xlfn.IFS(C1268=":",":",C1268&gt;=N$19,1,C1268&gt;=N$20,2,C1268&gt;=N$21,3,C1268&gt;=N$22,4,C1268&gt;=N$23,5,C1268&lt;N$23,6)</f>
        <v>5</v>
      </c>
      <c r="F1268" s="59">
        <v>2021</v>
      </c>
    </row>
    <row r="1269" spans="1:6" ht="12" customHeight="1">
      <c r="A1269" s="16" t="s">
        <v>488</v>
      </c>
      <c r="B1269" s="11" t="s">
        <v>489</v>
      </c>
      <c r="C1269" s="82">
        <v>723</v>
      </c>
      <c r="D1269" s="28" t="s">
        <v>3215</v>
      </c>
      <c r="E1269" s="29" cm="1">
        <f t="array" ref="E1269">_xlfn.IFS(C1269=":",":",C1269&gt;=N$19,1,C1269&gt;=N$20,2,C1269&gt;=N$21,3,C1269&gt;=N$22,4,C1269&gt;=N$23,5,C1269&lt;N$23,6)</f>
        <v>6</v>
      </c>
      <c r="F1269" s="59">
        <v>2021</v>
      </c>
    </row>
    <row r="1270" spans="1:6" ht="12" customHeight="1">
      <c r="A1270" s="16" t="s">
        <v>490</v>
      </c>
      <c r="B1270" s="11" t="s">
        <v>491</v>
      </c>
      <c r="C1270" s="82">
        <v>689</v>
      </c>
      <c r="D1270" s="28" t="s">
        <v>3215</v>
      </c>
      <c r="E1270" s="29" cm="1">
        <f t="array" ref="E1270">_xlfn.IFS(C1270=":",":",C1270&gt;=N$19,1,C1270&gt;=N$20,2,C1270&gt;=N$21,3,C1270&gt;=N$22,4,C1270&gt;=N$23,5,C1270&lt;N$23,6)</f>
        <v>6</v>
      </c>
      <c r="F1270" s="59">
        <v>2021</v>
      </c>
    </row>
    <row r="1271" spans="1:6" ht="12" customHeight="1">
      <c r="A1271" s="16" t="s">
        <v>492</v>
      </c>
      <c r="B1271" s="11" t="s">
        <v>493</v>
      </c>
      <c r="C1271" s="82">
        <v>22725</v>
      </c>
      <c r="D1271" s="28" t="s">
        <v>3215</v>
      </c>
      <c r="E1271" s="29" cm="1">
        <f t="array" ref="E1271">_xlfn.IFS(C1271=":",":",C1271&gt;=N$19,1,C1271&gt;=N$20,2,C1271&gt;=N$21,3,C1271&gt;=N$22,4,C1271&gt;=N$23,5,C1271&lt;N$23,6)</f>
        <v>1</v>
      </c>
      <c r="F1271" s="59">
        <v>2021</v>
      </c>
    </row>
    <row r="1272" spans="1:6" ht="12" customHeight="1">
      <c r="A1272" s="16" t="s">
        <v>494</v>
      </c>
      <c r="B1272" s="11" t="s">
        <v>495</v>
      </c>
      <c r="C1272" s="82">
        <v>1112</v>
      </c>
      <c r="D1272" s="28" t="s">
        <v>3215</v>
      </c>
      <c r="E1272" s="29" cm="1">
        <f t="array" ref="E1272">_xlfn.IFS(C1272=":",":",C1272&gt;=N$19,1,C1272&gt;=N$20,2,C1272&gt;=N$21,3,C1272&gt;=N$22,4,C1272&gt;=N$23,5,C1272&lt;N$23,6)</f>
        <v>5</v>
      </c>
      <c r="F1272" s="59">
        <v>2021</v>
      </c>
    </row>
    <row r="1273" spans="1:6" ht="12" customHeight="1">
      <c r="A1273" s="16" t="s">
        <v>496</v>
      </c>
      <c r="B1273" s="11" t="s">
        <v>569</v>
      </c>
      <c r="C1273" s="82">
        <v>593</v>
      </c>
      <c r="D1273" s="28" t="s">
        <v>3215</v>
      </c>
      <c r="E1273" s="29" cm="1">
        <f t="array" ref="E1273">_xlfn.IFS(C1273=":",":",C1273&gt;=N$19,1,C1273&gt;=N$20,2,C1273&gt;=N$21,3,C1273&gt;=N$22,4,C1273&gt;=N$23,5,C1273&lt;N$23,6)</f>
        <v>6</v>
      </c>
      <c r="F1273" s="59">
        <v>2021</v>
      </c>
    </row>
    <row r="1274" spans="1:6" ht="12" customHeight="1">
      <c r="A1274" s="16" t="s">
        <v>497</v>
      </c>
      <c r="B1274" s="11" t="s">
        <v>570</v>
      </c>
      <c r="C1274" s="82">
        <v>2206</v>
      </c>
      <c r="D1274" s="28" t="s">
        <v>3215</v>
      </c>
      <c r="E1274" s="29" cm="1">
        <f t="array" ref="E1274">_xlfn.IFS(C1274=":",":",C1274&gt;=N$19,1,C1274&gt;=N$20,2,C1274&gt;=N$21,3,C1274&gt;=N$22,4,C1274&gt;=N$23,5,C1274&lt;N$23,6)</f>
        <v>4</v>
      </c>
      <c r="F1274" s="59">
        <v>2021</v>
      </c>
    </row>
    <row r="1275" spans="1:6" ht="12" customHeight="1">
      <c r="A1275" s="16" t="s">
        <v>498</v>
      </c>
      <c r="B1275" s="11" t="s">
        <v>499</v>
      </c>
      <c r="C1275" s="82">
        <v>687</v>
      </c>
      <c r="D1275" s="28" t="s">
        <v>3215</v>
      </c>
      <c r="E1275" s="29" cm="1">
        <f t="array" ref="E1275">_xlfn.IFS(C1275=":",":",C1275&gt;=N$19,1,C1275&gt;=N$20,2,C1275&gt;=N$21,3,C1275&gt;=N$22,4,C1275&gt;=N$23,5,C1275&lt;N$23,6)</f>
        <v>6</v>
      </c>
      <c r="F1275" s="59">
        <v>2021</v>
      </c>
    </row>
    <row r="1276" spans="1:6" ht="12" customHeight="1">
      <c r="A1276" s="16" t="s">
        <v>500</v>
      </c>
      <c r="B1276" s="11" t="s">
        <v>571</v>
      </c>
      <c r="C1276" s="82">
        <v>1047</v>
      </c>
      <c r="D1276" s="28" t="s">
        <v>3215</v>
      </c>
      <c r="E1276" s="29" cm="1">
        <f t="array" ref="E1276">_xlfn.IFS(C1276=":",":",C1276&gt;=N$19,1,C1276&gt;=N$20,2,C1276&gt;=N$21,3,C1276&gt;=N$22,4,C1276&gt;=N$23,5,C1276&lt;N$23,6)</f>
        <v>5</v>
      </c>
      <c r="F1276" s="59">
        <v>2021</v>
      </c>
    </row>
    <row r="1277" spans="1:6" ht="12" customHeight="1">
      <c r="A1277" s="16" t="s">
        <v>501</v>
      </c>
      <c r="B1277" s="11" t="s">
        <v>572</v>
      </c>
      <c r="C1277" s="82">
        <v>1183</v>
      </c>
      <c r="D1277" s="28" t="s">
        <v>3215</v>
      </c>
      <c r="E1277" s="29" cm="1">
        <f t="array" ref="E1277">_xlfn.IFS(C1277=":",":",C1277&gt;=N$19,1,C1277&gt;=N$20,2,C1277&gt;=N$21,3,C1277&gt;=N$22,4,C1277&gt;=N$23,5,C1277&lt;N$23,6)</f>
        <v>5</v>
      </c>
      <c r="F1277" s="59">
        <v>2021</v>
      </c>
    </row>
    <row r="1278" spans="1:6" ht="12" customHeight="1">
      <c r="A1278" s="16" t="s">
        <v>502</v>
      </c>
      <c r="B1278" s="11" t="s">
        <v>503</v>
      </c>
      <c r="C1278" s="82">
        <v>563</v>
      </c>
      <c r="D1278" s="28" t="s">
        <v>3215</v>
      </c>
      <c r="E1278" s="29" cm="1">
        <f t="array" ref="E1278">_xlfn.IFS(C1278=":",":",C1278&gt;=N$19,1,C1278&gt;=N$20,2,C1278&gt;=N$21,3,C1278&gt;=N$22,4,C1278&gt;=N$23,5,C1278&lt;N$23,6)</f>
        <v>6</v>
      </c>
      <c r="F1278" s="59">
        <v>2021</v>
      </c>
    </row>
    <row r="1279" spans="1:6" ht="12" customHeight="1">
      <c r="A1279" s="16" t="s">
        <v>504</v>
      </c>
      <c r="B1279" s="11" t="s">
        <v>573</v>
      </c>
      <c r="C1279" s="82">
        <v>1149</v>
      </c>
      <c r="D1279" s="28" t="s">
        <v>3215</v>
      </c>
      <c r="E1279" s="29" cm="1">
        <f t="array" ref="E1279">_xlfn.IFS(C1279=":",":",C1279&gt;=N$19,1,C1279&gt;=N$20,2,C1279&gt;=N$21,3,C1279&gt;=N$22,4,C1279&gt;=N$23,5,C1279&lt;N$23,6)</f>
        <v>5</v>
      </c>
      <c r="F1279" s="59">
        <v>2021</v>
      </c>
    </row>
    <row r="1280" spans="1:6" ht="12" customHeight="1">
      <c r="A1280" s="16" t="s">
        <v>505</v>
      </c>
      <c r="B1280" s="11" t="s">
        <v>506</v>
      </c>
      <c r="C1280" s="82">
        <v>1186</v>
      </c>
      <c r="D1280" s="28" t="s">
        <v>3215</v>
      </c>
      <c r="E1280" s="29" cm="1">
        <f t="array" ref="E1280">_xlfn.IFS(C1280=":",":",C1280&gt;=N$19,1,C1280&gt;=N$20,2,C1280&gt;=N$21,3,C1280&gt;=N$22,4,C1280&gt;=N$23,5,C1280&lt;N$23,6)</f>
        <v>5</v>
      </c>
      <c r="F1280" s="59">
        <v>2021</v>
      </c>
    </row>
    <row r="1281" spans="1:6" ht="12" customHeight="1">
      <c r="A1281" s="16" t="s">
        <v>507</v>
      </c>
      <c r="B1281" s="11" t="s">
        <v>574</v>
      </c>
      <c r="C1281" s="82">
        <v>716</v>
      </c>
      <c r="D1281" s="28" t="s">
        <v>3215</v>
      </c>
      <c r="E1281" s="29" cm="1">
        <f t="array" ref="E1281">_xlfn.IFS(C1281=":",":",C1281&gt;=N$19,1,C1281&gt;=N$20,2,C1281&gt;=N$21,3,C1281&gt;=N$22,4,C1281&gt;=N$23,5,C1281&lt;N$23,6)</f>
        <v>6</v>
      </c>
      <c r="F1281" s="59">
        <v>2021</v>
      </c>
    </row>
    <row r="1282" spans="1:6" ht="12" customHeight="1">
      <c r="A1282" s="16" t="s">
        <v>508</v>
      </c>
      <c r="B1282" s="11" t="s">
        <v>575</v>
      </c>
      <c r="C1282" s="82">
        <v>655</v>
      </c>
      <c r="D1282" s="28" t="s">
        <v>3215</v>
      </c>
      <c r="E1282" s="29" cm="1">
        <f t="array" ref="E1282">_xlfn.IFS(C1282=":",":",C1282&gt;=N$19,1,C1282&gt;=N$20,2,C1282&gt;=N$21,3,C1282&gt;=N$22,4,C1282&gt;=N$23,5,C1282&lt;N$23,6)</f>
        <v>6</v>
      </c>
      <c r="F1282" s="59">
        <v>2021</v>
      </c>
    </row>
    <row r="1283" spans="1:6" ht="12" customHeight="1">
      <c r="A1283" s="16" t="s">
        <v>509</v>
      </c>
      <c r="B1283" s="11" t="s">
        <v>576</v>
      </c>
      <c r="C1283" s="82">
        <v>625</v>
      </c>
      <c r="D1283" s="28" t="s">
        <v>3215</v>
      </c>
      <c r="E1283" s="29" cm="1">
        <f t="array" ref="E1283">_xlfn.IFS(C1283=":",":",C1283&gt;=N$19,1,C1283&gt;=N$20,2,C1283&gt;=N$21,3,C1283&gt;=N$22,4,C1283&gt;=N$23,5,C1283&lt;N$23,6)</f>
        <v>6</v>
      </c>
      <c r="F1283" s="59">
        <v>2021</v>
      </c>
    </row>
    <row r="1284" spans="1:6" ht="12" customHeight="1">
      <c r="A1284" s="16" t="s">
        <v>510</v>
      </c>
      <c r="B1284" s="11" t="s">
        <v>577</v>
      </c>
      <c r="C1284" s="82">
        <v>614</v>
      </c>
      <c r="D1284" s="28" t="s">
        <v>3215</v>
      </c>
      <c r="E1284" s="29" cm="1">
        <f t="array" ref="E1284">_xlfn.IFS(C1284=":",":",C1284&gt;=N$19,1,C1284&gt;=N$20,2,C1284&gt;=N$21,3,C1284&gt;=N$22,4,C1284&gt;=N$23,5,C1284&lt;N$23,6)</f>
        <v>6</v>
      </c>
      <c r="F1284" s="59">
        <v>2021</v>
      </c>
    </row>
    <row r="1285" spans="1:6" ht="12" customHeight="1">
      <c r="A1285" s="16" t="s">
        <v>511</v>
      </c>
      <c r="B1285" s="11" t="s">
        <v>578</v>
      </c>
      <c r="C1285" s="82">
        <v>423</v>
      </c>
      <c r="D1285" s="28" t="s">
        <v>3215</v>
      </c>
      <c r="E1285" s="29" cm="1">
        <f t="array" ref="E1285">_xlfn.IFS(C1285=":",":",C1285&gt;=N$19,1,C1285&gt;=N$20,2,C1285&gt;=N$21,3,C1285&gt;=N$22,4,C1285&gt;=N$23,5,C1285&lt;N$23,6)</f>
        <v>6</v>
      </c>
      <c r="F1285" s="59">
        <v>2021</v>
      </c>
    </row>
    <row r="1286" spans="1:6" ht="12" customHeight="1">
      <c r="A1286" s="16" t="s">
        <v>512</v>
      </c>
      <c r="B1286" s="11" t="s">
        <v>579</v>
      </c>
      <c r="C1286" s="82">
        <v>512</v>
      </c>
      <c r="D1286" s="28" t="s">
        <v>3215</v>
      </c>
      <c r="E1286" s="29" cm="1">
        <f t="array" ref="E1286">_xlfn.IFS(C1286=":",":",C1286&gt;=N$19,1,C1286&gt;=N$20,2,C1286&gt;=N$21,3,C1286&gt;=N$22,4,C1286&gt;=N$23,5,C1286&lt;N$23,6)</f>
        <v>6</v>
      </c>
      <c r="F1286" s="59">
        <v>2021</v>
      </c>
    </row>
    <row r="1287" spans="1:6" ht="12" customHeight="1">
      <c r="A1287" s="16" t="s">
        <v>2992</v>
      </c>
      <c r="B1287" s="11" t="s">
        <v>2993</v>
      </c>
      <c r="C1287" s="82" t="s">
        <v>546</v>
      </c>
      <c r="E1287" s="29" t="str" cm="1">
        <f t="array" ref="E1287">_xlfn.IFS(C1287=":",":",C1287&gt;=N$19,1,C1287&gt;=N$20,2,C1287&gt;=N$21,3,C1287&gt;=N$22,4,C1287&gt;=N$23,5,C1287&lt;N$23,6)</f>
        <v>:</v>
      </c>
    </row>
    <row r="1288" spans="1:6" ht="12" customHeight="1"/>
    <row r="1289" spans="1:6" ht="12" customHeight="1"/>
    <row r="1290" spans="1:6" ht="12" customHeight="1"/>
    <row r="1291" spans="1:6" ht="12" customHeight="1"/>
    <row r="1292" spans="1:6" ht="12" customHeight="1"/>
    <row r="1293" spans="1:6" ht="12" customHeight="1"/>
    <row r="1294" spans="1:6" ht="12" customHeight="1"/>
    <row r="1295" spans="1:6" ht="12" customHeight="1"/>
    <row r="1296" spans="1:6" ht="12" customHeight="1"/>
    <row r="1297" ht="12" customHeight="1"/>
    <row r="1298" ht="12" customHeight="1"/>
    <row r="1299" ht="12" customHeight="1"/>
    <row r="1300" ht="12" customHeight="1"/>
    <row r="1301" ht="12" customHeight="1"/>
    <row r="1302" ht="12" customHeight="1"/>
    <row r="1303" ht="12" customHeight="1"/>
    <row r="1304" ht="12" customHeight="1"/>
    <row r="1305" ht="12" customHeight="1"/>
    <row r="1306" ht="12" customHeight="1"/>
    <row r="1307" ht="12" customHeight="1"/>
    <row r="1308" ht="12" customHeight="1"/>
    <row r="1309" ht="12" customHeight="1"/>
    <row r="1310" ht="12" customHeight="1"/>
    <row r="1311" ht="12" customHeight="1"/>
    <row r="1312" ht="12" customHeight="1"/>
    <row r="1313" ht="12" customHeight="1"/>
    <row r="1314" ht="12" customHeight="1"/>
    <row r="1315" ht="12" customHeight="1"/>
    <row r="1316" ht="12" customHeight="1"/>
    <row r="1317" ht="12" customHeight="1"/>
    <row r="1318" ht="12" customHeight="1"/>
    <row r="1319" ht="12" customHeight="1"/>
    <row r="1320" ht="12" customHeight="1"/>
    <row r="1321" ht="12" customHeight="1"/>
    <row r="1322" ht="12" customHeight="1"/>
    <row r="1323" ht="12" customHeight="1"/>
    <row r="1324" ht="12" customHeight="1"/>
    <row r="1325" ht="12" customHeight="1"/>
    <row r="1326" ht="12" customHeight="1"/>
    <row r="1327" ht="12" customHeight="1"/>
    <row r="1328" ht="12" customHeight="1"/>
    <row r="1329" ht="12" customHeight="1"/>
    <row r="1330" ht="12" customHeight="1"/>
    <row r="1331" ht="12" customHeight="1"/>
    <row r="1332" ht="12" customHeight="1"/>
    <row r="1333" ht="12" customHeight="1"/>
    <row r="1334" ht="12" customHeight="1"/>
    <row r="1335" ht="12" customHeight="1"/>
    <row r="1336" ht="12" customHeight="1"/>
    <row r="1337" ht="12" customHeight="1"/>
    <row r="1338" ht="12" customHeight="1"/>
    <row r="1339" ht="12" customHeight="1"/>
    <row r="1340" ht="12" customHeight="1"/>
    <row r="1341" ht="12" customHeight="1"/>
    <row r="1342" ht="12" customHeight="1"/>
    <row r="1343" ht="12" customHeight="1"/>
    <row r="1344" ht="12" customHeight="1"/>
    <row r="1345" ht="12" customHeight="1"/>
    <row r="1346" ht="12" customHeight="1"/>
    <row r="1347" ht="12" customHeight="1"/>
    <row r="1348" ht="12" customHeight="1"/>
    <row r="1349" ht="12" customHeight="1"/>
    <row r="1350" ht="12" customHeight="1"/>
    <row r="1351" ht="12" customHeight="1"/>
    <row r="1352" ht="12" customHeight="1"/>
    <row r="1353" ht="12" customHeight="1"/>
    <row r="1354" ht="12" customHeight="1"/>
    <row r="1355" ht="12" customHeight="1"/>
    <row r="1356" ht="12" customHeight="1"/>
    <row r="1357" ht="12" customHeight="1"/>
    <row r="1358" ht="12" customHeight="1"/>
    <row r="1359" ht="12" customHeight="1"/>
    <row r="1360" ht="12" customHeight="1"/>
    <row r="1361" ht="12" customHeight="1"/>
    <row r="1362" ht="12" customHeight="1"/>
    <row r="1363" ht="12" customHeight="1"/>
    <row r="1364" ht="12" customHeight="1"/>
    <row r="1365" ht="12" customHeight="1"/>
    <row r="1366" ht="12" customHeight="1"/>
    <row r="1367" ht="12" customHeight="1"/>
    <row r="1368" ht="12" customHeight="1"/>
    <row r="1369" ht="12" customHeight="1"/>
    <row r="1370" ht="12" customHeight="1"/>
    <row r="1371" ht="12" customHeight="1"/>
    <row r="1372" ht="12" customHeight="1"/>
    <row r="1373" ht="12" customHeight="1"/>
    <row r="1374" ht="12" customHeight="1"/>
    <row r="1375" ht="12" customHeight="1"/>
    <row r="1376" ht="12" customHeight="1"/>
    <row r="1377" ht="12" customHeight="1"/>
    <row r="1378" ht="12" customHeight="1"/>
    <row r="1379" ht="12" customHeight="1"/>
    <row r="1380" ht="12" customHeight="1"/>
    <row r="1381" ht="12" customHeight="1"/>
    <row r="1382" ht="12" customHeight="1"/>
    <row r="1383" ht="12" customHeight="1"/>
    <row r="1384" ht="12" customHeight="1"/>
    <row r="1385" ht="12" customHeight="1"/>
    <row r="1386" ht="12" customHeight="1"/>
    <row r="1387" ht="12" customHeight="1"/>
    <row r="1388" ht="12" customHeight="1"/>
    <row r="1389" ht="12" customHeight="1"/>
    <row r="1390" ht="12" customHeight="1"/>
    <row r="1391" ht="12" customHeight="1"/>
    <row r="1392" ht="12" customHeight="1"/>
    <row r="1393" ht="12" customHeight="1"/>
    <row r="1394" ht="12" customHeight="1"/>
    <row r="1395" ht="12" customHeight="1"/>
    <row r="1396" ht="12" customHeight="1"/>
    <row r="1397" ht="12" customHeight="1"/>
    <row r="1398" ht="12" customHeight="1"/>
    <row r="1399" ht="12" customHeight="1"/>
    <row r="1400" ht="12" customHeight="1"/>
    <row r="1401" ht="12" customHeight="1"/>
    <row r="1402" ht="12" customHeight="1"/>
    <row r="1403" ht="12" customHeight="1"/>
    <row r="1404" ht="12" customHeight="1"/>
    <row r="1405" ht="12" customHeight="1"/>
    <row r="1406" ht="12" customHeight="1"/>
    <row r="1407" ht="12" customHeight="1"/>
    <row r="1408" ht="12" customHeight="1"/>
    <row r="1409" ht="12" customHeight="1"/>
    <row r="1410" ht="12" customHeight="1"/>
    <row r="1411" ht="12" customHeight="1"/>
    <row r="1412" ht="12" customHeight="1"/>
    <row r="1413" ht="12" customHeight="1"/>
    <row r="1414" ht="12" customHeight="1"/>
    <row r="1415" ht="12" customHeight="1"/>
    <row r="1416" ht="12" customHeight="1"/>
    <row r="1417" ht="12" customHeight="1"/>
    <row r="1418" ht="12" customHeight="1"/>
    <row r="1419" ht="12" customHeight="1"/>
    <row r="1420" ht="12" customHeight="1"/>
    <row r="1421" ht="12" customHeight="1"/>
    <row r="1422" ht="12" customHeight="1"/>
    <row r="3617" spans="26:26">
      <c r="Z3617" s="25"/>
    </row>
    <row r="7525" spans="26:26">
      <c r="Z7525" s="25" t="s">
        <v>3001</v>
      </c>
    </row>
  </sheetData>
  <phoneticPr fontId="4" type="noConversion"/>
  <hyperlinks>
    <hyperlink ref="I42" r:id="rId1" xr:uid="{BE28BFFD-A71E-4E51-B7CC-4EAB117CC35E}"/>
    <hyperlink ref="I43" r:id="rId2" xr:uid="{FD36E0B0-B4DC-486C-85EE-B6A9C16BE314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B764A-32C0-495E-B33C-D3B38DE2701F}">
  <sheetPr>
    <tabColor rgb="FF92D050"/>
  </sheetPr>
  <dimension ref="A1:Z7525"/>
  <sheetViews>
    <sheetView showGridLines="0" zoomScaleNormal="100" workbookViewId="0">
      <selection activeCell="J28" sqref="J28"/>
    </sheetView>
  </sheetViews>
  <sheetFormatPr defaultColWidth="9.140625" defaultRowHeight="12.75"/>
  <cols>
    <col min="1" max="1" width="8.7109375" style="5" customWidth="1"/>
    <col min="2" max="2" width="60.7109375" style="5" customWidth="1"/>
    <col min="3" max="3" width="12.7109375" style="29" customWidth="1"/>
    <col min="4" max="4" width="12.7109375" style="28" customWidth="1"/>
    <col min="5" max="6" width="12.7109375" style="62" customWidth="1"/>
    <col min="7" max="8" width="12.7109375" style="44" customWidth="1"/>
    <col min="9" max="12" width="20.7109375" style="5" customWidth="1"/>
    <col min="13" max="14" width="9.140625" style="5"/>
    <col min="15" max="26" width="2.7109375" style="5" customWidth="1"/>
    <col min="27" max="16384" width="9.140625" style="5"/>
  </cols>
  <sheetData>
    <row r="1" spans="1:15">
      <c r="A1" s="19" t="s">
        <v>539</v>
      </c>
      <c r="B1" s="19" t="s">
        <v>540</v>
      </c>
      <c r="C1" s="21" t="s">
        <v>1</v>
      </c>
      <c r="D1" s="66" t="s">
        <v>541</v>
      </c>
      <c r="E1" s="21" t="s">
        <v>542</v>
      </c>
      <c r="F1" s="21" t="s">
        <v>543</v>
      </c>
      <c r="G1" s="21"/>
      <c r="H1" s="4"/>
      <c r="I1" s="67"/>
      <c r="J1" s="5" t="s">
        <v>3028</v>
      </c>
    </row>
    <row r="2" spans="1:15">
      <c r="A2" s="10" t="s">
        <v>580</v>
      </c>
      <c r="B2" s="112" t="s">
        <v>3077</v>
      </c>
      <c r="C2" s="78">
        <v>45512</v>
      </c>
      <c r="D2" s="70"/>
      <c r="E2" s="29" cm="1">
        <f t="array" ref="E2">_xlfn.IFS(C2=":",":",C2&gt;=N$19,1,C2&gt;=N$20,2,C2&gt;=N$21,3,C2&gt;=N$22,4,C2&gt;=N$23,5,C2&gt;=N$24,6,C2&lt;N$24,7)</f>
        <v>1</v>
      </c>
      <c r="F2" s="60"/>
      <c r="G2" s="8"/>
      <c r="H2" s="26"/>
      <c r="J2" s="5" t="s">
        <v>3029</v>
      </c>
    </row>
    <row r="3" spans="1:15" ht="12" customHeight="1">
      <c r="A3" s="10" t="s">
        <v>581</v>
      </c>
      <c r="B3" s="112" t="s">
        <v>582</v>
      </c>
      <c r="C3" s="78">
        <v>3256</v>
      </c>
      <c r="D3" s="70"/>
      <c r="E3" s="29" cm="1">
        <f t="array" ref="E3">_xlfn.IFS(C3=":",":",C3&gt;=N$19,1,C3&gt;=N$20,2,C3&gt;=N$21,3,C3&gt;=N$22,4,C3&gt;=N$23,5,C3&gt;=N$24,6,C3&lt;N$24,7)</f>
        <v>2</v>
      </c>
      <c r="F3" s="60"/>
      <c r="G3" s="8"/>
      <c r="H3" s="26"/>
      <c r="I3" s="6" t="s">
        <v>3135</v>
      </c>
    </row>
    <row r="4" spans="1:15" ht="12" customHeight="1">
      <c r="A4" s="10" t="s">
        <v>583</v>
      </c>
      <c r="B4" s="112" t="s">
        <v>584</v>
      </c>
      <c r="C4" s="78">
        <v>1021</v>
      </c>
      <c r="D4" s="70"/>
      <c r="E4" s="29" cm="1">
        <f t="array" ref="E4">_xlfn.IFS(C4=":",":",C4&gt;=N$19,1,C4&gt;=N$20,2,C4&gt;=N$21,3,C4&gt;=N$22,4,C4&gt;=N$23,5,C4&gt;=N$24,6,C4&lt;N$24,7)</f>
        <v>3</v>
      </c>
      <c r="F4" s="60"/>
      <c r="G4" s="8"/>
      <c r="H4" s="26"/>
      <c r="I4" s="6" t="s">
        <v>28</v>
      </c>
    </row>
    <row r="5" spans="1:15" s="31" customFormat="1" ht="12" customHeight="1">
      <c r="A5" s="10" t="s">
        <v>585</v>
      </c>
      <c r="B5" s="112" t="s">
        <v>586</v>
      </c>
      <c r="C5" s="78">
        <v>1459</v>
      </c>
      <c r="D5" s="70"/>
      <c r="E5" s="29" cm="1">
        <f t="array" ref="E5">_xlfn.IFS(C5=":",":",C5&gt;=N$19,1,C5&gt;=N$20,2,C5&gt;=N$21,3,C5&gt;=N$22,4,C5&gt;=N$23,5,C5&gt;=N$24,6,C5&lt;N$24,7)</f>
        <v>3</v>
      </c>
      <c r="F5" s="60"/>
      <c r="G5" s="8"/>
      <c r="H5" s="40"/>
      <c r="I5" s="32"/>
      <c r="J5" s="5"/>
    </row>
    <row r="6" spans="1:15" ht="15.75">
      <c r="A6" s="10" t="s">
        <v>587</v>
      </c>
      <c r="B6" s="112" t="s">
        <v>588</v>
      </c>
      <c r="C6" s="78">
        <v>1164</v>
      </c>
      <c r="D6" s="70"/>
      <c r="E6" s="29" cm="1">
        <f t="array" ref="E6">_xlfn.IFS(C6=":",":",C6&gt;=N$19,1,C6&gt;=N$20,2,C6&gt;=N$21,3,C6&gt;=N$22,4,C6&gt;=N$23,5,C6&gt;=N$24,6,C6&lt;N$24,7)</f>
        <v>3</v>
      </c>
      <c r="F6" s="60"/>
      <c r="G6" s="8"/>
      <c r="H6" s="40"/>
      <c r="I6" s="1" t="s">
        <v>3233</v>
      </c>
    </row>
    <row r="7" spans="1:15" ht="14.25">
      <c r="A7" s="10" t="s">
        <v>589</v>
      </c>
      <c r="B7" s="112" t="s">
        <v>590</v>
      </c>
      <c r="C7" s="78">
        <v>1385</v>
      </c>
      <c r="D7" s="70"/>
      <c r="E7" s="29" cm="1">
        <f t="array" ref="E7">_xlfn.IFS(C7=":",":",C7&gt;=N$19,1,C7&gt;=N$20,2,C7&gt;=N$21,3,C7&gt;=N$22,4,C7&gt;=N$23,5,C7&gt;=N$24,6,C7&lt;N$24,7)</f>
        <v>3</v>
      </c>
      <c r="F7" s="60"/>
      <c r="G7" s="8"/>
      <c r="H7" s="26"/>
      <c r="I7" s="84" t="s">
        <v>3162</v>
      </c>
    </row>
    <row r="8" spans="1:15" ht="12" customHeight="1">
      <c r="A8" s="10" t="s">
        <v>591</v>
      </c>
      <c r="B8" s="112" t="s">
        <v>592</v>
      </c>
      <c r="C8" s="78">
        <v>3633</v>
      </c>
      <c r="D8" s="70"/>
      <c r="E8" s="29" cm="1">
        <f t="array" ref="E8">_xlfn.IFS(C8=":",":",C8&gt;=N$19,1,C8&gt;=N$20,2,C8&gt;=N$21,3,C8&gt;=N$22,4,C8&gt;=N$23,5,C8&gt;=N$24,6,C8&lt;N$24,7)</f>
        <v>2</v>
      </c>
      <c r="F8" s="60"/>
      <c r="G8" s="8"/>
      <c r="H8" s="26"/>
      <c r="I8" s="32"/>
      <c r="K8" s="33"/>
    </row>
    <row r="9" spans="1:15" ht="12" customHeight="1">
      <c r="A9" s="10" t="s">
        <v>593</v>
      </c>
      <c r="B9" s="112" t="s">
        <v>594</v>
      </c>
      <c r="C9" s="78">
        <v>508</v>
      </c>
      <c r="D9" s="70"/>
      <c r="E9" s="29" cm="1">
        <f t="array" ref="E9">_xlfn.IFS(C9=":",":",C9&gt;=N$19,1,C9&gt;=N$20,2,C9&gt;=N$21,3,C9&gt;=N$22,4,C9&gt;=N$23,5,C9&gt;=N$24,6,C9&lt;N$24,7)</f>
        <v>3</v>
      </c>
      <c r="F9" s="60"/>
      <c r="G9" s="8"/>
      <c r="H9" s="26"/>
      <c r="I9" s="33"/>
      <c r="K9" s="71"/>
    </row>
    <row r="10" spans="1:15" ht="12" customHeight="1">
      <c r="A10" s="10" t="s">
        <v>595</v>
      </c>
      <c r="B10" s="112" t="s">
        <v>596</v>
      </c>
      <c r="C10" s="78">
        <v>248</v>
      </c>
      <c r="D10" s="70"/>
      <c r="E10" s="29" cm="1">
        <f t="array" ref="E10">_xlfn.IFS(C10=":",":",C10&gt;=N$19,1,C10&gt;=N$20,2,C10&gt;=N$21,3,C10&gt;=N$22,4,C10&gt;=N$23,5,C10&gt;=N$24,6,C10&lt;N$24,7)</f>
        <v>4</v>
      </c>
      <c r="F10" s="60"/>
      <c r="G10" s="8"/>
      <c r="H10" s="26"/>
      <c r="I10" s="52"/>
      <c r="K10" s="72"/>
    </row>
    <row r="11" spans="1:15" ht="12" customHeight="1">
      <c r="A11" s="10" t="s">
        <v>597</v>
      </c>
      <c r="B11" s="112" t="s">
        <v>598</v>
      </c>
      <c r="C11" s="78">
        <v>286</v>
      </c>
      <c r="D11" s="70"/>
      <c r="E11" s="29" cm="1">
        <f t="array" ref="E11">_xlfn.IFS(C11=":",":",C11&gt;=N$19,1,C11&gt;=N$20,2,C11&gt;=N$21,3,C11&gt;=N$22,4,C11&gt;=N$23,5,C11&gt;=N$24,6,C11&lt;N$24,7)</f>
        <v>4</v>
      </c>
      <c r="F11" s="60"/>
      <c r="G11" s="8"/>
      <c r="H11" s="26"/>
      <c r="K11" s="33"/>
    </row>
    <row r="12" spans="1:15" ht="12" customHeight="1">
      <c r="A12" s="10" t="s">
        <v>599</v>
      </c>
      <c r="B12" s="112" t="s">
        <v>600</v>
      </c>
      <c r="C12" s="78">
        <v>2031</v>
      </c>
      <c r="D12" s="70"/>
      <c r="E12" s="29" cm="1">
        <f t="array" ref="E12">_xlfn.IFS(C12=":",":",C12&gt;=N$19,1,C12&gt;=N$20,2,C12&gt;=N$21,3,C12&gt;=N$22,4,C12&gt;=N$23,5,C12&gt;=N$24,6,C12&lt;N$24,7)</f>
        <v>2</v>
      </c>
      <c r="F12" s="60"/>
      <c r="G12" s="8"/>
      <c r="H12" s="26"/>
      <c r="K12" s="71"/>
    </row>
    <row r="13" spans="1:15" ht="12" customHeight="1">
      <c r="A13" s="10" t="s">
        <v>601</v>
      </c>
      <c r="B13" s="112" t="s">
        <v>602</v>
      </c>
      <c r="C13" s="78">
        <v>650</v>
      </c>
      <c r="D13" s="68"/>
      <c r="E13" s="29" cm="1">
        <f t="array" ref="E13">_xlfn.IFS(C13=":",":",C13&gt;=N$19,1,C13&gt;=N$20,2,C13&gt;=N$21,3,C13&gt;=N$22,4,C13&gt;=N$23,5,C13&gt;=N$24,6,C13&lt;N$24,7)</f>
        <v>3</v>
      </c>
      <c r="F13" s="60"/>
      <c r="G13" s="8"/>
      <c r="H13" s="26"/>
      <c r="K13" s="72"/>
    </row>
    <row r="14" spans="1:15" ht="12" customHeight="1">
      <c r="A14" s="10" t="s">
        <v>603</v>
      </c>
      <c r="B14" s="112" t="s">
        <v>604</v>
      </c>
      <c r="C14" s="78">
        <v>742</v>
      </c>
      <c r="D14" s="68"/>
      <c r="E14" s="29" cm="1">
        <f t="array" ref="E14">_xlfn.IFS(C14=":",":",C14&gt;=N$19,1,C14&gt;=N$20,2,C14&gt;=N$21,3,C14&gt;=N$22,4,C14&gt;=N$23,5,C14&gt;=N$24,6,C14&lt;N$24,7)</f>
        <v>3</v>
      </c>
      <c r="F14" s="60"/>
      <c r="G14" s="8"/>
      <c r="H14" s="26"/>
      <c r="J14" s="38"/>
      <c r="K14" s="38"/>
    </row>
    <row r="15" spans="1:15" ht="12" customHeight="1">
      <c r="A15" s="10" t="s">
        <v>605</v>
      </c>
      <c r="B15" s="112" t="s">
        <v>606</v>
      </c>
      <c r="C15" s="78">
        <v>1586</v>
      </c>
      <c r="D15" s="68"/>
      <c r="E15" s="29" cm="1">
        <f t="array" ref="E15">_xlfn.IFS(C15=":",":",C15&gt;=N$19,1,C15&gt;=N$20,2,C15&gt;=N$21,3,C15&gt;=N$22,4,C15&gt;=N$23,5,C15&gt;=N$24,6,C15&lt;N$24,7)</f>
        <v>2</v>
      </c>
      <c r="F15" s="60"/>
      <c r="G15" s="8"/>
      <c r="H15" s="26"/>
      <c r="J15" s="30"/>
      <c r="K15" s="49"/>
      <c r="L15" s="30" t="s">
        <v>3040</v>
      </c>
      <c r="M15" s="93">
        <v>2</v>
      </c>
      <c r="O15" s="93"/>
    </row>
    <row r="16" spans="1:15" ht="12" customHeight="1">
      <c r="A16" s="10" t="s">
        <v>607</v>
      </c>
      <c r="B16" s="112" t="s">
        <v>608</v>
      </c>
      <c r="C16" s="78">
        <v>742</v>
      </c>
      <c r="D16" s="68"/>
      <c r="E16" s="29" cm="1">
        <f t="array" ref="E16">_xlfn.IFS(C16=":",":",C16&gt;=N$19,1,C16&gt;=N$20,2,C16&gt;=N$21,3,C16&gt;=N$22,4,C16&gt;=N$23,5,C16&gt;=N$24,6,C16&lt;N$24,7)</f>
        <v>3</v>
      </c>
      <c r="F16" s="60"/>
      <c r="G16" s="8"/>
      <c r="H16" s="26"/>
      <c r="J16" s="37"/>
      <c r="K16" s="38"/>
      <c r="L16" s="30" t="s">
        <v>3041</v>
      </c>
      <c r="M16" s="93" cm="1">
        <f t="array" ref="M16">ROW(A1) + MIN(IF(A:A={"SE","SE3","SE33","SE332"}, ROW(A:A))) - 1</f>
        <v>1166</v>
      </c>
    </row>
    <row r="17" spans="1:15" ht="12" customHeight="1">
      <c r="A17" s="10" t="s">
        <v>609</v>
      </c>
      <c r="B17" s="112" t="s">
        <v>610</v>
      </c>
      <c r="C17" s="78">
        <v>5901</v>
      </c>
      <c r="D17" s="68"/>
      <c r="E17" s="29" cm="1">
        <f t="array" ref="E17">_xlfn.IFS(C17=":",":",C17&gt;=N$19,1,C17&gt;=N$20,2,C17&gt;=N$21,3,C17&gt;=N$22,4,C17&gt;=N$23,5,C17&gt;=N$24,6,C17&lt;N$24,7)</f>
        <v>1</v>
      </c>
      <c r="F17" s="60"/>
      <c r="H17" s="26"/>
      <c r="I17" s="5" t="s">
        <v>3133</v>
      </c>
      <c r="J17" s="39"/>
      <c r="K17" s="49"/>
    </row>
    <row r="18" spans="1:15" ht="12" customHeight="1">
      <c r="A18" s="10" t="s">
        <v>611</v>
      </c>
      <c r="B18" s="112" t="s">
        <v>612</v>
      </c>
      <c r="C18" s="78">
        <v>537</v>
      </c>
      <c r="D18" s="68"/>
      <c r="E18" s="29" cm="1">
        <f t="array" ref="E18">_xlfn.IFS(C18=":",":",C18&gt;=N$19,1,C18&gt;=N$20,2,C18&gt;=N$21,3,C18&gt;=N$22,4,C18&gt;=N$23,5,C18&gt;=N$24,6,C18&lt;N$24,7)</f>
        <v>3</v>
      </c>
      <c r="F18" s="60"/>
      <c r="G18" s="8"/>
      <c r="H18" s="41" t="s">
        <v>544</v>
      </c>
      <c r="I18" s="5" t="str">
        <f>"≥"&amp;" "&amp;TEXT(N19, "# ##0")</f>
        <v>≥ 5 000</v>
      </c>
      <c r="J18" s="146">
        <v>1</v>
      </c>
      <c r="K18" s="5" t="s">
        <v>3217</v>
      </c>
      <c r="L18" s="87">
        <f ca="1">PERCENTILE(INDIRECT("C" &amp; M15 &amp; ":C" &amp; M16), 1)</f>
        <v>419049</v>
      </c>
      <c r="M18" s="30" t="s">
        <v>2809</v>
      </c>
    </row>
    <row r="19" spans="1:15" ht="12" customHeight="1">
      <c r="A19" s="10" t="s">
        <v>613</v>
      </c>
      <c r="B19" s="112" t="s">
        <v>614</v>
      </c>
      <c r="C19" s="78">
        <v>1486</v>
      </c>
      <c r="D19" s="68"/>
      <c r="E19" s="29" cm="1">
        <f t="array" ref="E19">_xlfn.IFS(C19=":",":",C19&gt;=N$19,1,C19&gt;=N$20,2,C19&gt;=N$21,3,C19&gt;=N$22,4,C19&gt;=N$23,5,C19&gt;=N$24,6,C19&lt;N$24,7)</f>
        <v>3</v>
      </c>
      <c r="F19" s="60"/>
      <c r="G19" s="8"/>
      <c r="H19" s="26"/>
      <c r="I19" s="5" t="str">
        <f>TEXT(N20, "# ##0")&amp;" – &lt; "&amp;TEXT(N19, "# ##0")</f>
        <v>1 500 – &lt; 5 000</v>
      </c>
      <c r="J19" s="147">
        <v>2</v>
      </c>
      <c r="K19" s="5" t="s">
        <v>3218</v>
      </c>
      <c r="L19" s="87">
        <f ca="1">PERCENTILE(INDIRECT("C" &amp; M15 &amp; ":C" &amp; M16), 0.9)</f>
        <v>4954.0000000000045</v>
      </c>
      <c r="M19" s="47" t="s">
        <v>2810</v>
      </c>
      <c r="N19" s="75">
        <v>5000</v>
      </c>
      <c r="O19" s="35" t="s">
        <v>3223</v>
      </c>
    </row>
    <row r="20" spans="1:15" ht="12" customHeight="1">
      <c r="A20" s="10" t="s">
        <v>615</v>
      </c>
      <c r="B20" s="112" t="s">
        <v>616</v>
      </c>
      <c r="C20" s="78">
        <v>978</v>
      </c>
      <c r="D20" s="68"/>
      <c r="E20" s="29" cm="1">
        <f t="array" ref="E20">_xlfn.IFS(C20=":",":",C20&gt;=N$19,1,C20&gt;=N$20,2,C20&gt;=N$21,3,C20&gt;=N$22,4,C20&gt;=N$23,5,C20&gt;=N$24,6,C20&lt;N$24,7)</f>
        <v>3</v>
      </c>
      <c r="F20" s="60"/>
      <c r="G20" s="8"/>
      <c r="H20" s="26"/>
      <c r="I20" s="5" t="str">
        <f t="shared" ref="I20:I22" si="0">TEXT(N21, "# ##0")&amp;" – &lt; "&amp;TEXT(N20, "# ##0")</f>
        <v>500 – &lt; 1 500</v>
      </c>
      <c r="J20" s="148">
        <v>3</v>
      </c>
      <c r="K20" s="5" t="s">
        <v>3219</v>
      </c>
      <c r="L20" s="87">
        <f ca="1">PERCENTILE(INDIRECT("C" &amp; M15 &amp; ":C" &amp; M16), 0.75)</f>
        <v>1598</v>
      </c>
      <c r="M20" s="47" t="s">
        <v>2811</v>
      </c>
      <c r="N20" s="75">
        <v>1500</v>
      </c>
    </row>
    <row r="21" spans="1:15" ht="12" customHeight="1">
      <c r="A21" s="10" t="s">
        <v>617</v>
      </c>
      <c r="B21" s="112" t="s">
        <v>618</v>
      </c>
      <c r="C21" s="78">
        <v>11836</v>
      </c>
      <c r="D21" s="68"/>
      <c r="E21" s="29" cm="1">
        <f t="array" ref="E21">_xlfn.IFS(C21=":",":",C21&gt;=N$19,1,C21&gt;=N$20,2,C21&gt;=N$21,3,C21&gt;=N$22,4,C21&gt;=N$23,5,C21&gt;=N$24,6,C21&lt;N$24,7)</f>
        <v>1</v>
      </c>
      <c r="F21" s="60"/>
      <c r="G21" s="8"/>
      <c r="H21" s="26"/>
      <c r="I21" s="5" t="str">
        <f t="shared" si="0"/>
        <v>200 – &lt; 500</v>
      </c>
      <c r="J21" s="149">
        <v>4</v>
      </c>
      <c r="K21" s="5" t="s">
        <v>3220</v>
      </c>
      <c r="L21" s="87">
        <f ca="1">PERCENTILE(INDIRECT("C" &amp; M15 &amp; ":C" &amp; M16), 0.5)</f>
        <v>547</v>
      </c>
      <c r="M21" s="47" t="s">
        <v>2812</v>
      </c>
      <c r="N21" s="75">
        <v>500</v>
      </c>
    </row>
    <row r="22" spans="1:15" ht="12" customHeight="1">
      <c r="A22" s="10" t="s">
        <v>619</v>
      </c>
      <c r="B22" s="112" t="s">
        <v>620</v>
      </c>
      <c r="C22" s="78">
        <v>512</v>
      </c>
      <c r="D22" s="68"/>
      <c r="E22" s="29" cm="1">
        <f t="array" ref="E22">_xlfn.IFS(C22=":",":",C22&gt;=N$19,1,C22&gt;=N$20,2,C22&gt;=N$21,3,C22&gt;=N$22,4,C22&gt;=N$23,5,C22&gt;=N$24,6,C22&lt;N$24,7)</f>
        <v>3</v>
      </c>
      <c r="F22" s="60"/>
      <c r="G22" s="8"/>
      <c r="H22" s="26"/>
      <c r="I22" s="5" t="str">
        <f t="shared" si="0"/>
        <v>75 – &lt; 200</v>
      </c>
      <c r="J22" s="150">
        <v>5</v>
      </c>
      <c r="K22" s="5" t="s">
        <v>3221</v>
      </c>
      <c r="L22" s="87">
        <f ca="1">PERCENTILE(INDIRECT("C" &amp; M15 &amp; ":C" &amp; M16), 0.25)</f>
        <v>207</v>
      </c>
      <c r="M22" s="47" t="s">
        <v>2813</v>
      </c>
      <c r="N22" s="75">
        <v>200</v>
      </c>
    </row>
    <row r="23" spans="1:15" ht="12" customHeight="1">
      <c r="A23" s="10" t="s">
        <v>621</v>
      </c>
      <c r="B23" s="112" t="s">
        <v>622</v>
      </c>
      <c r="C23" s="78">
        <v>227</v>
      </c>
      <c r="D23" s="68"/>
      <c r="E23" s="29" cm="1">
        <f t="array" ref="E23">_xlfn.IFS(C23=":",":",C23&gt;=N$19,1,C23&gt;=N$20,2,C23&gt;=N$21,3,C23&gt;=N$22,4,C23&gt;=N$23,5,C23&gt;=N$24,6,C23&lt;N$24,7)</f>
        <v>4</v>
      </c>
      <c r="F23" s="60"/>
      <c r="G23" s="8"/>
      <c r="H23" s="5"/>
      <c r="I23" s="5" t="str">
        <f>"&lt;"&amp;" "&amp;TEXT(N24, "# ##0")</f>
        <v>&lt; 0</v>
      </c>
      <c r="J23" s="151">
        <v>6</v>
      </c>
      <c r="K23" s="5" t="s">
        <v>3222</v>
      </c>
      <c r="L23" s="87">
        <f ca="1">PERCENTILE(INDIRECT("C" &amp; M15 &amp; ":C" &amp; M16), 0.1)</f>
        <v>76</v>
      </c>
      <c r="M23" s="47" t="s">
        <v>2814</v>
      </c>
      <c r="N23" s="75">
        <v>75</v>
      </c>
    </row>
    <row r="24" spans="1:15" ht="12" customHeight="1">
      <c r="A24" s="10" t="s">
        <v>623</v>
      </c>
      <c r="B24" s="112" t="s">
        <v>624</v>
      </c>
      <c r="C24" s="78">
        <v>11576</v>
      </c>
      <c r="D24" s="68"/>
      <c r="E24" s="29" cm="1">
        <f t="array" ref="E24">_xlfn.IFS(C24=":",":",C24&gt;=N$19,1,C24&gt;=N$20,2,C24&gt;=N$21,3,C24&gt;=N$22,4,C24&gt;=N$23,5,C24&gt;=N$24,6,C24&lt;N$24,7)</f>
        <v>1</v>
      </c>
      <c r="F24" s="60"/>
      <c r="G24" s="8"/>
      <c r="H24" s="5"/>
      <c r="I24" s="5" t="s">
        <v>545</v>
      </c>
      <c r="J24" s="152" t="s">
        <v>546</v>
      </c>
      <c r="L24" s="87">
        <f ca="1">PERCENTILE(INDIRECT("C" &amp; M15 &amp; ":C" &amp; M16), 0)</f>
        <v>1</v>
      </c>
      <c r="M24" s="30" t="s">
        <v>2815</v>
      </c>
      <c r="N24" s="26"/>
    </row>
    <row r="25" spans="1:15" ht="12" customHeight="1">
      <c r="A25" s="10" t="s">
        <v>625</v>
      </c>
      <c r="B25" s="112" t="s">
        <v>626</v>
      </c>
      <c r="C25" s="78">
        <v>521</v>
      </c>
      <c r="D25" s="68"/>
      <c r="E25" s="29" cm="1">
        <f t="array" ref="E25">_xlfn.IFS(C25=":",":",C25&gt;=N$19,1,C25&gt;=N$20,2,C25&gt;=N$21,3,C25&gt;=N$22,4,C25&gt;=N$23,5,C25&gt;=N$24,6,C25&lt;N$24,7)</f>
        <v>3</v>
      </c>
      <c r="F25" s="60"/>
      <c r="G25" s="8"/>
      <c r="H25" s="5"/>
      <c r="L25" s="38"/>
    </row>
    <row r="26" spans="1:15" ht="12" customHeight="1">
      <c r="A26" s="10" t="s">
        <v>627</v>
      </c>
      <c r="B26" s="112" t="s">
        <v>628</v>
      </c>
      <c r="C26" s="78">
        <v>358</v>
      </c>
      <c r="D26" s="68"/>
      <c r="E26" s="29" cm="1">
        <f t="array" ref="E26">_xlfn.IFS(C26=":",":",C26&gt;=N$19,1,C26&gt;=N$20,2,C26&gt;=N$21,3,C26&gt;=N$22,4,C26&gt;=N$23,5,C26&gt;=N$24,6,C26&lt;N$24,7)</f>
        <v>4</v>
      </c>
      <c r="F26" s="60"/>
      <c r="G26" s="8"/>
      <c r="L26" s="38"/>
    </row>
    <row r="27" spans="1:15" ht="12" customHeight="1">
      <c r="A27" s="10" t="s">
        <v>629</v>
      </c>
      <c r="B27" s="112" t="s">
        <v>630</v>
      </c>
      <c r="C27" s="78">
        <v>231</v>
      </c>
      <c r="D27" s="68"/>
      <c r="E27" s="29" cm="1">
        <f t="array" ref="E27">_xlfn.IFS(C27=":",":",C27&gt;=N$19,1,C27&gt;=N$20,2,C27&gt;=N$21,3,C27&gt;=N$22,4,C27&gt;=N$23,5,C27&gt;=N$24,6,C27&lt;N$24,7)</f>
        <v>4</v>
      </c>
      <c r="F27" s="60"/>
      <c r="G27" s="8"/>
      <c r="L27" s="38"/>
    </row>
    <row r="28" spans="1:15" ht="12" customHeight="1">
      <c r="A28" s="10" t="s">
        <v>631</v>
      </c>
      <c r="B28" s="112" t="s">
        <v>632</v>
      </c>
      <c r="C28" s="78">
        <v>459</v>
      </c>
      <c r="D28" s="68"/>
      <c r="E28" s="29" cm="1">
        <f t="array" ref="E28">_xlfn.IFS(C28=":",":",C28&gt;=N$19,1,C28&gt;=N$20,2,C28&gt;=N$21,3,C28&gt;=N$22,4,C28&gt;=N$23,5,C28&gt;=N$24,6,C28&lt;N$24,7)</f>
        <v>4</v>
      </c>
      <c r="F28" s="60"/>
      <c r="G28" s="8"/>
      <c r="L28" s="52"/>
    </row>
    <row r="29" spans="1:15" ht="12" customHeight="1">
      <c r="A29" s="10" t="s">
        <v>633</v>
      </c>
      <c r="B29" s="112" t="s">
        <v>634</v>
      </c>
      <c r="C29" s="78">
        <v>179</v>
      </c>
      <c r="D29" s="68"/>
      <c r="E29" s="29" cm="1">
        <f t="array" ref="E29">_xlfn.IFS(C29=":",":",C29&gt;=N$19,1,C29&gt;=N$20,2,C29&gt;=N$21,3,C29&gt;=N$22,4,C29&gt;=N$23,5,C29&gt;=N$24,6,C29&lt;N$24,7)</f>
        <v>5</v>
      </c>
      <c r="F29" s="60"/>
      <c r="G29" s="8"/>
      <c r="L29" s="52"/>
    </row>
    <row r="30" spans="1:15" ht="12" customHeight="1">
      <c r="A30" s="10" t="s">
        <v>635</v>
      </c>
      <c r="B30" s="112" t="s">
        <v>636</v>
      </c>
      <c r="C30" s="78">
        <v>726</v>
      </c>
      <c r="D30" s="68"/>
      <c r="E30" s="29" cm="1">
        <f t="array" ref="E30">_xlfn.IFS(C30=":",":",C30&gt;=N$19,1,C30&gt;=N$20,2,C30&gt;=N$21,3,C30&gt;=N$22,4,C30&gt;=N$23,5,C30&gt;=N$24,6,C30&lt;N$24,7)</f>
        <v>3</v>
      </c>
      <c r="F30" s="60"/>
      <c r="G30" s="8"/>
      <c r="L30" s="73"/>
    </row>
    <row r="31" spans="1:15" ht="12" customHeight="1">
      <c r="A31" s="10" t="s">
        <v>637</v>
      </c>
      <c r="B31" s="112" t="s">
        <v>638</v>
      </c>
      <c r="C31" s="78">
        <v>103</v>
      </c>
      <c r="D31" s="68"/>
      <c r="E31" s="29" cm="1">
        <f t="array" ref="E31">_xlfn.IFS(C31=":",":",C31&gt;=N$19,1,C31&gt;=N$20,2,C31&gt;=N$21,3,C31&gt;=N$22,4,C31&gt;=N$23,5,C31&gt;=N$24,6,C31&lt;N$24,7)</f>
        <v>5</v>
      </c>
      <c r="F31" s="60"/>
      <c r="G31" s="8"/>
      <c r="L31" s="73"/>
    </row>
    <row r="32" spans="1:15" ht="12" customHeight="1">
      <c r="A32" s="10" t="s">
        <v>639</v>
      </c>
      <c r="B32" s="112" t="s">
        <v>640</v>
      </c>
      <c r="C32" s="78">
        <v>478</v>
      </c>
      <c r="D32" s="68"/>
      <c r="E32" s="29" cm="1">
        <f t="array" ref="E32">_xlfn.IFS(C32=":",":",C32&gt;=N$19,1,C32&gt;=N$20,2,C32&gt;=N$21,3,C32&gt;=N$22,4,C32&gt;=N$23,5,C32&gt;=N$24,6,C32&lt;N$24,7)</f>
        <v>4</v>
      </c>
      <c r="F32" s="60"/>
      <c r="G32" s="8"/>
      <c r="L32" s="73"/>
    </row>
    <row r="33" spans="1:13" ht="12" customHeight="1">
      <c r="A33" s="10" t="s">
        <v>641</v>
      </c>
      <c r="B33" s="112" t="s">
        <v>642</v>
      </c>
      <c r="C33" s="78">
        <v>254</v>
      </c>
      <c r="D33" s="68"/>
      <c r="E33" s="29" cm="1">
        <f t="array" ref="E33">_xlfn.IFS(C33=":",":",C33&gt;=N$19,1,C33&gt;=N$20,2,C33&gt;=N$21,3,C33&gt;=N$22,4,C33&gt;=N$23,5,C33&gt;=N$24,6,C33&lt;N$24,7)</f>
        <v>4</v>
      </c>
      <c r="F33" s="60"/>
      <c r="G33" s="8"/>
      <c r="L33" s="73"/>
    </row>
    <row r="34" spans="1:13" ht="12" customHeight="1">
      <c r="A34" s="10" t="s">
        <v>643</v>
      </c>
      <c r="B34" s="112" t="s">
        <v>644</v>
      </c>
      <c r="C34" s="78">
        <v>1016</v>
      </c>
      <c r="D34" s="68"/>
      <c r="E34" s="29" cm="1">
        <f t="array" ref="E34">_xlfn.IFS(C34=":",":",C34&gt;=N$19,1,C34&gt;=N$20,2,C34&gt;=N$21,3,C34&gt;=N$22,4,C34&gt;=N$23,5,C34&gt;=N$24,6,C34&lt;N$24,7)</f>
        <v>3</v>
      </c>
      <c r="F34" s="60"/>
      <c r="G34" s="8"/>
      <c r="H34" s="31" t="s">
        <v>547</v>
      </c>
      <c r="I34" s="50"/>
      <c r="L34" s="73"/>
    </row>
    <row r="35" spans="1:13" ht="12" customHeight="1">
      <c r="A35" s="10" t="s">
        <v>645</v>
      </c>
      <c r="B35" s="112" t="s">
        <v>646</v>
      </c>
      <c r="C35" s="78">
        <v>114</v>
      </c>
      <c r="D35" s="68"/>
      <c r="E35" s="29" cm="1">
        <f t="array" ref="E35">_xlfn.IFS(C35=":",":",C35&gt;=N$19,1,C35&gt;=N$20,2,C35&gt;=N$21,3,C35&gt;=N$22,4,C35&gt;=N$23,5,C35&gt;=N$24,6,C35&lt;N$24,7)</f>
        <v>5</v>
      </c>
      <c r="F35" s="60"/>
      <c r="G35" s="8"/>
      <c r="H35" s="51"/>
      <c r="I35" s="5" t="s">
        <v>3216</v>
      </c>
      <c r="L35" s="26"/>
    </row>
    <row r="36" spans="1:13" ht="12" customHeight="1">
      <c r="A36" s="10" t="s">
        <v>647</v>
      </c>
      <c r="B36" s="112" t="s">
        <v>3011</v>
      </c>
      <c r="C36" s="78">
        <v>1019</v>
      </c>
      <c r="D36" s="68"/>
      <c r="E36" s="29" cm="1">
        <f t="array" ref="E36">_xlfn.IFS(C36=":",":",C36&gt;=N$19,1,C36&gt;=N$20,2,C36&gt;=N$21,3,C36&gt;=N$22,4,C36&gt;=N$23,5,C36&gt;=N$24,6,C36&lt;N$24,7)</f>
        <v>3</v>
      </c>
      <c r="F36" s="60"/>
      <c r="G36" s="8"/>
      <c r="H36" s="51"/>
      <c r="I36" s="52"/>
      <c r="L36" s="26"/>
      <c r="M36" s="35"/>
    </row>
    <row r="37" spans="1:13" ht="12" customHeight="1">
      <c r="A37" s="10" t="s">
        <v>648</v>
      </c>
      <c r="B37" s="112" t="s">
        <v>3012</v>
      </c>
      <c r="C37" s="78">
        <v>630</v>
      </c>
      <c r="D37" s="68"/>
      <c r="E37" s="29" cm="1">
        <f t="array" ref="E37">_xlfn.IFS(C37=":",":",C37&gt;=N$19,1,C37&gt;=N$20,2,C37&gt;=N$21,3,C37&gt;=N$22,4,C37&gt;=N$23,5,C37&gt;=N$24,6,C37&lt;N$24,7)</f>
        <v>3</v>
      </c>
      <c r="F37" s="60"/>
      <c r="G37" s="8"/>
      <c r="H37" s="26"/>
      <c r="I37" s="52"/>
      <c r="L37" s="26"/>
    </row>
    <row r="38" spans="1:13" ht="12" customHeight="1">
      <c r="A38" s="10" t="s">
        <v>649</v>
      </c>
      <c r="B38" s="112" t="s">
        <v>650</v>
      </c>
      <c r="C38" s="78">
        <v>373</v>
      </c>
      <c r="D38" s="68"/>
      <c r="E38" s="29" cm="1">
        <f t="array" ref="E38">_xlfn.IFS(C38=":",":",C38&gt;=N$19,1,C38&gt;=N$20,2,C38&gt;=N$21,3,C38&gt;=N$22,4,C38&gt;=N$23,5,C38&gt;=N$24,6,C38&lt;N$24,7)</f>
        <v>4</v>
      </c>
      <c r="F38" s="60"/>
      <c r="G38" s="8"/>
      <c r="H38" s="41" t="s">
        <v>548</v>
      </c>
      <c r="L38" s="26"/>
    </row>
    <row r="39" spans="1:13" ht="12" customHeight="1">
      <c r="A39" s="10" t="s">
        <v>651</v>
      </c>
      <c r="B39" s="112" t="s">
        <v>652</v>
      </c>
      <c r="C39" s="78">
        <v>878</v>
      </c>
      <c r="D39" s="68"/>
      <c r="E39" s="29" cm="1">
        <f t="array" ref="E39">_xlfn.IFS(C39=":",":",C39&gt;=N$19,1,C39&gt;=N$20,2,C39&gt;=N$21,3,C39&gt;=N$22,4,C39&gt;=N$23,5,C39&gt;=N$24,6,C39&lt;N$24,7)</f>
        <v>3</v>
      </c>
      <c r="F39" s="60"/>
      <c r="G39" s="8"/>
      <c r="H39" s="26"/>
      <c r="I39" s="79" t="s">
        <v>3129</v>
      </c>
      <c r="K39" s="55"/>
      <c r="L39" s="26"/>
    </row>
    <row r="40" spans="1:13" ht="12" customHeight="1">
      <c r="A40" s="10" t="s">
        <v>653</v>
      </c>
      <c r="B40" s="112" t="s">
        <v>654</v>
      </c>
      <c r="C40" s="78">
        <v>936</v>
      </c>
      <c r="D40" s="68"/>
      <c r="E40" s="29" cm="1">
        <f t="array" ref="E40">_xlfn.IFS(C40=":",":",C40&gt;=N$19,1,C40&gt;=N$20,2,C40&gt;=N$21,3,C40&gt;=N$22,4,C40&gt;=N$23,5,C40&gt;=N$24,6,C40&lt;N$24,7)</f>
        <v>3</v>
      </c>
      <c r="F40" s="60"/>
      <c r="H40" s="26"/>
      <c r="K40" s="73"/>
      <c r="L40" s="26"/>
    </row>
    <row r="41" spans="1:13" ht="12" customHeight="1">
      <c r="A41" s="10" t="s">
        <v>655</v>
      </c>
      <c r="B41" s="112" t="s">
        <v>656</v>
      </c>
      <c r="C41" s="78">
        <v>641</v>
      </c>
      <c r="D41" s="68"/>
      <c r="E41" s="29" cm="1">
        <f t="array" ref="E41">_xlfn.IFS(C41=":",":",C41&gt;=N$19,1,C41&gt;=N$20,2,C41&gt;=N$21,3,C41&gt;=N$22,4,C41&gt;=N$23,5,C41&gt;=N$24,6,C41&lt;N$24,7)</f>
        <v>3</v>
      </c>
      <c r="F41" s="60"/>
      <c r="G41" s="8"/>
      <c r="H41" s="54" t="s">
        <v>3000</v>
      </c>
      <c r="I41" s="13"/>
      <c r="K41" s="73"/>
      <c r="L41" s="26"/>
    </row>
    <row r="42" spans="1:13" ht="12" customHeight="1">
      <c r="A42" s="10" t="s">
        <v>657</v>
      </c>
      <c r="B42" s="112" t="s">
        <v>658</v>
      </c>
      <c r="C42" s="78">
        <v>297</v>
      </c>
      <c r="D42" s="68"/>
      <c r="E42" s="29" cm="1">
        <f t="array" ref="E42">_xlfn.IFS(C42=":",":",C42&gt;=N$19,1,C42&gt;=N$20,2,C42&gt;=N$21,3,C42&gt;=N$22,4,C42&gt;=N$23,5,C42&gt;=N$24,6,C42&lt;N$24,7)</f>
        <v>4</v>
      </c>
      <c r="F42" s="60"/>
      <c r="G42" s="8"/>
      <c r="H42" s="80" t="s">
        <v>2818</v>
      </c>
      <c r="I42" s="123" t="s">
        <v>3163</v>
      </c>
      <c r="K42" s="73"/>
      <c r="L42" s="26"/>
    </row>
    <row r="43" spans="1:13" ht="12" customHeight="1">
      <c r="A43" s="10" t="s">
        <v>659</v>
      </c>
      <c r="B43" s="112" t="s">
        <v>660</v>
      </c>
      <c r="C43" s="78">
        <v>585</v>
      </c>
      <c r="D43" s="68"/>
      <c r="E43" s="29" cm="1">
        <f t="array" ref="E43">_xlfn.IFS(C43=":",":",C43&gt;=N$19,1,C43&gt;=N$20,2,C43&gt;=N$21,3,C43&gt;=N$22,4,C43&gt;=N$23,5,C43&gt;=N$24,6,C43&lt;N$24,7)</f>
        <v>3</v>
      </c>
      <c r="F43" s="60"/>
      <c r="G43" s="8"/>
      <c r="H43" s="44" t="s">
        <v>3033</v>
      </c>
      <c r="I43" s="123" t="s">
        <v>3164</v>
      </c>
      <c r="J43" s="26"/>
      <c r="K43" s="26"/>
      <c r="L43" s="26"/>
    </row>
    <row r="44" spans="1:13" ht="12" customHeight="1">
      <c r="A44" s="10" t="s">
        <v>661</v>
      </c>
      <c r="B44" s="112" t="s">
        <v>662</v>
      </c>
      <c r="C44" s="78">
        <v>399</v>
      </c>
      <c r="D44" s="68"/>
      <c r="E44" s="29" cm="1">
        <f t="array" ref="E44">_xlfn.IFS(C44=":",":",C44&gt;=N$19,1,C44&gt;=N$20,2,C44&gt;=N$21,3,C44&gt;=N$22,4,C44&gt;=N$23,5,C44&gt;=N$24,6,C44&lt;N$24,7)</f>
        <v>4</v>
      </c>
      <c r="F44" s="60"/>
      <c r="G44" s="8"/>
      <c r="J44" s="26"/>
      <c r="K44" s="26"/>
      <c r="L44" s="26"/>
    </row>
    <row r="45" spans="1:13" ht="12" customHeight="1">
      <c r="A45" s="10" t="s">
        <v>663</v>
      </c>
      <c r="B45" s="112" t="s">
        <v>664</v>
      </c>
      <c r="C45" s="78">
        <v>169</v>
      </c>
      <c r="D45" s="68"/>
      <c r="E45" s="29" cm="1">
        <f t="array" ref="E45">_xlfn.IFS(C45=":",":",C45&gt;=N$19,1,C45&gt;=N$20,2,C45&gt;=N$21,3,C45&gt;=N$22,4,C45&gt;=N$23,5,C45&gt;=N$24,6,C45&lt;N$24,7)</f>
        <v>5</v>
      </c>
      <c r="F45" s="60"/>
      <c r="G45" s="8"/>
      <c r="I45" s="26"/>
      <c r="J45" s="26"/>
      <c r="K45" s="26"/>
      <c r="L45" s="26"/>
    </row>
    <row r="46" spans="1:13" ht="12" customHeight="1">
      <c r="A46" s="10" t="s">
        <v>665</v>
      </c>
      <c r="B46" s="113" t="s">
        <v>666</v>
      </c>
      <c r="C46" s="78">
        <v>25</v>
      </c>
      <c r="D46" s="68"/>
      <c r="E46" s="29" cm="1">
        <f t="array" ref="E46">_xlfn.IFS(C46=":",":",C46&gt;=N$19,1,C46&gt;=N$20,2,C46&gt;=N$21,3,C46&gt;=N$22,4,C46&gt;=N$23,5,C46&gt;=N$24,6,C46&lt;N$24,7)</f>
        <v>6</v>
      </c>
      <c r="F46" s="60"/>
      <c r="G46" s="8"/>
      <c r="I46" s="26"/>
      <c r="J46" s="26"/>
      <c r="K46" s="26"/>
      <c r="L46" s="26"/>
    </row>
    <row r="47" spans="1:13" ht="12" customHeight="1">
      <c r="A47" s="10" t="s">
        <v>667</v>
      </c>
      <c r="B47" s="113" t="s">
        <v>668</v>
      </c>
      <c r="C47" s="78">
        <v>30</v>
      </c>
      <c r="D47" s="68"/>
      <c r="E47" s="29" cm="1">
        <f t="array" ref="E47">_xlfn.IFS(C47=":",":",C47&gt;=N$19,1,C47&gt;=N$20,2,C47&gt;=N$21,3,C47&gt;=N$22,4,C47&gt;=N$23,5,C47&gt;=N$24,6,C47&lt;N$24,7)</f>
        <v>6</v>
      </c>
      <c r="F47" s="60"/>
      <c r="G47" s="8"/>
      <c r="I47" s="26"/>
      <c r="J47" s="26"/>
      <c r="K47" s="26"/>
      <c r="L47" s="26"/>
    </row>
    <row r="48" spans="1:13" ht="12" customHeight="1">
      <c r="A48" s="10" t="s">
        <v>669</v>
      </c>
      <c r="B48" s="113" t="s">
        <v>670</v>
      </c>
      <c r="C48" s="78">
        <v>38</v>
      </c>
      <c r="D48" s="68"/>
      <c r="E48" s="29" cm="1">
        <f t="array" ref="E48">_xlfn.IFS(C48=":",":",C48&gt;=N$19,1,C48&gt;=N$20,2,C48&gt;=N$21,3,C48&gt;=N$22,4,C48&gt;=N$23,5,C48&gt;=N$24,6,C48&lt;N$24,7)</f>
        <v>6</v>
      </c>
      <c r="F48" s="60"/>
      <c r="G48" s="8"/>
      <c r="I48" s="26"/>
      <c r="J48" s="26"/>
      <c r="K48" s="26"/>
    </row>
    <row r="49" spans="1:12" ht="12" customHeight="1">
      <c r="A49" s="10" t="s">
        <v>671</v>
      </c>
      <c r="B49" s="113" t="s">
        <v>672</v>
      </c>
      <c r="C49" s="78">
        <v>30</v>
      </c>
      <c r="D49" s="68"/>
      <c r="E49" s="29" cm="1">
        <f t="array" ref="E49">_xlfn.IFS(C49=":",":",C49&gt;=N$19,1,C49&gt;=N$20,2,C49&gt;=N$21,3,C49&gt;=N$22,4,C49&gt;=N$23,5,C49&gt;=N$24,6,C49&lt;N$24,7)</f>
        <v>6</v>
      </c>
      <c r="F49" s="60"/>
      <c r="G49" s="8"/>
      <c r="I49" s="26"/>
      <c r="J49" s="26"/>
      <c r="K49" s="26"/>
    </row>
    <row r="50" spans="1:12" ht="12" customHeight="1">
      <c r="A50" s="10" t="s">
        <v>673</v>
      </c>
      <c r="B50" s="113" t="s">
        <v>674</v>
      </c>
      <c r="C50" s="78">
        <v>72</v>
      </c>
      <c r="D50" s="68"/>
      <c r="E50" s="29" cm="1">
        <f t="array" ref="E50">_xlfn.IFS(C50=":",":",C50&gt;=N$19,1,C50&gt;=N$20,2,C50&gt;=N$21,3,C50&gt;=N$22,4,C50&gt;=N$23,5,C50&gt;=N$24,6,C50&lt;N$24,7)</f>
        <v>6</v>
      </c>
      <c r="F50" s="60"/>
      <c r="G50" s="8"/>
      <c r="I50" s="26"/>
      <c r="J50" s="26"/>
      <c r="K50" s="26"/>
    </row>
    <row r="51" spans="1:12" ht="12" customHeight="1">
      <c r="A51" s="10" t="s">
        <v>675</v>
      </c>
      <c r="B51" s="113" t="s">
        <v>676</v>
      </c>
      <c r="C51" s="78">
        <v>76</v>
      </c>
      <c r="D51" s="68"/>
      <c r="E51" s="29" cm="1">
        <f t="array" ref="E51">_xlfn.IFS(C51=":",":",C51&gt;=N$19,1,C51&gt;=N$20,2,C51&gt;=N$21,3,C51&gt;=N$22,4,C51&gt;=N$23,5,C51&gt;=N$24,6,C51&lt;N$24,7)</f>
        <v>5</v>
      </c>
      <c r="F51" s="60"/>
      <c r="G51" s="8"/>
      <c r="I51" s="26"/>
      <c r="J51" s="26"/>
      <c r="K51" s="26"/>
      <c r="L51" s="26"/>
    </row>
    <row r="52" spans="1:12" ht="12" customHeight="1">
      <c r="A52" s="10" t="s">
        <v>677</v>
      </c>
      <c r="B52" s="113" t="s">
        <v>678</v>
      </c>
      <c r="C52" s="78">
        <v>97</v>
      </c>
      <c r="D52" s="68"/>
      <c r="E52" s="29" cm="1">
        <f t="array" ref="E52">_xlfn.IFS(C52=":",":",C52&gt;=N$19,1,C52&gt;=N$20,2,C52&gt;=N$21,3,C52&gt;=N$22,4,C52&gt;=N$23,5,C52&gt;=N$24,6,C52&lt;N$24,7)</f>
        <v>5</v>
      </c>
      <c r="F52" s="60"/>
      <c r="G52" s="8"/>
      <c r="H52" s="31" t="s">
        <v>3076</v>
      </c>
      <c r="I52" s="5" t="s">
        <v>3165</v>
      </c>
      <c r="J52" s="26"/>
      <c r="K52" s="26"/>
      <c r="L52" s="26"/>
    </row>
    <row r="53" spans="1:12" ht="12" customHeight="1">
      <c r="A53" s="10" t="s">
        <v>679</v>
      </c>
      <c r="B53" s="113" t="s">
        <v>680</v>
      </c>
      <c r="C53" s="78">
        <v>62</v>
      </c>
      <c r="D53" s="68"/>
      <c r="E53" s="29" cm="1">
        <f t="array" ref="E53">_xlfn.IFS(C53=":",":",C53&gt;=N$19,1,C53&gt;=N$20,2,C53&gt;=N$21,3,C53&gt;=N$22,4,C53&gt;=N$23,5,C53&gt;=N$24,6,C53&lt;N$24,7)</f>
        <v>6</v>
      </c>
      <c r="F53" s="60"/>
      <c r="G53" s="8"/>
      <c r="H53" s="105" t="s">
        <v>3124</v>
      </c>
      <c r="I53" s="5" t="s">
        <v>3125</v>
      </c>
      <c r="J53" s="26"/>
      <c r="K53" s="26"/>
      <c r="L53" s="26"/>
    </row>
    <row r="54" spans="1:12" ht="12" customHeight="1">
      <c r="A54" s="10" t="s">
        <v>681</v>
      </c>
      <c r="B54" s="113" t="s">
        <v>682</v>
      </c>
      <c r="C54" s="78">
        <v>21</v>
      </c>
      <c r="D54" s="68"/>
      <c r="E54" s="29" cm="1">
        <f t="array" ref="E54">_xlfn.IFS(C54=":",":",C54&gt;=N$19,1,C54&gt;=N$20,2,C54&gt;=N$21,3,C54&gt;=N$22,4,C54&gt;=N$23,5,C54&gt;=N$24,6,C54&lt;N$24,7)</f>
        <v>6</v>
      </c>
      <c r="F54" s="60"/>
      <c r="G54" s="8"/>
      <c r="H54" s="26"/>
      <c r="I54" s="26"/>
      <c r="J54" s="26"/>
      <c r="K54" s="26"/>
      <c r="L54" s="26"/>
    </row>
    <row r="55" spans="1:12" ht="12" customHeight="1">
      <c r="A55" s="10" t="s">
        <v>683</v>
      </c>
      <c r="B55" s="113" t="s">
        <v>684</v>
      </c>
      <c r="C55" s="78">
        <v>14</v>
      </c>
      <c r="D55" s="68"/>
      <c r="E55" s="29" cm="1">
        <f t="array" ref="E55">_xlfn.IFS(C55=":",":",C55&gt;=N$19,1,C55&gt;=N$20,2,C55&gt;=N$21,3,C55&gt;=N$22,4,C55&gt;=N$23,5,C55&gt;=N$24,6,C55&lt;N$24,7)</f>
        <v>6</v>
      </c>
      <c r="F55" s="60"/>
      <c r="G55" s="8"/>
      <c r="H55" s="26"/>
      <c r="I55" s="26"/>
      <c r="J55" s="26"/>
      <c r="K55" s="26"/>
      <c r="L55" s="26"/>
    </row>
    <row r="56" spans="1:12" ht="12" customHeight="1">
      <c r="A56" s="10" t="s">
        <v>685</v>
      </c>
      <c r="B56" s="113" t="s">
        <v>686</v>
      </c>
      <c r="C56" s="78">
        <v>1258</v>
      </c>
      <c r="D56" s="68"/>
      <c r="E56" s="29" cm="1">
        <f t="array" ref="E56">_xlfn.IFS(C56=":",":",C56&gt;=N$19,1,C56&gt;=N$20,2,C56&gt;=N$21,3,C56&gt;=N$22,4,C56&gt;=N$23,5,C56&gt;=N$24,6,C56&lt;N$24,7)</f>
        <v>3</v>
      </c>
      <c r="F56" s="60"/>
      <c r="G56" s="8"/>
      <c r="H56" s="26"/>
      <c r="I56" s="26"/>
      <c r="J56" s="26"/>
      <c r="K56" s="26"/>
      <c r="L56" s="26"/>
    </row>
    <row r="57" spans="1:12" ht="12" customHeight="1">
      <c r="A57" s="10" t="s">
        <v>687</v>
      </c>
      <c r="B57" s="113" t="s">
        <v>688</v>
      </c>
      <c r="C57" s="78">
        <v>371</v>
      </c>
      <c r="D57" s="68"/>
      <c r="E57" s="29" cm="1">
        <f t="array" ref="E57">_xlfn.IFS(C57=":",":",C57&gt;=N$19,1,C57&gt;=N$20,2,C57&gt;=N$21,3,C57&gt;=N$22,4,C57&gt;=N$23,5,C57&gt;=N$24,6,C57&lt;N$24,7)</f>
        <v>4</v>
      </c>
      <c r="F57" s="60"/>
      <c r="G57" s="8"/>
      <c r="H57" s="26"/>
    </row>
    <row r="58" spans="1:12" ht="12" customHeight="1">
      <c r="A58" s="10" t="s">
        <v>689</v>
      </c>
      <c r="B58" s="113" t="s">
        <v>690</v>
      </c>
      <c r="C58" s="78">
        <v>25</v>
      </c>
      <c r="D58" s="68"/>
      <c r="E58" s="29" cm="1">
        <f t="array" ref="E58">_xlfn.IFS(C58=":",":",C58&gt;=N$19,1,C58&gt;=N$20,2,C58&gt;=N$21,3,C58&gt;=N$22,4,C58&gt;=N$23,5,C58&gt;=N$24,6,C58&lt;N$24,7)</f>
        <v>6</v>
      </c>
      <c r="F58" s="60"/>
      <c r="G58" s="8"/>
      <c r="H58" s="26"/>
    </row>
    <row r="59" spans="1:12" ht="12" customHeight="1">
      <c r="A59" s="10" t="s">
        <v>691</v>
      </c>
      <c r="B59" s="113" t="s">
        <v>692</v>
      </c>
      <c r="C59" s="78">
        <v>14</v>
      </c>
      <c r="D59" s="68"/>
      <c r="E59" s="29" cm="1">
        <f t="array" ref="E59">_xlfn.IFS(C59=":",":",C59&gt;=N$19,1,C59&gt;=N$20,2,C59&gt;=N$21,3,C59&gt;=N$22,4,C59&gt;=N$23,5,C59&gt;=N$24,6,C59&lt;N$24,7)</f>
        <v>6</v>
      </c>
      <c r="F59" s="60"/>
      <c r="G59" s="8"/>
      <c r="H59" s="5"/>
    </row>
    <row r="60" spans="1:12" ht="12" customHeight="1">
      <c r="A60" s="10" t="s">
        <v>693</v>
      </c>
      <c r="B60" s="113" t="s">
        <v>694</v>
      </c>
      <c r="C60" s="78">
        <v>1297</v>
      </c>
      <c r="D60" s="68"/>
      <c r="E60" s="29" cm="1">
        <f t="array" ref="E60">_xlfn.IFS(C60=":",":",C60&gt;=N$19,1,C60&gt;=N$20,2,C60&gt;=N$21,3,C60&gt;=N$22,4,C60&gt;=N$23,5,C60&gt;=N$24,6,C60&lt;N$24,7)</f>
        <v>3</v>
      </c>
      <c r="F60" s="60"/>
      <c r="G60" s="8"/>
      <c r="H60" s="2" t="s">
        <v>2844</v>
      </c>
    </row>
    <row r="61" spans="1:12" ht="12" customHeight="1">
      <c r="A61" s="10" t="s">
        <v>695</v>
      </c>
      <c r="B61" s="113" t="s">
        <v>696</v>
      </c>
      <c r="C61" s="78">
        <v>27</v>
      </c>
      <c r="D61" s="68"/>
      <c r="E61" s="29" cm="1">
        <f t="array" ref="E61">_xlfn.IFS(C61=":",":",C61&gt;=N$19,1,C61&gt;=N$20,2,C61&gt;=N$21,3,C61&gt;=N$22,4,C61&gt;=N$23,5,C61&gt;=N$24,6,C61&lt;N$24,7)</f>
        <v>6</v>
      </c>
      <c r="F61" s="60"/>
      <c r="G61" s="8"/>
      <c r="H61" s="18" t="s">
        <v>3043</v>
      </c>
    </row>
    <row r="62" spans="1:12" ht="12" customHeight="1">
      <c r="A62" s="10" t="s">
        <v>697</v>
      </c>
      <c r="B62" s="113" t="s">
        <v>698</v>
      </c>
      <c r="C62" s="78">
        <v>12</v>
      </c>
      <c r="D62" s="68"/>
      <c r="E62" s="29" cm="1">
        <f t="array" ref="E62">_xlfn.IFS(C62=":",":",C62&gt;=N$19,1,C62&gt;=N$20,2,C62&gt;=N$21,3,C62&gt;=N$22,4,C62&gt;=N$23,5,C62&gt;=N$24,6,C62&lt;N$24,7)</f>
        <v>6</v>
      </c>
      <c r="F62" s="60"/>
      <c r="G62" s="8"/>
      <c r="H62" s="7" t="s">
        <v>3020</v>
      </c>
      <c r="I62" s="56"/>
      <c r="J62" s="56"/>
    </row>
    <row r="63" spans="1:12" ht="12" customHeight="1">
      <c r="A63" s="10" t="s">
        <v>699</v>
      </c>
      <c r="B63" s="113" t="s">
        <v>700</v>
      </c>
      <c r="C63" s="78">
        <v>129</v>
      </c>
      <c r="D63" s="68"/>
      <c r="E63" s="29" cm="1">
        <f t="array" ref="E63">_xlfn.IFS(C63=":",":",C63&gt;=N$19,1,C63&gt;=N$20,2,C63&gt;=N$21,3,C63&gt;=N$22,4,C63&gt;=N$23,5,C63&gt;=N$24,6,C63&lt;N$24,7)</f>
        <v>5</v>
      </c>
      <c r="F63" s="60"/>
      <c r="G63" s="8"/>
      <c r="H63" s="7" t="s">
        <v>3009</v>
      </c>
      <c r="I63" s="56"/>
      <c r="J63" s="56"/>
    </row>
    <row r="64" spans="1:12" ht="12" customHeight="1">
      <c r="A64" s="10" t="s">
        <v>701</v>
      </c>
      <c r="B64" s="113" t="s">
        <v>702</v>
      </c>
      <c r="C64" s="78">
        <v>1737</v>
      </c>
      <c r="D64" s="68"/>
      <c r="E64" s="29" cm="1">
        <f t="array" ref="E64">_xlfn.IFS(C64=":",":",C64&gt;=N$19,1,C64&gt;=N$20,2,C64&gt;=N$21,3,C64&gt;=N$22,4,C64&gt;=N$23,5,C64&gt;=N$24,6,C64&lt;N$24,7)</f>
        <v>2</v>
      </c>
      <c r="F64" s="60"/>
      <c r="G64" s="8"/>
      <c r="H64" s="44" t="s">
        <v>3136</v>
      </c>
    </row>
    <row r="65" spans="1:8" ht="12" customHeight="1">
      <c r="A65" s="10" t="s">
        <v>703</v>
      </c>
      <c r="B65" s="113" t="s">
        <v>704</v>
      </c>
      <c r="C65" s="78">
        <v>100</v>
      </c>
      <c r="D65" s="68"/>
      <c r="E65" s="29" cm="1">
        <f t="array" ref="E65">_xlfn.IFS(C65=":",":",C65&gt;=N$19,1,C65&gt;=N$20,2,C65&gt;=N$21,3,C65&gt;=N$22,4,C65&gt;=N$23,5,C65&gt;=N$24,6,C65&lt;N$24,7)</f>
        <v>5</v>
      </c>
      <c r="F65" s="60"/>
      <c r="G65" s="8"/>
      <c r="H65" s="115" t="s">
        <v>3131</v>
      </c>
    </row>
    <row r="66" spans="1:8" ht="12" customHeight="1">
      <c r="A66" s="10" t="s">
        <v>705</v>
      </c>
      <c r="B66" s="113" t="s">
        <v>706</v>
      </c>
      <c r="C66" s="78">
        <v>277</v>
      </c>
      <c r="D66" s="68"/>
      <c r="E66" s="29" cm="1">
        <f t="array" ref="E66">_xlfn.IFS(C66=":",":",C66&gt;=N$19,1,C66&gt;=N$20,2,C66&gt;=N$21,3,C66&gt;=N$22,4,C66&gt;=N$23,5,C66&gt;=N$24,6,C66&lt;N$24,7)</f>
        <v>4</v>
      </c>
      <c r="F66" s="60"/>
      <c r="G66" s="8"/>
    </row>
    <row r="67" spans="1:8" ht="12" customHeight="1">
      <c r="A67" s="10" t="s">
        <v>707</v>
      </c>
      <c r="B67" s="113" t="s">
        <v>708</v>
      </c>
      <c r="C67" s="78">
        <v>16</v>
      </c>
      <c r="D67" s="68"/>
      <c r="E67" s="29" cm="1">
        <f t="array" ref="E67">_xlfn.IFS(C67=":",":",C67&gt;=N$19,1,C67&gt;=N$20,2,C67&gt;=N$21,3,C67&gt;=N$22,4,C67&gt;=N$23,5,C67&gt;=N$24,6,C67&lt;N$24,7)</f>
        <v>6</v>
      </c>
      <c r="F67" s="60"/>
      <c r="G67" s="8"/>
    </row>
    <row r="68" spans="1:8" ht="12" customHeight="1">
      <c r="A68" s="10" t="s">
        <v>709</v>
      </c>
      <c r="B68" s="113" t="s">
        <v>710</v>
      </c>
      <c r="C68" s="78">
        <v>79</v>
      </c>
      <c r="D68" s="68"/>
      <c r="E68" s="29" cm="1">
        <f t="array" ref="E68">_xlfn.IFS(C68=":",":",C68&gt;=N$19,1,C68&gt;=N$20,2,C68&gt;=N$21,3,C68&gt;=N$22,4,C68&gt;=N$23,5,C68&gt;=N$24,6,C68&lt;N$24,7)</f>
        <v>5</v>
      </c>
      <c r="F68" s="60"/>
      <c r="G68" s="8"/>
      <c r="H68" s="26"/>
    </row>
    <row r="69" spans="1:8" ht="12" customHeight="1">
      <c r="A69" s="10" t="s">
        <v>711</v>
      </c>
      <c r="B69" s="113" t="s">
        <v>712</v>
      </c>
      <c r="C69" s="78">
        <v>240</v>
      </c>
      <c r="D69" s="68"/>
      <c r="E69" s="29" cm="1">
        <f t="array" ref="E69">_xlfn.IFS(C69=":",":",C69&gt;=N$19,1,C69&gt;=N$20,2,C69&gt;=N$21,3,C69&gt;=N$22,4,C69&gt;=N$23,5,C69&gt;=N$24,6,C69&lt;N$24,7)</f>
        <v>4</v>
      </c>
      <c r="F69" s="60"/>
      <c r="G69" s="8"/>
    </row>
    <row r="70" spans="1:8" ht="12" customHeight="1">
      <c r="A70" s="10" t="s">
        <v>713</v>
      </c>
      <c r="B70" s="113" t="s">
        <v>714</v>
      </c>
      <c r="C70" s="78">
        <v>47</v>
      </c>
      <c r="D70" s="68"/>
      <c r="E70" s="29" cm="1">
        <f t="array" ref="E70">_xlfn.IFS(C70=":",":",C70&gt;=N$19,1,C70&gt;=N$20,2,C70&gt;=N$21,3,C70&gt;=N$22,4,C70&gt;=N$23,5,C70&gt;=N$24,6,C70&lt;N$24,7)</f>
        <v>6</v>
      </c>
      <c r="F70" s="60"/>
      <c r="G70" s="8"/>
      <c r="H70" s="26"/>
    </row>
    <row r="71" spans="1:8" ht="12" customHeight="1">
      <c r="A71" s="10" t="s">
        <v>715</v>
      </c>
      <c r="B71" s="113" t="s">
        <v>716</v>
      </c>
      <c r="C71" s="78">
        <v>251</v>
      </c>
      <c r="D71" s="70"/>
      <c r="E71" s="29" cm="1">
        <f t="array" ref="E71">_xlfn.IFS(C71=":",":",C71&gt;=N$19,1,C71&gt;=N$20,2,C71&gt;=N$21,3,C71&gt;=N$22,4,C71&gt;=N$23,5,C71&gt;=N$24,6,C71&lt;N$24,7)</f>
        <v>4</v>
      </c>
      <c r="F71" s="60"/>
      <c r="G71" s="8"/>
      <c r="H71" s="26"/>
    </row>
    <row r="72" spans="1:8" ht="12" customHeight="1">
      <c r="A72" s="10" t="s">
        <v>717</v>
      </c>
      <c r="B72" s="113" t="s">
        <v>718</v>
      </c>
      <c r="C72" s="78">
        <v>259</v>
      </c>
      <c r="D72" s="70"/>
      <c r="E72" s="29" cm="1">
        <f t="array" ref="E72">_xlfn.IFS(C72=":",":",C72&gt;=N$19,1,C72&gt;=N$20,2,C72&gt;=N$21,3,C72&gt;=N$22,4,C72&gt;=N$23,5,C72&gt;=N$24,6,C72&lt;N$24,7)</f>
        <v>4</v>
      </c>
      <c r="F72" s="60"/>
      <c r="G72" s="8"/>
      <c r="H72" s="26"/>
    </row>
    <row r="73" spans="1:8" ht="12" customHeight="1">
      <c r="A73" s="10" t="s">
        <v>719</v>
      </c>
      <c r="B73" s="113" t="s">
        <v>720</v>
      </c>
      <c r="C73" s="78">
        <v>39</v>
      </c>
      <c r="D73" s="70"/>
      <c r="E73" s="29" cm="1">
        <f t="array" ref="E73">_xlfn.IFS(C73=":",":",C73&gt;=N$19,1,C73&gt;=N$20,2,C73&gt;=N$21,3,C73&gt;=N$22,4,C73&gt;=N$23,5,C73&gt;=N$24,6,C73&lt;N$24,7)</f>
        <v>6</v>
      </c>
      <c r="F73" s="60"/>
      <c r="G73" s="8"/>
      <c r="H73" s="26"/>
    </row>
    <row r="74" spans="1:8" ht="12" customHeight="1">
      <c r="A74" s="10" t="s">
        <v>721</v>
      </c>
      <c r="B74" s="112" t="s">
        <v>2856</v>
      </c>
      <c r="C74" s="78">
        <v>37689</v>
      </c>
      <c r="D74" s="68"/>
      <c r="E74" s="29" cm="1">
        <f t="array" ref="E74">_xlfn.IFS(C74=":",":",C74&gt;=N$19,1,C74&gt;=N$20,2,C74&gt;=N$21,3,C74&gt;=N$22,4,C74&gt;=N$23,5,C74&gt;=N$24,6,C74&lt;N$24,7)</f>
        <v>1</v>
      </c>
      <c r="F74" s="60"/>
      <c r="G74" s="8"/>
      <c r="H74" s="26"/>
    </row>
    <row r="75" spans="1:8" ht="12" customHeight="1">
      <c r="A75" s="10" t="s">
        <v>722</v>
      </c>
      <c r="B75" s="112" t="s">
        <v>2857</v>
      </c>
      <c r="C75" s="78">
        <v>289</v>
      </c>
      <c r="D75" s="68"/>
      <c r="E75" s="29" cm="1">
        <f t="array" ref="E75">_xlfn.IFS(C75=":",":",C75&gt;=N$19,1,C75&gt;=N$20,2,C75&gt;=N$21,3,C75&gt;=N$22,4,C75&gt;=N$23,5,C75&gt;=N$24,6,C75&lt;N$24,7)</f>
        <v>4</v>
      </c>
      <c r="F75" s="60"/>
      <c r="G75" s="8"/>
      <c r="H75" s="26"/>
    </row>
    <row r="76" spans="1:8" ht="12" customHeight="1">
      <c r="A76" s="10" t="s">
        <v>723</v>
      </c>
      <c r="B76" s="112" t="s">
        <v>2858</v>
      </c>
      <c r="C76" s="78">
        <v>479</v>
      </c>
      <c r="D76" s="68"/>
      <c r="E76" s="29" cm="1">
        <f t="array" ref="E76">_xlfn.IFS(C76=":",":",C76&gt;=N$19,1,C76&gt;=N$20,2,C76&gt;=N$21,3,C76&gt;=N$22,4,C76&gt;=N$23,5,C76&gt;=N$24,6,C76&lt;N$24,7)</f>
        <v>4</v>
      </c>
      <c r="F76" s="60"/>
      <c r="G76" s="8"/>
      <c r="H76" s="26"/>
    </row>
    <row r="77" spans="1:8" ht="12" customHeight="1">
      <c r="A77" s="10" t="s">
        <v>724</v>
      </c>
      <c r="B77" s="112" t="s">
        <v>2859</v>
      </c>
      <c r="C77" s="78">
        <v>286</v>
      </c>
      <c r="D77" s="68"/>
      <c r="E77" s="29" cm="1">
        <f t="array" ref="E77">_xlfn.IFS(C77=":",":",C77&gt;=N$19,1,C77&gt;=N$20,2,C77&gt;=N$21,3,C77&gt;=N$22,4,C77&gt;=N$23,5,C77&gt;=N$24,6,C77&lt;N$24,7)</f>
        <v>4</v>
      </c>
      <c r="F77" s="60"/>
      <c r="G77" s="8"/>
      <c r="H77" s="26"/>
    </row>
    <row r="78" spans="1:8" ht="12" customHeight="1">
      <c r="A78" s="10" t="s">
        <v>725</v>
      </c>
      <c r="B78" s="112" t="s">
        <v>726</v>
      </c>
      <c r="C78" s="78">
        <v>1606</v>
      </c>
      <c r="D78" s="68"/>
      <c r="E78" s="29" cm="1">
        <f t="array" ref="E78">_xlfn.IFS(C78=":",":",C78&gt;=N$19,1,C78&gt;=N$20,2,C78&gt;=N$21,3,C78&gt;=N$22,4,C78&gt;=N$23,5,C78&gt;=N$24,6,C78&lt;N$24,7)</f>
        <v>2</v>
      </c>
      <c r="F78" s="60"/>
      <c r="G78" s="8"/>
      <c r="H78" s="26"/>
    </row>
    <row r="79" spans="1:8" ht="12" customHeight="1">
      <c r="A79" s="10" t="s">
        <v>727</v>
      </c>
      <c r="B79" s="112" t="s">
        <v>728</v>
      </c>
      <c r="C79" s="78">
        <v>307</v>
      </c>
      <c r="D79" s="68"/>
      <c r="E79" s="29" cm="1">
        <f t="array" ref="E79">_xlfn.IFS(C79=":",":",C79&gt;=N$19,1,C79&gt;=N$20,2,C79&gt;=N$21,3,C79&gt;=N$22,4,C79&gt;=N$23,5,C79&gt;=N$24,6,C79&lt;N$24,7)</f>
        <v>4</v>
      </c>
      <c r="F79" s="60"/>
      <c r="G79" s="8"/>
      <c r="H79" s="26"/>
    </row>
    <row r="80" spans="1:8" ht="12" customHeight="1">
      <c r="A80" s="10" t="s">
        <v>729</v>
      </c>
      <c r="B80" s="112" t="s">
        <v>730</v>
      </c>
      <c r="C80" s="78">
        <v>1065</v>
      </c>
      <c r="D80" s="68"/>
      <c r="E80" s="29" cm="1">
        <f t="array" ref="E80">_xlfn.IFS(C80=":",":",C80&gt;=N$19,1,C80&gt;=N$20,2,C80&gt;=N$21,3,C80&gt;=N$22,4,C80&gt;=N$23,5,C80&gt;=N$24,6,C80&lt;N$24,7)</f>
        <v>3</v>
      </c>
      <c r="F80" s="60"/>
      <c r="G80" s="8"/>
      <c r="H80" s="26"/>
    </row>
    <row r="81" spans="1:8" ht="12" customHeight="1">
      <c r="A81" s="10" t="s">
        <v>731</v>
      </c>
      <c r="B81" s="112" t="s">
        <v>732</v>
      </c>
      <c r="C81" s="78">
        <v>984</v>
      </c>
      <c r="D81" s="68"/>
      <c r="E81" s="29" cm="1">
        <f t="array" ref="E81">_xlfn.IFS(C81=":",":",C81&gt;=N$19,1,C81&gt;=N$20,2,C81&gt;=N$21,3,C81&gt;=N$22,4,C81&gt;=N$23,5,C81&gt;=N$24,6,C81&lt;N$24,7)</f>
        <v>3</v>
      </c>
      <c r="F81" s="60"/>
      <c r="G81" s="8"/>
      <c r="H81" s="26"/>
    </row>
    <row r="82" spans="1:8" ht="12" customHeight="1">
      <c r="A82" s="10" t="s">
        <v>733</v>
      </c>
      <c r="B82" s="112" t="s">
        <v>734</v>
      </c>
      <c r="C82" s="78">
        <v>305</v>
      </c>
      <c r="D82" s="68"/>
      <c r="E82" s="29" cm="1">
        <f t="array" ref="E82">_xlfn.IFS(C82=":",":",C82&gt;=N$19,1,C82&gt;=N$20,2,C82&gt;=N$21,3,C82&gt;=N$22,4,C82&gt;=N$23,5,C82&gt;=N$24,6,C82&lt;N$24,7)</f>
        <v>4</v>
      </c>
      <c r="F82" s="60"/>
      <c r="G82" s="8"/>
      <c r="H82" s="26"/>
    </row>
    <row r="83" spans="1:8" ht="12" customHeight="1">
      <c r="A83" s="10" t="s">
        <v>735</v>
      </c>
      <c r="B83" s="112" t="s">
        <v>2860</v>
      </c>
      <c r="C83" s="78">
        <v>240</v>
      </c>
      <c r="D83" s="68"/>
      <c r="E83" s="29" cm="1">
        <f t="array" ref="E83">_xlfn.IFS(C83=":",":",C83&gt;=N$19,1,C83&gt;=N$20,2,C83&gt;=N$21,3,C83&gt;=N$22,4,C83&gt;=N$23,5,C83&gt;=N$24,6,C83&lt;N$24,7)</f>
        <v>4</v>
      </c>
      <c r="F83" s="60"/>
      <c r="G83" s="8"/>
      <c r="H83" s="26"/>
    </row>
    <row r="84" spans="1:8" ht="12" customHeight="1">
      <c r="A84" s="10" t="s">
        <v>736</v>
      </c>
      <c r="B84" s="112" t="s">
        <v>737</v>
      </c>
      <c r="C84" s="78">
        <v>600</v>
      </c>
      <c r="D84" s="68"/>
      <c r="E84" s="29" cm="1">
        <f t="array" ref="E84">_xlfn.IFS(C84=":",":",C84&gt;=N$19,1,C84&gt;=N$20,2,C84&gt;=N$21,3,C84&gt;=N$22,4,C84&gt;=N$23,5,C84&gt;=N$24,6,C84&lt;N$24,7)</f>
        <v>3</v>
      </c>
      <c r="F84" s="60"/>
      <c r="G84" s="8"/>
      <c r="H84" s="26"/>
    </row>
    <row r="85" spans="1:8" ht="12" customHeight="1">
      <c r="A85" s="10" t="s">
        <v>738</v>
      </c>
      <c r="B85" s="112" t="s">
        <v>739</v>
      </c>
      <c r="C85" s="78">
        <v>423</v>
      </c>
      <c r="D85" s="68"/>
      <c r="E85" s="29" cm="1">
        <f t="array" ref="E85">_xlfn.IFS(C85=":",":",C85&gt;=N$19,1,C85&gt;=N$20,2,C85&gt;=N$21,3,C85&gt;=N$22,4,C85&gt;=N$23,5,C85&gt;=N$24,6,C85&lt;N$24,7)</f>
        <v>4</v>
      </c>
      <c r="F85" s="60"/>
      <c r="G85" s="8"/>
      <c r="H85" s="26"/>
    </row>
    <row r="86" spans="1:8" ht="12" customHeight="1">
      <c r="A86" s="10" t="s">
        <v>740</v>
      </c>
      <c r="B86" s="112" t="s">
        <v>741</v>
      </c>
      <c r="C86" s="78">
        <v>570</v>
      </c>
      <c r="D86" s="68"/>
      <c r="E86" s="29" cm="1">
        <f t="array" ref="E86">_xlfn.IFS(C86=":",":",C86&gt;=N$19,1,C86&gt;=N$20,2,C86&gt;=N$21,3,C86&gt;=N$22,4,C86&gt;=N$23,5,C86&gt;=N$24,6,C86&lt;N$24,7)</f>
        <v>3</v>
      </c>
      <c r="F86" s="60"/>
      <c r="G86" s="8"/>
      <c r="H86" s="26"/>
    </row>
    <row r="87" spans="1:8" ht="12" customHeight="1">
      <c r="A87" s="10" t="s">
        <v>742</v>
      </c>
      <c r="B87" s="112" t="s">
        <v>743</v>
      </c>
      <c r="C87" s="78">
        <v>517</v>
      </c>
      <c r="D87" s="68"/>
      <c r="E87" s="29" cm="1">
        <f t="array" ref="E87">_xlfn.IFS(C87=":",":",C87&gt;=N$19,1,C87&gt;=N$20,2,C87&gt;=N$21,3,C87&gt;=N$22,4,C87&gt;=N$23,5,C87&gt;=N$24,6,C87&lt;N$24,7)</f>
        <v>3</v>
      </c>
      <c r="F87" s="60"/>
      <c r="G87" s="8"/>
      <c r="H87" s="26"/>
    </row>
    <row r="88" spans="1:8" ht="12" customHeight="1">
      <c r="A88" s="10" t="s">
        <v>744</v>
      </c>
      <c r="B88" s="112" t="s">
        <v>745</v>
      </c>
      <c r="C88" s="78">
        <v>70237</v>
      </c>
      <c r="D88" s="68"/>
      <c r="E88" s="29" cm="1">
        <f t="array" ref="E88">_xlfn.IFS(C88=":",":",C88&gt;=N$19,1,C88&gt;=N$20,2,C88&gt;=N$21,3,C88&gt;=N$22,4,C88&gt;=N$23,5,C88&gt;=N$24,6,C88&lt;N$24,7)</f>
        <v>1</v>
      </c>
      <c r="F88" s="60"/>
      <c r="G88" s="8"/>
      <c r="H88" s="26"/>
    </row>
    <row r="89" spans="1:8" ht="12" customHeight="1">
      <c r="A89" s="10" t="s">
        <v>746</v>
      </c>
      <c r="B89" s="112" t="s">
        <v>747</v>
      </c>
      <c r="C89" s="78">
        <v>2308</v>
      </c>
      <c r="D89" s="68"/>
      <c r="E89" s="29" cm="1">
        <f t="array" ref="E89">_xlfn.IFS(C89=":",":",C89&gt;=N$19,1,C89&gt;=N$20,2,C89&gt;=N$21,3,C89&gt;=N$22,4,C89&gt;=N$23,5,C89&gt;=N$24,6,C89&lt;N$24,7)</f>
        <v>2</v>
      </c>
      <c r="F89" s="60"/>
      <c r="G89" s="8"/>
      <c r="H89" s="26"/>
    </row>
    <row r="90" spans="1:8" ht="12" customHeight="1">
      <c r="A90" s="10" t="s">
        <v>748</v>
      </c>
      <c r="B90" s="112" t="s">
        <v>749</v>
      </c>
      <c r="C90" s="78">
        <v>1014</v>
      </c>
      <c r="D90" s="68"/>
      <c r="E90" s="29" cm="1">
        <f t="array" ref="E90">_xlfn.IFS(C90=":",":",C90&gt;=N$19,1,C90&gt;=N$20,2,C90&gt;=N$21,3,C90&gt;=N$22,4,C90&gt;=N$23,5,C90&gt;=N$24,6,C90&lt;N$24,7)</f>
        <v>3</v>
      </c>
      <c r="F90" s="60"/>
      <c r="G90" s="8"/>
      <c r="H90" s="26"/>
    </row>
    <row r="91" spans="1:8" ht="12" customHeight="1">
      <c r="A91" s="10" t="s">
        <v>750</v>
      </c>
      <c r="B91" s="112" t="s">
        <v>751</v>
      </c>
      <c r="C91" s="78">
        <v>1493</v>
      </c>
      <c r="D91" s="68"/>
      <c r="E91" s="29" cm="1">
        <f t="array" ref="E91">_xlfn.IFS(C91=":",":",C91&gt;=N$19,1,C91&gt;=N$20,2,C91&gt;=N$21,3,C91&gt;=N$22,4,C91&gt;=N$23,5,C91&gt;=N$24,6,C91&lt;N$24,7)</f>
        <v>3</v>
      </c>
      <c r="F91" s="60"/>
      <c r="G91" s="8"/>
      <c r="H91" s="26"/>
    </row>
    <row r="92" spans="1:8" ht="12" customHeight="1">
      <c r="A92" s="10" t="s">
        <v>752</v>
      </c>
      <c r="B92" s="112" t="s">
        <v>753</v>
      </c>
      <c r="C92" s="78">
        <v>556</v>
      </c>
      <c r="D92" s="68"/>
      <c r="E92" s="29" cm="1">
        <f t="array" ref="E92">_xlfn.IFS(C92=":",":",C92&gt;=N$19,1,C92&gt;=N$20,2,C92&gt;=N$21,3,C92&gt;=N$22,4,C92&gt;=N$23,5,C92&gt;=N$24,6,C92&lt;N$24,7)</f>
        <v>3</v>
      </c>
      <c r="F92" s="60"/>
      <c r="G92" s="8"/>
      <c r="H92" s="26"/>
    </row>
    <row r="93" spans="1:8" ht="12" customHeight="1">
      <c r="A93" s="10" t="s">
        <v>754</v>
      </c>
      <c r="B93" s="112" t="s">
        <v>755</v>
      </c>
      <c r="C93" s="78">
        <v>449</v>
      </c>
      <c r="D93" s="68"/>
      <c r="E93" s="29" cm="1">
        <f t="array" ref="E93">_xlfn.IFS(C93=":",":",C93&gt;=N$19,1,C93&gt;=N$20,2,C93&gt;=N$21,3,C93&gt;=N$22,4,C93&gt;=N$23,5,C93&gt;=N$24,6,C93&lt;N$24,7)</f>
        <v>4</v>
      </c>
      <c r="F93" s="60"/>
      <c r="G93" s="8"/>
      <c r="H93" s="26"/>
    </row>
    <row r="94" spans="1:8" ht="12" customHeight="1">
      <c r="A94" s="10" t="s">
        <v>756</v>
      </c>
      <c r="B94" s="112" t="s">
        <v>757</v>
      </c>
      <c r="C94" s="78">
        <v>796</v>
      </c>
      <c r="D94" s="70"/>
      <c r="E94" s="29" cm="1">
        <f t="array" ref="E94">_xlfn.IFS(C94=":",":",C94&gt;=N$19,1,C94&gt;=N$20,2,C94&gt;=N$21,3,C94&gt;=N$22,4,C94&gt;=N$23,5,C94&gt;=N$24,6,C94&lt;N$24,7)</f>
        <v>3</v>
      </c>
      <c r="F94" s="60"/>
      <c r="G94" s="8"/>
      <c r="H94" s="26"/>
    </row>
    <row r="95" spans="1:8" ht="12" customHeight="1">
      <c r="A95" s="10" t="s">
        <v>758</v>
      </c>
      <c r="B95" s="112" t="s">
        <v>759</v>
      </c>
      <c r="C95" s="78">
        <v>915</v>
      </c>
      <c r="D95" s="70"/>
      <c r="E95" s="29" cm="1">
        <f t="array" ref="E95">_xlfn.IFS(C95=":",":",C95&gt;=N$19,1,C95&gt;=N$20,2,C95&gt;=N$21,3,C95&gt;=N$22,4,C95&gt;=N$23,5,C95&gt;=N$24,6,C95&lt;N$24,7)</f>
        <v>3</v>
      </c>
      <c r="F95" s="60"/>
      <c r="G95" s="8"/>
      <c r="H95" s="26"/>
    </row>
    <row r="96" spans="1:8" ht="12" customHeight="1">
      <c r="A96" s="10" t="s">
        <v>760</v>
      </c>
      <c r="B96" s="112" t="s">
        <v>761</v>
      </c>
      <c r="C96" s="78">
        <v>310</v>
      </c>
      <c r="D96" s="70"/>
      <c r="E96" s="29" cm="1">
        <f t="array" ref="E96">_xlfn.IFS(C96=":",":",C96&gt;=N$19,1,C96&gt;=N$20,2,C96&gt;=N$21,3,C96&gt;=N$22,4,C96&gt;=N$23,5,C96&gt;=N$24,6,C96&lt;N$24,7)</f>
        <v>4</v>
      </c>
      <c r="F96" s="60"/>
      <c r="G96" s="8"/>
      <c r="H96" s="26"/>
    </row>
    <row r="97" spans="1:8" ht="12" customHeight="1">
      <c r="A97" s="10" t="s">
        <v>762</v>
      </c>
      <c r="B97" s="112" t="s">
        <v>763</v>
      </c>
      <c r="C97" s="78">
        <v>622</v>
      </c>
      <c r="D97" s="70"/>
      <c r="E97" s="29" cm="1">
        <f t="array" ref="E97">_xlfn.IFS(C97=":",":",C97&gt;=N$19,1,C97&gt;=N$20,2,C97&gt;=N$21,3,C97&gt;=N$22,4,C97&gt;=N$23,5,C97&gt;=N$24,6,C97&lt;N$24,7)</f>
        <v>3</v>
      </c>
      <c r="F97" s="60"/>
      <c r="G97" s="8"/>
      <c r="H97" s="26"/>
    </row>
    <row r="98" spans="1:8" ht="12" customHeight="1">
      <c r="A98" s="10" t="s">
        <v>764</v>
      </c>
      <c r="B98" s="112" t="s">
        <v>83</v>
      </c>
      <c r="C98" s="78">
        <v>651</v>
      </c>
      <c r="D98" s="68"/>
      <c r="E98" s="29" cm="1">
        <f t="array" ref="E98">_xlfn.IFS(C98=":",":",C98&gt;=N$19,1,C98&gt;=N$20,2,C98&gt;=N$21,3,C98&gt;=N$22,4,C98&gt;=N$23,5,C98&gt;=N$24,6,C98&lt;N$24,7)</f>
        <v>3</v>
      </c>
      <c r="F98" s="60"/>
      <c r="G98" s="8"/>
      <c r="H98" s="26"/>
    </row>
    <row r="99" spans="1:8" ht="12" customHeight="1">
      <c r="A99" s="10" t="s">
        <v>765</v>
      </c>
      <c r="B99" s="112" t="s">
        <v>766</v>
      </c>
      <c r="C99" s="78">
        <v>22372</v>
      </c>
      <c r="D99" s="68"/>
      <c r="E99" s="29" cm="1">
        <f t="array" ref="E99">_xlfn.IFS(C99=":",":",C99&gt;=N$19,1,C99&gt;=N$20,2,C99&gt;=N$21,3,C99&gt;=N$22,4,C99&gt;=N$23,5,C99&gt;=N$24,6,C99&lt;N$24,7)</f>
        <v>1</v>
      </c>
      <c r="F99" s="60"/>
      <c r="G99" s="8"/>
      <c r="H99" s="26"/>
    </row>
    <row r="100" spans="1:8" ht="12" customHeight="1">
      <c r="A100" s="10" t="s">
        <v>767</v>
      </c>
      <c r="B100" s="112" t="s">
        <v>768</v>
      </c>
      <c r="C100" s="78">
        <v>1735</v>
      </c>
      <c r="D100" s="68"/>
      <c r="E100" s="29" cm="1">
        <f t="array" ref="E100">_xlfn.IFS(C100=":",":",C100&gt;=N$19,1,C100&gt;=N$20,2,C100&gt;=N$21,3,C100&gt;=N$22,4,C100&gt;=N$23,5,C100&gt;=N$24,6,C100&lt;N$24,7)</f>
        <v>2</v>
      </c>
      <c r="F100" s="60"/>
      <c r="G100" s="8"/>
      <c r="H100" s="26"/>
    </row>
    <row r="101" spans="1:8" ht="12" customHeight="1">
      <c r="A101" s="10" t="s">
        <v>769</v>
      </c>
      <c r="B101" s="112" t="s">
        <v>770</v>
      </c>
      <c r="C101" s="78">
        <v>2358</v>
      </c>
      <c r="D101" s="68"/>
      <c r="E101" s="29" cm="1">
        <f t="array" ref="E101">_xlfn.IFS(C101=":",":",C101&gt;=N$19,1,C101&gt;=N$20,2,C101&gt;=N$21,3,C101&gt;=N$22,4,C101&gt;=N$23,5,C101&gt;=N$24,6,C101&lt;N$24,7)</f>
        <v>2</v>
      </c>
      <c r="F101" s="60"/>
      <c r="G101" s="8"/>
      <c r="H101" s="26"/>
    </row>
    <row r="102" spans="1:8" ht="12" customHeight="1">
      <c r="A102" s="10" t="s">
        <v>771</v>
      </c>
      <c r="B102" s="112" t="s">
        <v>772</v>
      </c>
      <c r="C102" s="78">
        <v>769</v>
      </c>
      <c r="D102" s="68"/>
      <c r="E102" s="29" cm="1">
        <f t="array" ref="E102">_xlfn.IFS(C102=":",":",C102&gt;=N$19,1,C102&gt;=N$20,2,C102&gt;=N$21,3,C102&gt;=N$22,4,C102&gt;=N$23,5,C102&gt;=N$24,6,C102&lt;N$24,7)</f>
        <v>3</v>
      </c>
      <c r="F102" s="60"/>
      <c r="G102" s="8"/>
      <c r="H102" s="26"/>
    </row>
    <row r="103" spans="1:8" ht="12" customHeight="1">
      <c r="A103" s="10" t="s">
        <v>773</v>
      </c>
      <c r="B103" s="112" t="s">
        <v>774</v>
      </c>
      <c r="C103" s="78">
        <v>1439</v>
      </c>
      <c r="D103" s="68"/>
      <c r="E103" s="29" cm="1">
        <f t="array" ref="E103">_xlfn.IFS(C103=":",":",C103&gt;=N$19,1,C103&gt;=N$20,2,C103&gt;=N$21,3,C103&gt;=N$22,4,C103&gt;=N$23,5,C103&gt;=N$24,6,C103&lt;N$24,7)</f>
        <v>3</v>
      </c>
      <c r="F103" s="60"/>
      <c r="G103" s="8"/>
      <c r="H103" s="26"/>
    </row>
    <row r="104" spans="1:8" ht="12" customHeight="1">
      <c r="A104" s="10" t="s">
        <v>775</v>
      </c>
      <c r="B104" s="112" t="s">
        <v>776</v>
      </c>
      <c r="C104" s="78">
        <v>765</v>
      </c>
      <c r="D104" s="68"/>
      <c r="E104" s="29" cm="1">
        <f t="array" ref="E104">_xlfn.IFS(C104=":",":",C104&gt;=N$19,1,C104&gt;=N$20,2,C104&gt;=N$21,3,C104&gt;=N$22,4,C104&gt;=N$23,5,C104&gt;=N$24,6,C104&lt;N$24,7)</f>
        <v>3</v>
      </c>
      <c r="F104" s="60"/>
      <c r="G104" s="8"/>
      <c r="H104" s="26"/>
    </row>
    <row r="105" spans="1:8" ht="12" customHeight="1">
      <c r="A105" s="10" t="s">
        <v>777</v>
      </c>
      <c r="B105" s="112" t="s">
        <v>778</v>
      </c>
      <c r="C105" s="78">
        <v>5493</v>
      </c>
      <c r="D105" s="68"/>
      <c r="E105" s="29" cm="1">
        <f t="array" ref="E105">_xlfn.IFS(C105=":",":",C105&gt;=N$19,1,C105&gt;=N$20,2,C105&gt;=N$21,3,C105&gt;=N$22,4,C105&gt;=N$23,5,C105&gt;=N$24,6,C105&lt;N$24,7)</f>
        <v>1</v>
      </c>
      <c r="F105" s="60"/>
      <c r="G105" s="8"/>
      <c r="H105" s="26"/>
    </row>
    <row r="106" spans="1:8" ht="12" customHeight="1">
      <c r="A106" s="10" t="s">
        <v>779</v>
      </c>
      <c r="B106" s="112" t="s">
        <v>780</v>
      </c>
      <c r="C106" s="78">
        <v>802</v>
      </c>
      <c r="D106" s="43"/>
      <c r="E106" s="29" cm="1">
        <f t="array" ref="E106">_xlfn.IFS(C106=":",":",C106&gt;=N$19,1,C106&gt;=N$20,2,C106&gt;=N$21,3,C106&gt;=N$22,4,C106&gt;=N$23,5,C106&gt;=N$24,6,C106&lt;N$24,7)</f>
        <v>3</v>
      </c>
      <c r="F106" s="60"/>
      <c r="G106" s="8"/>
      <c r="H106" s="26"/>
    </row>
    <row r="107" spans="1:8" ht="12" customHeight="1">
      <c r="A107" s="10" t="s">
        <v>781</v>
      </c>
      <c r="B107" s="112" t="s">
        <v>782</v>
      </c>
      <c r="C107" s="81">
        <v>487</v>
      </c>
      <c r="D107" s="68"/>
      <c r="E107" s="29" cm="1">
        <f t="array" ref="E107">_xlfn.IFS(C107=":",":",C107&gt;=N$19,1,C107&gt;=N$20,2,C107&gt;=N$21,3,C107&gt;=N$22,4,C107&gt;=N$23,5,C107&gt;=N$24,6,C107&lt;N$24,7)</f>
        <v>4</v>
      </c>
      <c r="F107" s="60"/>
      <c r="G107" s="8"/>
      <c r="H107" s="26"/>
    </row>
    <row r="108" spans="1:8" ht="12" customHeight="1">
      <c r="A108" s="10" t="s">
        <v>783</v>
      </c>
      <c r="B108" s="112" t="s">
        <v>784</v>
      </c>
      <c r="C108" s="78">
        <v>389</v>
      </c>
      <c r="D108" s="68"/>
      <c r="E108" s="29" cm="1">
        <f t="array" ref="E108">_xlfn.IFS(C108=":",":",C108&gt;=N$19,1,C108&gt;=N$20,2,C108&gt;=N$21,3,C108&gt;=N$22,4,C108&gt;=N$23,5,C108&gt;=N$24,6,C108&lt;N$24,7)</f>
        <v>4</v>
      </c>
      <c r="F108" s="60"/>
      <c r="G108" s="8"/>
      <c r="H108" s="26"/>
    </row>
    <row r="109" spans="1:8" ht="12" customHeight="1">
      <c r="A109" s="10" t="s">
        <v>785</v>
      </c>
      <c r="B109" s="112" t="s">
        <v>786</v>
      </c>
      <c r="C109" s="81">
        <v>462</v>
      </c>
      <c r="D109" s="68"/>
      <c r="E109" s="29" cm="1">
        <f t="array" ref="E109">_xlfn.IFS(C109=":",":",C109&gt;=N$19,1,C109&gt;=N$20,2,C109&gt;=N$21,3,C109&gt;=N$22,4,C109&gt;=N$23,5,C109&gt;=N$24,6,C109&lt;N$24,7)</f>
        <v>4</v>
      </c>
      <c r="F109" s="60"/>
      <c r="G109" s="8"/>
      <c r="H109" s="26"/>
    </row>
    <row r="110" spans="1:8" ht="12" customHeight="1">
      <c r="A110" s="10" t="s">
        <v>787</v>
      </c>
      <c r="B110" s="112" t="s">
        <v>788</v>
      </c>
      <c r="C110" s="81">
        <v>386</v>
      </c>
      <c r="D110" s="70"/>
      <c r="E110" s="29" cm="1">
        <f t="array" ref="E110">_xlfn.IFS(C110=":",":",C110&gt;=N$19,1,C110&gt;=N$20,2,C110&gt;=N$21,3,C110&gt;=N$22,4,C110&gt;=N$23,5,C110&gt;=N$24,6,C110&lt;N$24,7)</f>
        <v>4</v>
      </c>
      <c r="F110" s="60"/>
      <c r="G110" s="8"/>
      <c r="H110" s="26"/>
    </row>
    <row r="111" spans="1:8" ht="12" customHeight="1">
      <c r="A111" s="10" t="s">
        <v>789</v>
      </c>
      <c r="B111" s="112" t="s">
        <v>790</v>
      </c>
      <c r="C111" s="78">
        <v>470</v>
      </c>
      <c r="D111" s="70"/>
      <c r="E111" s="29" cm="1">
        <f t="array" ref="E111">_xlfn.IFS(C111=":",":",C111&gt;=N$19,1,C111&gt;=N$20,2,C111&gt;=N$21,3,C111&gt;=N$22,4,C111&gt;=N$23,5,C111&gt;=N$24,6,C111&lt;N$24,7)</f>
        <v>4</v>
      </c>
      <c r="F111" s="60"/>
      <c r="G111" s="8"/>
      <c r="H111" s="26"/>
    </row>
    <row r="112" spans="1:8" ht="12" customHeight="1">
      <c r="A112" s="10" t="s">
        <v>791</v>
      </c>
      <c r="B112" s="112" t="s">
        <v>792</v>
      </c>
      <c r="C112" s="78">
        <v>4907</v>
      </c>
      <c r="D112" s="70"/>
      <c r="E112" s="29" cm="1">
        <f t="array" ref="E112">_xlfn.IFS(C112=":",":",C112&gt;=N$19,1,C112&gt;=N$20,2,C112&gt;=N$21,3,C112&gt;=N$22,4,C112&gt;=N$23,5,C112&gt;=N$24,6,C112&lt;N$24,7)</f>
        <v>2</v>
      </c>
      <c r="F112" s="60"/>
      <c r="G112" s="8"/>
      <c r="H112" s="26"/>
    </row>
    <row r="113" spans="1:8" ht="12" customHeight="1">
      <c r="A113" s="10" t="s">
        <v>793</v>
      </c>
      <c r="B113" s="112" t="s">
        <v>794</v>
      </c>
      <c r="C113" s="78">
        <v>7572</v>
      </c>
      <c r="D113" s="70"/>
      <c r="E113" s="29" cm="1">
        <f t="array" ref="E113">_xlfn.IFS(C113=":",":",C113&gt;=N$19,1,C113&gt;=N$20,2,C113&gt;=N$21,3,C113&gt;=N$22,4,C113&gt;=N$23,5,C113&gt;=N$24,6,C113&lt;N$24,7)</f>
        <v>1</v>
      </c>
      <c r="F113" s="60"/>
      <c r="G113" s="8"/>
      <c r="H113" s="26"/>
    </row>
    <row r="114" spans="1:8" ht="12" customHeight="1">
      <c r="A114" s="10" t="s">
        <v>795</v>
      </c>
      <c r="B114" s="112" t="s">
        <v>796</v>
      </c>
      <c r="C114" s="78">
        <v>644</v>
      </c>
      <c r="D114" s="70"/>
      <c r="E114" s="29" cm="1">
        <f t="array" ref="E114">_xlfn.IFS(C114=":",":",C114&gt;=N$19,1,C114&gt;=N$20,2,C114&gt;=N$21,3,C114&gt;=N$22,4,C114&gt;=N$23,5,C114&gt;=N$24,6,C114&lt;N$24,7)</f>
        <v>3</v>
      </c>
      <c r="F114" s="60"/>
      <c r="G114" s="8"/>
      <c r="H114" s="26"/>
    </row>
    <row r="115" spans="1:8" ht="12" customHeight="1">
      <c r="A115" s="10" t="s">
        <v>797</v>
      </c>
      <c r="B115" s="112" t="s">
        <v>798</v>
      </c>
      <c r="C115" s="78">
        <v>812</v>
      </c>
      <c r="D115" s="70"/>
      <c r="E115" s="29" cm="1">
        <f t="array" ref="E115">_xlfn.IFS(C115=":",":",C115&gt;=N$19,1,C115&gt;=N$20,2,C115&gt;=N$21,3,C115&gt;=N$22,4,C115&gt;=N$23,5,C115&gt;=N$24,6,C115&lt;N$24,7)</f>
        <v>3</v>
      </c>
      <c r="F115" s="60"/>
      <c r="G115" s="8"/>
      <c r="H115" s="26"/>
    </row>
    <row r="116" spans="1:8" ht="12" customHeight="1">
      <c r="A116" s="10" t="s">
        <v>799</v>
      </c>
      <c r="B116" s="112" t="s">
        <v>800</v>
      </c>
      <c r="C116" s="78">
        <v>16560</v>
      </c>
      <c r="D116" s="70"/>
      <c r="E116" s="29" cm="1">
        <f t="array" ref="E116">_xlfn.IFS(C116=":",":",C116&gt;=N$19,1,C116&gt;=N$20,2,C116&gt;=N$21,3,C116&gt;=N$22,4,C116&gt;=N$23,5,C116&gt;=N$24,6,C116&lt;N$24,7)</f>
        <v>1</v>
      </c>
      <c r="F116" s="60"/>
      <c r="G116" s="8"/>
      <c r="H116" s="26"/>
    </row>
    <row r="117" spans="1:8" ht="12" customHeight="1">
      <c r="A117" s="10" t="s">
        <v>801</v>
      </c>
      <c r="B117" s="112" t="s">
        <v>802</v>
      </c>
      <c r="C117" s="78">
        <v>10566</v>
      </c>
      <c r="D117" s="70"/>
      <c r="E117" s="29" cm="1">
        <f t="array" ref="E117">_xlfn.IFS(C117=":",":",C117&gt;=N$19,1,C117&gt;=N$20,2,C117&gt;=N$21,3,C117&gt;=N$22,4,C117&gt;=N$23,5,C117&gt;=N$24,6,C117&lt;N$24,7)</f>
        <v>1</v>
      </c>
      <c r="F117" s="60"/>
      <c r="G117" s="8"/>
      <c r="H117" s="26"/>
    </row>
    <row r="118" spans="1:8" ht="12" customHeight="1">
      <c r="A118" s="10" t="s">
        <v>803</v>
      </c>
      <c r="B118" s="112" t="s">
        <v>804</v>
      </c>
      <c r="C118" s="78">
        <v>300</v>
      </c>
      <c r="D118" s="70"/>
      <c r="E118" s="29" cm="1">
        <f t="array" ref="E118">_xlfn.IFS(C118=":",":",C118&gt;=N$19,1,C118&gt;=N$20,2,C118&gt;=N$21,3,C118&gt;=N$22,4,C118&gt;=N$23,5,C118&gt;=N$24,6,C118&lt;N$24,7)</f>
        <v>4</v>
      </c>
      <c r="F118" s="60"/>
      <c r="G118" s="8"/>
      <c r="H118" s="26"/>
    </row>
    <row r="119" spans="1:8" ht="12" customHeight="1">
      <c r="A119" s="10" t="s">
        <v>805</v>
      </c>
      <c r="B119" s="112" t="s">
        <v>806</v>
      </c>
      <c r="C119" s="78">
        <v>1227</v>
      </c>
      <c r="D119" s="70"/>
      <c r="E119" s="29" cm="1">
        <f t="array" ref="E119">_xlfn.IFS(C119=":",":",C119&gt;=N$19,1,C119&gt;=N$20,2,C119&gt;=N$21,3,C119&gt;=N$22,4,C119&gt;=N$23,5,C119&gt;=N$24,6,C119&lt;N$24,7)</f>
        <v>3</v>
      </c>
      <c r="F119" s="60"/>
      <c r="G119" s="8"/>
      <c r="H119" s="26"/>
    </row>
    <row r="120" spans="1:8" ht="12" customHeight="1">
      <c r="A120" s="10" t="s">
        <v>807</v>
      </c>
      <c r="B120" s="112" t="s">
        <v>808</v>
      </c>
      <c r="C120" s="78">
        <v>2420</v>
      </c>
      <c r="D120" s="70"/>
      <c r="E120" s="29" cm="1">
        <f t="array" ref="E120">_xlfn.IFS(C120=":",":",C120&gt;=N$19,1,C120&gt;=N$20,2,C120&gt;=N$21,3,C120&gt;=N$22,4,C120&gt;=N$23,5,C120&gt;=N$24,6,C120&lt;N$24,7)</f>
        <v>2</v>
      </c>
      <c r="F120" s="60"/>
      <c r="G120" s="8"/>
      <c r="H120" s="26"/>
    </row>
    <row r="121" spans="1:8" ht="12" customHeight="1">
      <c r="A121" s="10" t="s">
        <v>809</v>
      </c>
      <c r="B121" s="112" t="s">
        <v>810</v>
      </c>
      <c r="C121" s="78">
        <v>1166</v>
      </c>
      <c r="D121" s="70"/>
      <c r="E121" s="29" cm="1">
        <f t="array" ref="E121">_xlfn.IFS(C121=":",":",C121&gt;=N$19,1,C121&gt;=N$20,2,C121&gt;=N$21,3,C121&gt;=N$22,4,C121&gt;=N$23,5,C121&gt;=N$24,6,C121&lt;N$24,7)</f>
        <v>3</v>
      </c>
      <c r="F121" s="60"/>
      <c r="G121" s="8"/>
      <c r="H121" s="26"/>
    </row>
    <row r="122" spans="1:8" ht="12" customHeight="1">
      <c r="A122" s="10" t="s">
        <v>811</v>
      </c>
      <c r="B122" s="112" t="s">
        <v>812</v>
      </c>
      <c r="C122" s="78">
        <v>367</v>
      </c>
      <c r="D122" s="70"/>
      <c r="E122" s="29" cm="1">
        <f t="array" ref="E122">_xlfn.IFS(C122=":",":",C122&gt;=N$19,1,C122&gt;=N$20,2,C122&gt;=N$21,3,C122&gt;=N$22,4,C122&gt;=N$23,5,C122&gt;=N$24,6,C122&lt;N$24,7)</f>
        <v>4</v>
      </c>
      <c r="F122" s="60"/>
      <c r="G122" s="8"/>
      <c r="H122" s="26"/>
    </row>
    <row r="123" spans="1:8" ht="12" customHeight="1">
      <c r="A123" s="10" t="s">
        <v>813</v>
      </c>
      <c r="B123" s="112" t="s">
        <v>814</v>
      </c>
      <c r="C123" s="78">
        <v>1564</v>
      </c>
      <c r="D123" s="70"/>
      <c r="E123" s="29" cm="1">
        <f t="array" ref="E123">_xlfn.IFS(C123=":",":",C123&gt;=N$19,1,C123&gt;=N$20,2,C123&gt;=N$21,3,C123&gt;=N$22,4,C123&gt;=N$23,5,C123&gt;=N$24,6,C123&lt;N$24,7)</f>
        <v>2</v>
      </c>
      <c r="F123" s="60"/>
      <c r="G123" s="8"/>
      <c r="H123" s="26"/>
    </row>
    <row r="124" spans="1:8" ht="12" customHeight="1">
      <c r="A124" s="10" t="s">
        <v>815</v>
      </c>
      <c r="B124" s="112" t="s">
        <v>816</v>
      </c>
      <c r="C124" s="78">
        <v>13878</v>
      </c>
      <c r="D124" s="70"/>
      <c r="E124" s="29" cm="1">
        <f t="array" ref="E124">_xlfn.IFS(C124=":",":",C124&gt;=N$19,1,C124&gt;=N$20,2,C124&gt;=N$21,3,C124&gt;=N$22,4,C124&gt;=N$23,5,C124&gt;=N$24,6,C124&lt;N$24,7)</f>
        <v>1</v>
      </c>
      <c r="F124" s="60"/>
      <c r="G124" s="8"/>
      <c r="H124" s="26"/>
    </row>
    <row r="125" spans="1:8" ht="12" customHeight="1">
      <c r="A125" s="10" t="s">
        <v>817</v>
      </c>
      <c r="B125" s="112" t="s">
        <v>818</v>
      </c>
      <c r="C125" s="78">
        <v>2843</v>
      </c>
      <c r="D125" s="70"/>
      <c r="E125" s="29" cm="1">
        <f t="array" ref="E125">_xlfn.IFS(C125=":",":",C125&gt;=N$19,1,C125&gt;=N$20,2,C125&gt;=N$21,3,C125&gt;=N$22,4,C125&gt;=N$23,5,C125&gt;=N$24,6,C125&lt;N$24,7)</f>
        <v>2</v>
      </c>
      <c r="F125" s="60"/>
      <c r="G125" s="8"/>
      <c r="H125" s="26"/>
    </row>
    <row r="126" spans="1:8" ht="12" customHeight="1">
      <c r="A126" s="10" t="s">
        <v>819</v>
      </c>
      <c r="B126" s="112" t="s">
        <v>820</v>
      </c>
      <c r="C126" s="78">
        <v>996</v>
      </c>
      <c r="D126" s="70"/>
      <c r="E126" s="29" cm="1">
        <f t="array" ref="E126">_xlfn.IFS(C126=":",":",C126&gt;=N$19,1,C126&gt;=N$20,2,C126&gt;=N$21,3,C126&gt;=N$22,4,C126&gt;=N$23,5,C126&gt;=N$24,6,C126&lt;N$24,7)</f>
        <v>3</v>
      </c>
      <c r="F126" s="60"/>
      <c r="G126" s="8"/>
      <c r="H126" s="26"/>
    </row>
    <row r="127" spans="1:8" ht="12" customHeight="1">
      <c r="A127" s="10" t="s">
        <v>821</v>
      </c>
      <c r="B127" s="112" t="s">
        <v>822</v>
      </c>
      <c r="C127" s="78">
        <v>2304</v>
      </c>
      <c r="D127" s="70"/>
      <c r="E127" s="29" cm="1">
        <f t="array" ref="E127">_xlfn.IFS(C127=":",":",C127&gt;=N$19,1,C127&gt;=N$20,2,C127&gt;=N$21,3,C127&gt;=N$22,4,C127&gt;=N$23,5,C127&gt;=N$24,6,C127&lt;N$24,7)</f>
        <v>2</v>
      </c>
      <c r="F127" s="60"/>
      <c r="G127" s="8"/>
      <c r="H127" s="26"/>
    </row>
    <row r="128" spans="1:8" ht="12" customHeight="1">
      <c r="A128" s="10" t="s">
        <v>823</v>
      </c>
      <c r="B128" s="112" t="s">
        <v>824</v>
      </c>
      <c r="C128" s="78">
        <v>358</v>
      </c>
      <c r="D128" s="70"/>
      <c r="E128" s="29" cm="1">
        <f t="array" ref="E128">_xlfn.IFS(C128=":",":",C128&gt;=N$19,1,C128&gt;=N$20,2,C128&gt;=N$21,3,C128&gt;=N$22,4,C128&gt;=N$23,5,C128&gt;=N$24,6,C128&lt;N$24,7)</f>
        <v>4</v>
      </c>
      <c r="F128" s="60"/>
      <c r="G128" s="8"/>
      <c r="H128" s="26"/>
    </row>
    <row r="129" spans="1:8" ht="12" customHeight="1">
      <c r="A129" s="10" t="s">
        <v>825</v>
      </c>
      <c r="B129" s="112" t="s">
        <v>826</v>
      </c>
      <c r="C129" s="78">
        <v>921</v>
      </c>
      <c r="D129" s="70"/>
      <c r="E129" s="29" cm="1">
        <f t="array" ref="E129">_xlfn.IFS(C129=":",":",C129&gt;=N$19,1,C129&gt;=N$20,2,C129&gt;=N$21,3,C129&gt;=N$22,4,C129&gt;=N$23,5,C129&gt;=N$24,6,C129&lt;N$24,7)</f>
        <v>3</v>
      </c>
      <c r="F129" s="60"/>
      <c r="G129" s="8"/>
      <c r="H129" s="26"/>
    </row>
    <row r="130" spans="1:8" ht="12" customHeight="1">
      <c r="A130" s="10" t="s">
        <v>827</v>
      </c>
      <c r="B130" s="112" t="s">
        <v>828</v>
      </c>
      <c r="C130" s="78">
        <v>454</v>
      </c>
      <c r="D130" s="70"/>
      <c r="E130" s="29" cm="1">
        <f t="array" ref="E130">_xlfn.IFS(C130=":",":",C130&gt;=N$19,1,C130&gt;=N$20,2,C130&gt;=N$21,3,C130&gt;=N$22,4,C130&gt;=N$23,5,C130&gt;=N$24,6,C130&lt;N$24,7)</f>
        <v>4</v>
      </c>
      <c r="F130" s="60"/>
      <c r="G130" s="8"/>
      <c r="H130" s="26"/>
    </row>
    <row r="131" spans="1:8" ht="12" customHeight="1">
      <c r="A131" s="10" t="s">
        <v>829</v>
      </c>
      <c r="B131" s="112" t="s">
        <v>830</v>
      </c>
      <c r="C131" s="78">
        <v>3342</v>
      </c>
      <c r="D131" s="70"/>
      <c r="E131" s="29" cm="1">
        <f t="array" ref="E131">_xlfn.IFS(C131=":",":",C131&gt;=N$19,1,C131&gt;=N$20,2,C131&gt;=N$21,3,C131&gt;=N$22,4,C131&gt;=N$23,5,C131&gt;=N$24,6,C131&lt;N$24,7)</f>
        <v>2</v>
      </c>
      <c r="F131" s="60"/>
      <c r="G131" s="8"/>
      <c r="H131" s="26"/>
    </row>
    <row r="132" spans="1:8" ht="12" customHeight="1">
      <c r="A132" s="10" t="s">
        <v>831</v>
      </c>
      <c r="B132" s="112" t="s">
        <v>832</v>
      </c>
      <c r="C132" s="78">
        <v>1501</v>
      </c>
      <c r="D132" s="70"/>
      <c r="E132" s="29" cm="1">
        <f t="array" ref="E132">_xlfn.IFS(C132=":",":",C132&gt;=N$19,1,C132&gt;=N$20,2,C132&gt;=N$21,3,C132&gt;=N$22,4,C132&gt;=N$23,5,C132&gt;=N$24,6,C132&lt;N$24,7)</f>
        <v>2</v>
      </c>
      <c r="F132" s="60"/>
      <c r="G132" s="8"/>
      <c r="H132" s="26"/>
    </row>
    <row r="133" spans="1:8" ht="12" customHeight="1">
      <c r="A133" s="10" t="s">
        <v>833</v>
      </c>
      <c r="B133" s="112" t="s">
        <v>834</v>
      </c>
      <c r="C133" s="78">
        <v>776</v>
      </c>
      <c r="D133" s="68"/>
      <c r="E133" s="29" cm="1">
        <f t="array" ref="E133">_xlfn.IFS(C133=":",":",C133&gt;=N$19,1,C133&gt;=N$20,2,C133&gt;=N$21,3,C133&gt;=N$22,4,C133&gt;=N$23,5,C133&gt;=N$24,6,C133&lt;N$24,7)</f>
        <v>3</v>
      </c>
      <c r="F133" s="60"/>
      <c r="G133" s="8"/>
      <c r="H133" s="26"/>
    </row>
    <row r="134" spans="1:8" ht="12" customHeight="1">
      <c r="A134" s="10" t="s">
        <v>835</v>
      </c>
      <c r="B134" s="112" t="s">
        <v>836</v>
      </c>
      <c r="C134" s="78">
        <v>825</v>
      </c>
      <c r="D134" s="68"/>
      <c r="E134" s="29" cm="1">
        <f t="array" ref="E134">_xlfn.IFS(C134=":",":",C134&gt;=N$19,1,C134&gt;=N$20,2,C134&gt;=N$21,3,C134&gt;=N$22,4,C134&gt;=N$23,5,C134&gt;=N$24,6,C134&lt;N$24,7)</f>
        <v>3</v>
      </c>
      <c r="F134" s="60"/>
      <c r="G134" s="8"/>
      <c r="H134" s="26"/>
    </row>
    <row r="135" spans="1:8" ht="12" customHeight="1">
      <c r="A135" s="10" t="s">
        <v>837</v>
      </c>
      <c r="B135" s="112" t="s">
        <v>838</v>
      </c>
      <c r="C135" s="78">
        <v>828</v>
      </c>
      <c r="D135" s="68"/>
      <c r="E135" s="29" cm="1">
        <f t="array" ref="E135">_xlfn.IFS(C135=":",":",C135&gt;=N$19,1,C135&gt;=N$20,2,C135&gt;=N$21,3,C135&gt;=N$22,4,C135&gt;=N$23,5,C135&gt;=N$24,6,C135&lt;N$24,7)</f>
        <v>3</v>
      </c>
      <c r="F135" s="60"/>
      <c r="G135" s="8"/>
      <c r="H135" s="26"/>
    </row>
    <row r="136" spans="1:8" ht="12" customHeight="1">
      <c r="A136" s="10" t="s">
        <v>839</v>
      </c>
      <c r="B136" s="112" t="s">
        <v>840</v>
      </c>
      <c r="C136" s="78">
        <v>264</v>
      </c>
      <c r="D136" s="68"/>
      <c r="E136" s="29" cm="1">
        <f t="array" ref="E136">_xlfn.IFS(C136=":",":",C136&gt;=N$19,1,C136&gt;=N$20,2,C136&gt;=N$21,3,C136&gt;=N$22,4,C136&gt;=N$23,5,C136&gt;=N$24,6,C136&lt;N$24,7)</f>
        <v>4</v>
      </c>
      <c r="F136" s="60"/>
      <c r="G136" s="8"/>
      <c r="H136" s="26"/>
    </row>
    <row r="137" spans="1:8" ht="12" customHeight="1">
      <c r="A137" s="10" t="s">
        <v>841</v>
      </c>
      <c r="B137" s="112" t="s">
        <v>842</v>
      </c>
      <c r="C137" s="78">
        <v>7169</v>
      </c>
      <c r="D137" s="68"/>
      <c r="E137" s="29" cm="1">
        <f t="array" ref="E137">_xlfn.IFS(C137=":",":",C137&gt;=N$19,1,C137&gt;=N$20,2,C137&gt;=N$21,3,C137&gt;=N$22,4,C137&gt;=N$23,5,C137&gt;=N$24,6,C137&lt;N$24,7)</f>
        <v>1</v>
      </c>
      <c r="F137" s="60"/>
      <c r="G137" s="8"/>
      <c r="H137" s="26"/>
    </row>
    <row r="138" spans="1:8" ht="12" customHeight="1">
      <c r="A138" s="10" t="s">
        <v>843</v>
      </c>
      <c r="B138" s="112" t="s">
        <v>844</v>
      </c>
      <c r="C138" s="78">
        <v>437</v>
      </c>
      <c r="D138" s="68"/>
      <c r="E138" s="29" cm="1">
        <f t="array" ref="E138">_xlfn.IFS(C138=":",":",C138&gt;=N$19,1,C138&gt;=N$20,2,C138&gt;=N$21,3,C138&gt;=N$22,4,C138&gt;=N$23,5,C138&gt;=N$24,6,C138&lt;N$24,7)</f>
        <v>4</v>
      </c>
      <c r="F138" s="60"/>
      <c r="G138" s="8"/>
      <c r="H138" s="26"/>
    </row>
    <row r="139" spans="1:8" ht="12" customHeight="1">
      <c r="A139" s="10" t="s">
        <v>845</v>
      </c>
      <c r="B139" s="112" t="s">
        <v>846</v>
      </c>
      <c r="C139" s="78">
        <v>344</v>
      </c>
      <c r="D139" s="68"/>
      <c r="E139" s="29" cm="1">
        <f t="array" ref="E139">_xlfn.IFS(C139=":",":",C139&gt;=N$19,1,C139&gt;=N$20,2,C139&gt;=N$21,3,C139&gt;=N$22,4,C139&gt;=N$23,5,C139&gt;=N$24,6,C139&lt;N$24,7)</f>
        <v>4</v>
      </c>
      <c r="F139" s="60"/>
      <c r="G139" s="8"/>
      <c r="H139" s="26"/>
    </row>
    <row r="140" spans="1:8" ht="12" customHeight="1">
      <c r="A140" s="10" t="s">
        <v>847</v>
      </c>
      <c r="B140" s="112" t="s">
        <v>848</v>
      </c>
      <c r="C140" s="78">
        <v>6547</v>
      </c>
      <c r="D140" s="68"/>
      <c r="E140" s="29" cm="1">
        <f t="array" ref="E140">_xlfn.IFS(C140=":",":",C140&gt;=N$19,1,C140&gt;=N$20,2,C140&gt;=N$21,3,C140&gt;=N$22,4,C140&gt;=N$23,5,C140&gt;=N$24,6,C140&lt;N$24,7)</f>
        <v>1</v>
      </c>
      <c r="F140" s="60"/>
      <c r="G140" s="8"/>
      <c r="H140" s="26"/>
    </row>
    <row r="141" spans="1:8" ht="12" customHeight="1">
      <c r="A141" s="10" t="s">
        <v>849</v>
      </c>
      <c r="B141" s="112" t="s">
        <v>850</v>
      </c>
      <c r="C141" s="78">
        <v>1621</v>
      </c>
      <c r="D141" s="68"/>
      <c r="E141" s="29" cm="1">
        <f t="array" ref="E141">_xlfn.IFS(C141=":",":",C141&gt;=N$19,1,C141&gt;=N$20,2,C141&gt;=N$21,3,C141&gt;=N$22,4,C141&gt;=N$23,5,C141&gt;=N$24,6,C141&lt;N$24,7)</f>
        <v>2</v>
      </c>
      <c r="F141" s="60"/>
      <c r="G141" s="8"/>
      <c r="H141" s="26"/>
    </row>
    <row r="142" spans="1:8" ht="12" customHeight="1">
      <c r="A142" s="10" t="s">
        <v>851</v>
      </c>
      <c r="B142" s="112" t="s">
        <v>852</v>
      </c>
      <c r="C142" s="78">
        <v>367</v>
      </c>
      <c r="D142" s="68"/>
      <c r="E142" s="29" cm="1">
        <f t="array" ref="E142">_xlfn.IFS(C142=":",":",C142&gt;=N$19,1,C142&gt;=N$20,2,C142&gt;=N$21,3,C142&gt;=N$22,4,C142&gt;=N$23,5,C142&gt;=N$24,6,C142&lt;N$24,7)</f>
        <v>4</v>
      </c>
      <c r="F142" s="60"/>
      <c r="G142" s="8"/>
      <c r="H142" s="26"/>
    </row>
    <row r="143" spans="1:8" ht="12" customHeight="1">
      <c r="A143" s="10" t="s">
        <v>853</v>
      </c>
      <c r="B143" s="112" t="s">
        <v>854</v>
      </c>
      <c r="C143" s="78">
        <v>5019</v>
      </c>
      <c r="D143" s="68"/>
      <c r="E143" s="29" cm="1">
        <f t="array" ref="E143">_xlfn.IFS(C143=":",":",C143&gt;=N$19,1,C143&gt;=N$20,2,C143&gt;=N$21,3,C143&gt;=N$22,4,C143&gt;=N$23,5,C143&gt;=N$24,6,C143&lt;N$24,7)</f>
        <v>1</v>
      </c>
      <c r="F143" s="60"/>
      <c r="G143" s="8"/>
      <c r="H143" s="26"/>
    </row>
    <row r="144" spans="1:8" ht="12" customHeight="1">
      <c r="A144" s="10" t="s">
        <v>855</v>
      </c>
      <c r="B144" s="112" t="s">
        <v>856</v>
      </c>
      <c r="C144" s="78">
        <v>63488</v>
      </c>
      <c r="D144" s="68"/>
      <c r="E144" s="29" cm="1">
        <f t="array" ref="E144">_xlfn.IFS(C144=":",":",C144&gt;=N$19,1,C144&gt;=N$20,2,C144&gt;=N$21,3,C144&gt;=N$22,4,C144&gt;=N$23,5,C144&gt;=N$24,6,C144&lt;N$24,7)</f>
        <v>1</v>
      </c>
      <c r="F144" s="60"/>
      <c r="G144" s="8"/>
      <c r="H144" s="26"/>
    </row>
    <row r="145" spans="1:8" ht="12" customHeight="1">
      <c r="A145" s="10" t="s">
        <v>857</v>
      </c>
      <c r="B145" s="112" t="s">
        <v>858</v>
      </c>
      <c r="C145" s="78">
        <v>8516</v>
      </c>
      <c r="D145" s="68"/>
      <c r="E145" s="29" cm="1">
        <f t="array" ref="E145">_xlfn.IFS(C145=":",":",C145&gt;=N$19,1,C145&gt;=N$20,2,C145&gt;=N$21,3,C145&gt;=N$22,4,C145&gt;=N$23,5,C145&gt;=N$24,6,C145&lt;N$24,7)</f>
        <v>1</v>
      </c>
      <c r="F145" s="60"/>
      <c r="G145" s="8"/>
      <c r="H145" s="26"/>
    </row>
    <row r="146" spans="1:8" ht="12" customHeight="1">
      <c r="A146" s="10" t="s">
        <v>859</v>
      </c>
      <c r="B146" s="112" t="s">
        <v>860</v>
      </c>
      <c r="C146" s="78">
        <v>543</v>
      </c>
      <c r="D146" s="68"/>
      <c r="E146" s="29" cm="1">
        <f t="array" ref="E146">_xlfn.IFS(C146=":",":",C146&gt;=N$19,1,C146&gt;=N$20,2,C146&gt;=N$21,3,C146&gt;=N$22,4,C146&gt;=N$23,5,C146&gt;=N$24,6,C146&lt;N$24,7)</f>
        <v>3</v>
      </c>
      <c r="F146" s="60"/>
      <c r="G146" s="8"/>
      <c r="H146" s="26"/>
    </row>
    <row r="147" spans="1:8" ht="12" customHeight="1">
      <c r="A147" s="10" t="s">
        <v>861</v>
      </c>
      <c r="B147" s="112" t="s">
        <v>862</v>
      </c>
      <c r="C147" s="78">
        <v>3081</v>
      </c>
      <c r="D147" s="68"/>
      <c r="E147" s="29" cm="1">
        <f t="array" ref="E147">_xlfn.IFS(C147=":",":",C147&gt;=N$19,1,C147&gt;=N$20,2,C147&gt;=N$21,3,C147&gt;=N$22,4,C147&gt;=N$23,5,C147&gt;=N$24,6,C147&lt;N$24,7)</f>
        <v>2</v>
      </c>
      <c r="F147" s="60"/>
      <c r="G147" s="8"/>
      <c r="H147" s="26"/>
    </row>
    <row r="148" spans="1:8" ht="12" customHeight="1">
      <c r="A148" s="10" t="s">
        <v>863</v>
      </c>
      <c r="B148" s="112" t="s">
        <v>864</v>
      </c>
      <c r="C148" s="78">
        <v>924</v>
      </c>
      <c r="D148" s="68"/>
      <c r="E148" s="29" cm="1">
        <f t="array" ref="E148">_xlfn.IFS(C148=":",":",C148&gt;=N$19,1,C148&gt;=N$20,2,C148&gt;=N$21,3,C148&gt;=N$22,4,C148&gt;=N$23,5,C148&gt;=N$24,6,C148&lt;N$24,7)</f>
        <v>3</v>
      </c>
      <c r="F148" s="60"/>
      <c r="G148" s="8"/>
      <c r="H148" s="26"/>
    </row>
    <row r="149" spans="1:8" ht="12" customHeight="1">
      <c r="A149" s="10" t="s">
        <v>865</v>
      </c>
      <c r="B149" s="112" t="s">
        <v>866</v>
      </c>
      <c r="C149" s="78">
        <v>855</v>
      </c>
      <c r="D149" s="68"/>
      <c r="E149" s="29" cm="1">
        <f t="array" ref="E149">_xlfn.IFS(C149=":",":",C149&gt;=N$19,1,C149&gt;=N$20,2,C149&gt;=N$21,3,C149&gt;=N$22,4,C149&gt;=N$23,5,C149&gt;=N$24,6,C149&lt;N$24,7)</f>
        <v>3</v>
      </c>
      <c r="F149" s="60"/>
      <c r="G149" s="8"/>
      <c r="H149" s="26"/>
    </row>
    <row r="150" spans="1:8" ht="12" customHeight="1">
      <c r="A150" s="10" t="s">
        <v>867</v>
      </c>
      <c r="B150" s="112" t="s">
        <v>868</v>
      </c>
      <c r="C150" s="78">
        <v>714</v>
      </c>
      <c r="D150" s="68"/>
      <c r="E150" s="29" cm="1">
        <f t="array" ref="E150">_xlfn.IFS(C150=":",":",C150&gt;=N$19,1,C150&gt;=N$20,2,C150&gt;=N$21,3,C150&gt;=N$22,4,C150&gt;=N$23,5,C150&gt;=N$24,6,C150&lt;N$24,7)</f>
        <v>3</v>
      </c>
      <c r="F150" s="60"/>
      <c r="G150" s="8"/>
      <c r="H150" s="26"/>
    </row>
    <row r="151" spans="1:8" ht="12" customHeight="1">
      <c r="A151" s="10" t="s">
        <v>869</v>
      </c>
      <c r="B151" s="112" t="s">
        <v>870</v>
      </c>
      <c r="C151" s="78">
        <v>643</v>
      </c>
      <c r="D151" s="68"/>
      <c r="E151" s="29" cm="1">
        <f t="array" ref="E151">_xlfn.IFS(C151=":",":",C151&gt;=N$19,1,C151&gt;=N$20,2,C151&gt;=N$21,3,C151&gt;=N$22,4,C151&gt;=N$23,5,C151&gt;=N$24,6,C151&lt;N$24,7)</f>
        <v>3</v>
      </c>
      <c r="F151" s="60"/>
      <c r="G151" s="8"/>
      <c r="H151" s="26"/>
    </row>
    <row r="152" spans="1:8" ht="12" customHeight="1">
      <c r="A152" s="10" t="s">
        <v>871</v>
      </c>
      <c r="B152" s="112" t="s">
        <v>872</v>
      </c>
      <c r="C152" s="78">
        <v>1585</v>
      </c>
      <c r="D152" s="68"/>
      <c r="E152" s="29" cm="1">
        <f t="array" ref="E152">_xlfn.IFS(C152=":",":",C152&gt;=N$19,1,C152&gt;=N$20,2,C152&gt;=N$21,3,C152&gt;=N$22,4,C152&gt;=N$23,5,C152&gt;=N$24,6,C152&lt;N$24,7)</f>
        <v>2</v>
      </c>
      <c r="F152" s="60"/>
      <c r="G152" s="8"/>
      <c r="H152" s="26"/>
    </row>
    <row r="153" spans="1:8" ht="12" customHeight="1">
      <c r="A153" s="10" t="s">
        <v>873</v>
      </c>
      <c r="B153" s="112" t="s">
        <v>874</v>
      </c>
      <c r="C153" s="78">
        <v>1609</v>
      </c>
      <c r="D153" s="68"/>
      <c r="E153" s="29" cm="1">
        <f t="array" ref="E153">_xlfn.IFS(C153=":",":",C153&gt;=N$19,1,C153&gt;=N$20,2,C153&gt;=N$21,3,C153&gt;=N$22,4,C153&gt;=N$23,5,C153&gt;=N$24,6,C153&lt;N$24,7)</f>
        <v>2</v>
      </c>
      <c r="F153" s="60"/>
      <c r="G153" s="8"/>
      <c r="H153" s="26"/>
    </row>
    <row r="154" spans="1:8" ht="12" customHeight="1">
      <c r="A154" s="10" t="s">
        <v>875</v>
      </c>
      <c r="B154" s="112" t="s">
        <v>876</v>
      </c>
      <c r="C154" s="78">
        <v>960</v>
      </c>
      <c r="D154" s="68"/>
      <c r="E154" s="29" cm="1">
        <f t="array" ref="E154">_xlfn.IFS(C154=":",":",C154&gt;=N$19,1,C154&gt;=N$20,2,C154&gt;=N$21,3,C154&gt;=N$22,4,C154&gt;=N$23,5,C154&gt;=N$24,6,C154&lt;N$24,7)</f>
        <v>3</v>
      </c>
      <c r="F154" s="60"/>
      <c r="G154" s="8"/>
      <c r="H154" s="26"/>
    </row>
    <row r="155" spans="1:8" ht="12" customHeight="1">
      <c r="A155" s="10" t="s">
        <v>877</v>
      </c>
      <c r="B155" s="112" t="s">
        <v>878</v>
      </c>
      <c r="C155" s="78">
        <v>3171</v>
      </c>
      <c r="D155" s="68"/>
      <c r="E155" s="29" cm="1">
        <f t="array" ref="E155">_xlfn.IFS(C155=":",":",C155&gt;=N$19,1,C155&gt;=N$20,2,C155&gt;=N$21,3,C155&gt;=N$22,4,C155&gt;=N$23,5,C155&gt;=N$24,6,C155&lt;N$24,7)</f>
        <v>2</v>
      </c>
      <c r="F155" s="60"/>
      <c r="G155" s="8"/>
      <c r="H155" s="26"/>
    </row>
    <row r="156" spans="1:8" ht="12" customHeight="1">
      <c r="A156" s="10" t="s">
        <v>879</v>
      </c>
      <c r="B156" s="112" t="s">
        <v>880</v>
      </c>
      <c r="C156" s="78">
        <v>368</v>
      </c>
      <c r="D156" s="68"/>
      <c r="E156" s="29" cm="1">
        <f t="array" ref="E156">_xlfn.IFS(C156=":",":",C156&gt;=N$19,1,C156&gt;=N$20,2,C156&gt;=N$21,3,C156&gt;=N$22,4,C156&gt;=N$23,5,C156&gt;=N$24,6,C156&lt;N$24,7)</f>
        <v>4</v>
      </c>
      <c r="F156" s="60"/>
      <c r="G156" s="8"/>
      <c r="H156" s="26"/>
    </row>
    <row r="157" spans="1:8" ht="12" customHeight="1">
      <c r="A157" s="10" t="s">
        <v>881</v>
      </c>
      <c r="B157" s="112" t="s">
        <v>882</v>
      </c>
      <c r="C157" s="78">
        <v>2188</v>
      </c>
      <c r="D157" s="68"/>
      <c r="E157" s="29" cm="1">
        <f t="array" ref="E157">_xlfn.IFS(C157=":",":",C157&gt;=N$19,1,C157&gt;=N$20,2,C157&gt;=N$21,3,C157&gt;=N$22,4,C157&gt;=N$23,5,C157&gt;=N$24,6,C157&lt;N$24,7)</f>
        <v>2</v>
      </c>
      <c r="F157" s="60"/>
      <c r="G157" s="8"/>
      <c r="H157" s="29"/>
    </row>
    <row r="158" spans="1:8" ht="12" customHeight="1">
      <c r="A158" s="10" t="s">
        <v>883</v>
      </c>
      <c r="B158" s="112" t="s">
        <v>2861</v>
      </c>
      <c r="C158" s="78">
        <v>217</v>
      </c>
      <c r="D158" s="68"/>
      <c r="E158" s="29" cm="1">
        <f t="array" ref="E158">_xlfn.IFS(C158=":",":",C158&gt;=N$19,1,C158&gt;=N$20,2,C158&gt;=N$21,3,C158&gt;=N$22,4,C158&gt;=N$23,5,C158&gt;=N$24,6,C158&lt;N$24,7)</f>
        <v>4</v>
      </c>
      <c r="F158" s="60"/>
      <c r="G158" s="8"/>
      <c r="H158" s="29"/>
    </row>
    <row r="159" spans="1:8" ht="12" customHeight="1">
      <c r="A159" s="10" t="s">
        <v>884</v>
      </c>
      <c r="B159" s="112" t="s">
        <v>885</v>
      </c>
      <c r="C159" s="78">
        <v>4017</v>
      </c>
      <c r="D159" s="68"/>
      <c r="E159" s="29" cm="1">
        <f t="array" ref="E159">_xlfn.IFS(C159=":",":",C159&gt;=N$19,1,C159&gt;=N$20,2,C159&gt;=N$21,3,C159&gt;=N$22,4,C159&gt;=N$23,5,C159&gt;=N$24,6,C159&lt;N$24,7)</f>
        <v>2</v>
      </c>
      <c r="F159" s="60"/>
      <c r="G159" s="8"/>
      <c r="H159" s="29"/>
    </row>
    <row r="160" spans="1:8" ht="12" customHeight="1">
      <c r="A160" s="10" t="s">
        <v>886</v>
      </c>
      <c r="B160" s="112" t="s">
        <v>887</v>
      </c>
      <c r="C160" s="78">
        <v>187</v>
      </c>
      <c r="D160" s="68"/>
      <c r="E160" s="29" cm="1">
        <f t="array" ref="E160">_xlfn.IFS(C160=":",":",C160&gt;=N$19,1,C160&gt;=N$20,2,C160&gt;=N$21,3,C160&gt;=N$22,4,C160&gt;=N$23,5,C160&gt;=N$24,6,C160&lt;N$24,7)</f>
        <v>5</v>
      </c>
      <c r="F160" s="60"/>
      <c r="G160" s="8"/>
      <c r="H160" s="29"/>
    </row>
    <row r="161" spans="1:8" ht="12" customHeight="1">
      <c r="A161" s="10" t="s">
        <v>888</v>
      </c>
      <c r="B161" s="112" t="s">
        <v>2862</v>
      </c>
      <c r="C161" s="78">
        <v>373</v>
      </c>
      <c r="D161" s="68"/>
      <c r="E161" s="29" cm="1">
        <f t="array" ref="E161">_xlfn.IFS(C161=":",":",C161&gt;=N$19,1,C161&gt;=N$20,2,C161&gt;=N$21,3,C161&gt;=N$22,4,C161&gt;=N$23,5,C161&gt;=N$24,6,C161&lt;N$24,7)</f>
        <v>4</v>
      </c>
      <c r="F161" s="60"/>
      <c r="G161" s="8"/>
      <c r="H161" s="29"/>
    </row>
    <row r="162" spans="1:8" ht="12" customHeight="1">
      <c r="A162" s="10" t="s">
        <v>889</v>
      </c>
      <c r="B162" s="112" t="s">
        <v>890</v>
      </c>
      <c r="C162" s="78">
        <v>1245</v>
      </c>
      <c r="D162" s="68"/>
      <c r="E162" s="29" cm="1">
        <f t="array" ref="E162">_xlfn.IFS(C162=":",":",C162&gt;=N$19,1,C162&gt;=N$20,2,C162&gt;=N$21,3,C162&gt;=N$22,4,C162&gt;=N$23,5,C162&gt;=N$24,6,C162&lt;N$24,7)</f>
        <v>3</v>
      </c>
      <c r="F162" s="60"/>
      <c r="G162" s="8"/>
      <c r="H162" s="29"/>
    </row>
    <row r="163" spans="1:8" ht="12" customHeight="1">
      <c r="A163" s="10" t="s">
        <v>891</v>
      </c>
      <c r="B163" s="112" t="s">
        <v>892</v>
      </c>
      <c r="C163" s="78">
        <v>1653</v>
      </c>
      <c r="D163" s="68"/>
      <c r="E163" s="29" cm="1">
        <f t="array" ref="E163">_xlfn.IFS(C163=":",":",C163&gt;=N$19,1,C163&gt;=N$20,2,C163&gt;=N$21,3,C163&gt;=N$22,4,C163&gt;=N$23,5,C163&gt;=N$24,6,C163&lt;N$24,7)</f>
        <v>2</v>
      </c>
      <c r="F163" s="60"/>
      <c r="G163" s="8"/>
      <c r="H163" s="29"/>
    </row>
    <row r="164" spans="1:8" ht="12" customHeight="1">
      <c r="A164" s="10" t="s">
        <v>893</v>
      </c>
      <c r="B164" s="112" t="s">
        <v>894</v>
      </c>
      <c r="C164" s="78">
        <v>1955</v>
      </c>
      <c r="D164" s="68"/>
      <c r="E164" s="29" cm="1">
        <f t="array" ref="E164">_xlfn.IFS(C164=":",":",C164&gt;=N$19,1,C164&gt;=N$20,2,C164&gt;=N$21,3,C164&gt;=N$22,4,C164&gt;=N$23,5,C164&gt;=N$24,6,C164&lt;N$24,7)</f>
        <v>2</v>
      </c>
      <c r="F164" s="60"/>
      <c r="G164" s="8"/>
      <c r="H164" s="29"/>
    </row>
    <row r="165" spans="1:8" ht="12" customHeight="1">
      <c r="A165" s="10" t="s">
        <v>895</v>
      </c>
      <c r="B165" s="112" t="s">
        <v>896</v>
      </c>
      <c r="C165" s="78">
        <v>421</v>
      </c>
      <c r="D165" s="68"/>
      <c r="E165" s="29" cm="1">
        <f t="array" ref="E165">_xlfn.IFS(C165=":",":",C165&gt;=N$19,1,C165&gt;=N$20,2,C165&gt;=N$21,3,C165&gt;=N$22,4,C165&gt;=N$23,5,C165&gt;=N$24,6,C165&lt;N$24,7)</f>
        <v>4</v>
      </c>
      <c r="F165" s="60"/>
      <c r="G165" s="8"/>
      <c r="H165" s="29"/>
    </row>
    <row r="166" spans="1:8" ht="12" customHeight="1">
      <c r="A166" s="10" t="s">
        <v>897</v>
      </c>
      <c r="B166" s="112" t="s">
        <v>898</v>
      </c>
      <c r="C166" s="78">
        <v>4254</v>
      </c>
      <c r="D166" s="68"/>
      <c r="E166" s="29" cm="1">
        <f t="array" ref="E166">_xlfn.IFS(C166=":",":",C166&gt;=N$19,1,C166&gt;=N$20,2,C166&gt;=N$21,3,C166&gt;=N$22,4,C166&gt;=N$23,5,C166&gt;=N$24,6,C166&lt;N$24,7)</f>
        <v>2</v>
      </c>
      <c r="F166" s="60"/>
      <c r="G166" s="8"/>
      <c r="H166" s="29"/>
    </row>
    <row r="167" spans="1:8" ht="12" customHeight="1">
      <c r="A167" s="10" t="s">
        <v>899</v>
      </c>
      <c r="B167" s="112" t="s">
        <v>900</v>
      </c>
      <c r="C167" s="78">
        <v>7394</v>
      </c>
      <c r="D167" s="68"/>
      <c r="E167" s="29" cm="1">
        <f t="array" ref="E167">_xlfn.IFS(C167=":",":",C167&gt;=N$19,1,C167&gt;=N$20,2,C167&gt;=N$21,3,C167&gt;=N$22,4,C167&gt;=N$23,5,C167&gt;=N$24,6,C167&lt;N$24,7)</f>
        <v>1</v>
      </c>
      <c r="F167" s="60"/>
      <c r="G167" s="8"/>
      <c r="H167" s="29"/>
    </row>
    <row r="168" spans="1:8" ht="12" customHeight="1">
      <c r="A168" s="10" t="s">
        <v>901</v>
      </c>
      <c r="B168" s="112" t="s">
        <v>902</v>
      </c>
      <c r="C168" s="78">
        <v>1726</v>
      </c>
      <c r="D168" s="68"/>
      <c r="E168" s="29" cm="1">
        <f t="array" ref="E168">_xlfn.IFS(C168=":",":",C168&gt;=N$19,1,C168&gt;=N$20,2,C168&gt;=N$21,3,C168&gt;=N$22,4,C168&gt;=N$23,5,C168&gt;=N$24,6,C168&lt;N$24,7)</f>
        <v>2</v>
      </c>
      <c r="F168" s="60"/>
      <c r="G168" s="8"/>
      <c r="H168" s="29"/>
    </row>
    <row r="169" spans="1:8" ht="12" customHeight="1">
      <c r="A169" s="10" t="s">
        <v>903</v>
      </c>
      <c r="B169" s="112" t="s">
        <v>904</v>
      </c>
      <c r="C169" s="78">
        <v>363</v>
      </c>
      <c r="D169" s="68"/>
      <c r="E169" s="29" cm="1">
        <f t="array" ref="E169">_xlfn.IFS(C169=":",":",C169&gt;=N$19,1,C169&gt;=N$20,2,C169&gt;=N$21,3,C169&gt;=N$22,4,C169&gt;=N$23,5,C169&gt;=N$24,6,C169&lt;N$24,7)</f>
        <v>4</v>
      </c>
      <c r="F169" s="60"/>
      <c r="G169" s="8"/>
      <c r="H169" s="29"/>
    </row>
    <row r="170" spans="1:8" ht="12" customHeight="1">
      <c r="A170" s="10" t="s">
        <v>905</v>
      </c>
      <c r="B170" s="112" t="s">
        <v>906</v>
      </c>
      <c r="C170" s="78">
        <v>965</v>
      </c>
      <c r="D170" s="68"/>
      <c r="E170" s="29" cm="1">
        <f t="array" ref="E170">_xlfn.IFS(C170=":",":",C170&gt;=N$19,1,C170&gt;=N$20,2,C170&gt;=N$21,3,C170&gt;=N$22,4,C170&gt;=N$23,5,C170&gt;=N$24,6,C170&lt;N$24,7)</f>
        <v>3</v>
      </c>
      <c r="F170" s="60"/>
      <c r="G170" s="8"/>
      <c r="H170" s="29"/>
    </row>
    <row r="171" spans="1:8" ht="12" customHeight="1">
      <c r="A171" s="10" t="s">
        <v>907</v>
      </c>
      <c r="B171" s="112" t="s">
        <v>908</v>
      </c>
      <c r="C171" s="78">
        <v>572</v>
      </c>
      <c r="D171" s="68"/>
      <c r="E171" s="29" cm="1">
        <f t="array" ref="E171">_xlfn.IFS(C171=":",":",C171&gt;=N$19,1,C171&gt;=N$20,2,C171&gt;=N$21,3,C171&gt;=N$22,4,C171&gt;=N$23,5,C171&gt;=N$24,6,C171&lt;N$24,7)</f>
        <v>3</v>
      </c>
      <c r="F171" s="60"/>
      <c r="G171" s="8"/>
      <c r="H171" s="29"/>
    </row>
    <row r="172" spans="1:8" ht="12" customHeight="1">
      <c r="A172" s="10" t="s">
        <v>909</v>
      </c>
      <c r="B172" s="112" t="s">
        <v>910</v>
      </c>
      <c r="C172" s="78">
        <v>182</v>
      </c>
      <c r="D172" s="68"/>
      <c r="E172" s="29" cm="1">
        <f t="array" ref="E172">_xlfn.IFS(C172=":",":",C172&gt;=N$19,1,C172&gt;=N$20,2,C172&gt;=N$21,3,C172&gt;=N$22,4,C172&gt;=N$23,5,C172&gt;=N$24,6,C172&lt;N$24,7)</f>
        <v>5</v>
      </c>
      <c r="F172" s="60"/>
      <c r="G172" s="8"/>
      <c r="H172" s="29"/>
    </row>
    <row r="173" spans="1:8" ht="12" customHeight="1">
      <c r="A173" s="10" t="s">
        <v>911</v>
      </c>
      <c r="B173" s="112" t="s">
        <v>912</v>
      </c>
      <c r="C173" s="78">
        <v>1997</v>
      </c>
      <c r="D173" s="68"/>
      <c r="E173" s="29" cm="1">
        <f t="array" ref="E173">_xlfn.IFS(C173=":",":",C173&gt;=N$19,1,C173&gt;=N$20,2,C173&gt;=N$21,3,C173&gt;=N$22,4,C173&gt;=N$23,5,C173&gt;=N$24,6,C173&lt;N$24,7)</f>
        <v>2</v>
      </c>
      <c r="F173" s="60"/>
      <c r="G173" s="8"/>
      <c r="H173" s="29"/>
    </row>
    <row r="174" spans="1:8" ht="12" customHeight="1">
      <c r="A174" s="10" t="s">
        <v>913</v>
      </c>
      <c r="B174" s="112" t="s">
        <v>914</v>
      </c>
      <c r="C174" s="78">
        <v>1885</v>
      </c>
      <c r="D174" s="68"/>
      <c r="E174" s="29" cm="1">
        <f t="array" ref="E174">_xlfn.IFS(C174=":",":",C174&gt;=N$19,1,C174&gt;=N$20,2,C174&gt;=N$21,3,C174&gt;=N$22,4,C174&gt;=N$23,5,C174&gt;=N$24,6,C174&lt;N$24,7)</f>
        <v>2</v>
      </c>
      <c r="F174" s="60"/>
      <c r="G174" s="8"/>
      <c r="H174" s="29"/>
    </row>
    <row r="175" spans="1:8" ht="12" customHeight="1">
      <c r="A175" s="10" t="s">
        <v>915</v>
      </c>
      <c r="B175" s="112" t="s">
        <v>916</v>
      </c>
      <c r="C175" s="78">
        <v>589</v>
      </c>
      <c r="D175" s="68"/>
      <c r="E175" s="29" cm="1">
        <f t="array" ref="E175">_xlfn.IFS(C175=":",":",C175&gt;=N$19,1,C175&gt;=N$20,2,C175&gt;=N$21,3,C175&gt;=N$22,4,C175&gt;=N$23,5,C175&gt;=N$24,6,C175&lt;N$24,7)</f>
        <v>3</v>
      </c>
      <c r="F175" s="60"/>
      <c r="G175" s="8"/>
      <c r="H175" s="29"/>
    </row>
    <row r="176" spans="1:8" ht="12" customHeight="1">
      <c r="A176" s="10" t="s">
        <v>917</v>
      </c>
      <c r="B176" s="112" t="s">
        <v>918</v>
      </c>
      <c r="C176" s="78">
        <v>485</v>
      </c>
      <c r="D176" s="68"/>
      <c r="E176" s="29" cm="1">
        <f t="array" ref="E176">_xlfn.IFS(C176=":",":",C176&gt;=N$19,1,C176&gt;=N$20,2,C176&gt;=N$21,3,C176&gt;=N$22,4,C176&gt;=N$23,5,C176&gt;=N$24,6,C176&lt;N$24,7)</f>
        <v>4</v>
      </c>
      <c r="F176" s="60"/>
      <c r="G176" s="8"/>
      <c r="H176" s="29"/>
    </row>
    <row r="177" spans="1:8" ht="12" customHeight="1">
      <c r="A177" s="10" t="s">
        <v>919</v>
      </c>
      <c r="B177" s="112" t="s">
        <v>920</v>
      </c>
      <c r="C177" s="78">
        <v>243</v>
      </c>
      <c r="D177" s="68"/>
      <c r="E177" s="29" cm="1">
        <f t="array" ref="E177">_xlfn.IFS(C177=":",":",C177&gt;=N$19,1,C177&gt;=N$20,2,C177&gt;=N$21,3,C177&gt;=N$22,4,C177&gt;=N$23,5,C177&gt;=N$24,6,C177&lt;N$24,7)</f>
        <v>4</v>
      </c>
      <c r="F177" s="60"/>
      <c r="G177" s="8"/>
      <c r="H177" s="29"/>
    </row>
    <row r="178" spans="1:8" ht="12" customHeight="1">
      <c r="A178" s="10" t="s">
        <v>921</v>
      </c>
      <c r="B178" s="112" t="s">
        <v>922</v>
      </c>
      <c r="C178" s="78">
        <v>2007</v>
      </c>
      <c r="D178" s="68"/>
      <c r="E178" s="29" cm="1">
        <f t="array" ref="E178">_xlfn.IFS(C178=":",":",C178&gt;=N$19,1,C178&gt;=N$20,2,C178&gt;=N$21,3,C178&gt;=N$22,4,C178&gt;=N$23,5,C178&gt;=N$24,6,C178&lt;N$24,7)</f>
        <v>2</v>
      </c>
      <c r="F178" s="60"/>
      <c r="G178" s="8"/>
      <c r="H178" s="29"/>
    </row>
    <row r="179" spans="1:8" ht="12" customHeight="1">
      <c r="A179" s="10" t="s">
        <v>923</v>
      </c>
      <c r="B179" s="112" t="s">
        <v>924</v>
      </c>
      <c r="C179" s="78">
        <v>17167</v>
      </c>
      <c r="D179" s="68"/>
      <c r="E179" s="29" cm="1">
        <f t="array" ref="E179">_xlfn.IFS(C179=":",":",C179&gt;=N$19,1,C179&gt;=N$20,2,C179&gt;=N$21,3,C179&gt;=N$22,4,C179&gt;=N$23,5,C179&gt;=N$24,6,C179&lt;N$24,7)</f>
        <v>1</v>
      </c>
      <c r="F179" s="60"/>
      <c r="G179" s="8"/>
      <c r="H179" s="29"/>
    </row>
    <row r="180" spans="1:8" ht="12" customHeight="1">
      <c r="A180" s="10" t="s">
        <v>925</v>
      </c>
      <c r="B180" s="112" t="s">
        <v>2863</v>
      </c>
      <c r="C180" s="78">
        <v>1074</v>
      </c>
      <c r="D180" s="68"/>
      <c r="E180" s="29" cm="1">
        <f t="array" ref="E180">_xlfn.IFS(C180=":",":",C180&gt;=N$19,1,C180&gt;=N$20,2,C180&gt;=N$21,3,C180&gt;=N$22,4,C180&gt;=N$23,5,C180&gt;=N$24,6,C180&lt;N$24,7)</f>
        <v>3</v>
      </c>
      <c r="F180" s="60"/>
      <c r="G180" s="8"/>
      <c r="H180" s="29"/>
    </row>
    <row r="181" spans="1:8" ht="12" customHeight="1">
      <c r="A181" s="10" t="s">
        <v>926</v>
      </c>
      <c r="B181" s="112" t="s">
        <v>927</v>
      </c>
      <c r="C181" s="78">
        <v>237</v>
      </c>
      <c r="D181" s="68"/>
      <c r="E181" s="29" cm="1">
        <f t="array" ref="E181">_xlfn.IFS(C181=":",":",C181&gt;=N$19,1,C181&gt;=N$20,2,C181&gt;=N$21,3,C181&gt;=N$22,4,C181&gt;=N$23,5,C181&gt;=N$24,6,C181&lt;N$24,7)</f>
        <v>4</v>
      </c>
      <c r="F181" s="60"/>
      <c r="G181" s="8"/>
      <c r="H181" s="29"/>
    </row>
    <row r="182" spans="1:8" ht="12" customHeight="1">
      <c r="A182" s="10" t="s">
        <v>928</v>
      </c>
      <c r="B182" s="112" t="s">
        <v>929</v>
      </c>
      <c r="C182" s="78">
        <v>977</v>
      </c>
      <c r="D182" s="68"/>
      <c r="E182" s="29" cm="1">
        <f t="array" ref="E182">_xlfn.IFS(C182=":",":",C182&gt;=N$19,1,C182&gt;=N$20,2,C182&gt;=N$21,3,C182&gt;=N$22,4,C182&gt;=N$23,5,C182&gt;=N$24,6,C182&lt;N$24,7)</f>
        <v>3</v>
      </c>
      <c r="F182" s="60"/>
      <c r="G182" s="8"/>
      <c r="H182" s="29"/>
    </row>
    <row r="183" spans="1:8" ht="12" customHeight="1">
      <c r="A183" s="10" t="s">
        <v>930</v>
      </c>
      <c r="B183" s="112" t="s">
        <v>2864</v>
      </c>
      <c r="C183" s="78">
        <v>277</v>
      </c>
      <c r="D183" s="68"/>
      <c r="E183" s="29" cm="1">
        <f t="array" ref="E183">_xlfn.IFS(C183=":",":",C183&gt;=N$19,1,C183&gt;=N$20,2,C183&gt;=N$21,3,C183&gt;=N$22,4,C183&gt;=N$23,5,C183&gt;=N$24,6,C183&lt;N$24,7)</f>
        <v>4</v>
      </c>
      <c r="F183" s="60"/>
      <c r="G183" s="8"/>
      <c r="H183" s="29"/>
    </row>
    <row r="184" spans="1:8" ht="12" customHeight="1">
      <c r="A184" s="10" t="s">
        <v>931</v>
      </c>
      <c r="B184" s="112" t="s">
        <v>2865</v>
      </c>
      <c r="C184" s="78">
        <v>169</v>
      </c>
      <c r="D184" s="68"/>
      <c r="E184" s="29" cm="1">
        <f t="array" ref="E184">_xlfn.IFS(C184=":",":",C184&gt;=N$19,1,C184&gt;=N$20,2,C184&gt;=N$21,3,C184&gt;=N$22,4,C184&gt;=N$23,5,C184&gt;=N$24,6,C184&lt;N$24,7)</f>
        <v>5</v>
      </c>
      <c r="F184" s="60"/>
      <c r="G184" s="8"/>
      <c r="H184" s="29"/>
    </row>
    <row r="185" spans="1:8" ht="12" customHeight="1">
      <c r="A185" s="10" t="s">
        <v>932</v>
      </c>
      <c r="B185" s="112" t="s">
        <v>933</v>
      </c>
      <c r="C185" s="78">
        <v>229</v>
      </c>
      <c r="D185" s="68"/>
      <c r="E185" s="29" cm="1">
        <f t="array" ref="E185">_xlfn.IFS(C185=":",":",C185&gt;=N$19,1,C185&gt;=N$20,2,C185&gt;=N$21,3,C185&gt;=N$22,4,C185&gt;=N$23,5,C185&gt;=N$24,6,C185&lt;N$24,7)</f>
        <v>4</v>
      </c>
      <c r="F185" s="60"/>
      <c r="G185" s="8"/>
      <c r="H185" s="29"/>
    </row>
    <row r="186" spans="1:8" ht="12" customHeight="1">
      <c r="A186" s="10" t="s">
        <v>934</v>
      </c>
      <c r="B186" s="112" t="s">
        <v>935</v>
      </c>
      <c r="C186" s="78">
        <v>298</v>
      </c>
      <c r="D186" s="68"/>
      <c r="E186" s="29" cm="1">
        <f t="array" ref="E186">_xlfn.IFS(C186=":",":",C186&gt;=N$19,1,C186&gt;=N$20,2,C186&gt;=N$21,3,C186&gt;=N$22,4,C186&gt;=N$23,5,C186&gt;=N$24,6,C186&lt;N$24,7)</f>
        <v>4</v>
      </c>
      <c r="F186" s="60"/>
      <c r="G186" s="8"/>
      <c r="H186" s="29"/>
    </row>
    <row r="187" spans="1:8" ht="12" customHeight="1">
      <c r="A187" s="10" t="s">
        <v>936</v>
      </c>
      <c r="B187" s="112" t="s">
        <v>937</v>
      </c>
      <c r="C187" s="78">
        <v>310</v>
      </c>
      <c r="D187" s="68"/>
      <c r="E187" s="29" cm="1">
        <f t="array" ref="E187">_xlfn.IFS(C187=":",":",C187&gt;=N$19,1,C187&gt;=N$20,2,C187&gt;=N$21,3,C187&gt;=N$22,4,C187&gt;=N$23,5,C187&gt;=N$24,6,C187&lt;N$24,7)</f>
        <v>4</v>
      </c>
      <c r="F187" s="60"/>
      <c r="G187" s="8"/>
      <c r="H187" s="29"/>
    </row>
    <row r="188" spans="1:8" ht="12" customHeight="1">
      <c r="A188" s="10" t="s">
        <v>938</v>
      </c>
      <c r="B188" s="112" t="s">
        <v>939</v>
      </c>
      <c r="C188" s="78">
        <v>15314</v>
      </c>
      <c r="D188" s="68"/>
      <c r="E188" s="29" cm="1">
        <f t="array" ref="E188">_xlfn.IFS(C188=":",":",C188&gt;=N$19,1,C188&gt;=N$20,2,C188&gt;=N$21,3,C188&gt;=N$22,4,C188&gt;=N$23,5,C188&gt;=N$24,6,C188&lt;N$24,7)</f>
        <v>1</v>
      </c>
      <c r="F188" s="60"/>
      <c r="G188" s="8"/>
      <c r="H188" s="29"/>
    </row>
    <row r="189" spans="1:8" ht="12" customHeight="1">
      <c r="A189" s="10" t="s">
        <v>940</v>
      </c>
      <c r="B189" s="112" t="s">
        <v>941</v>
      </c>
      <c r="C189" s="78">
        <v>6415</v>
      </c>
      <c r="D189" s="68"/>
      <c r="E189" s="29" cm="1">
        <f t="array" ref="E189">_xlfn.IFS(C189=":",":",C189&gt;=N$19,1,C189&gt;=N$20,2,C189&gt;=N$21,3,C189&gt;=N$22,4,C189&gt;=N$23,5,C189&gt;=N$24,6,C189&lt;N$24,7)</f>
        <v>1</v>
      </c>
      <c r="F189" s="60"/>
      <c r="G189" s="8"/>
      <c r="H189" s="29"/>
    </row>
    <row r="190" spans="1:8" ht="12" customHeight="1">
      <c r="A190" s="10" t="s">
        <v>942</v>
      </c>
      <c r="B190" s="112" t="s">
        <v>943</v>
      </c>
      <c r="C190" s="78">
        <v>3437</v>
      </c>
      <c r="D190" s="68"/>
      <c r="E190" s="29" cm="1">
        <f t="array" ref="E190">_xlfn.IFS(C190=":",":",C190&gt;=N$19,1,C190&gt;=N$20,2,C190&gt;=N$21,3,C190&gt;=N$22,4,C190&gt;=N$23,5,C190&gt;=N$24,6,C190&lt;N$24,7)</f>
        <v>2</v>
      </c>
      <c r="F190" s="60"/>
      <c r="G190" s="8"/>
      <c r="H190" s="29"/>
    </row>
    <row r="191" spans="1:8" ht="12" customHeight="1">
      <c r="A191" s="10" t="s">
        <v>944</v>
      </c>
      <c r="B191" s="112" t="s">
        <v>945</v>
      </c>
      <c r="C191" s="78">
        <v>2380</v>
      </c>
      <c r="D191" s="68"/>
      <c r="E191" s="29" cm="1">
        <f t="array" ref="E191">_xlfn.IFS(C191=":",":",C191&gt;=N$19,1,C191&gt;=N$20,2,C191&gt;=N$21,3,C191&gt;=N$22,4,C191&gt;=N$23,5,C191&gt;=N$24,6,C191&lt;N$24,7)</f>
        <v>2</v>
      </c>
      <c r="F191" s="60"/>
      <c r="G191" s="8"/>
      <c r="H191" s="29"/>
    </row>
    <row r="192" spans="1:8" ht="12" customHeight="1">
      <c r="A192" s="10" t="s">
        <v>946</v>
      </c>
      <c r="B192" s="112" t="s">
        <v>947</v>
      </c>
      <c r="C192" s="78">
        <v>330</v>
      </c>
      <c r="D192" s="68"/>
      <c r="E192" s="29" cm="1">
        <f t="array" ref="E192">_xlfn.IFS(C192=":",":",C192&gt;=N$19,1,C192&gt;=N$20,2,C192&gt;=N$21,3,C192&gt;=N$22,4,C192&gt;=N$23,5,C192&gt;=N$24,6,C192&lt;N$24,7)</f>
        <v>4</v>
      </c>
      <c r="F192" s="60"/>
      <c r="G192" s="8"/>
      <c r="H192" s="29"/>
    </row>
    <row r="193" spans="1:8" ht="12" customHeight="1">
      <c r="A193" s="10" t="s">
        <v>948</v>
      </c>
      <c r="B193" s="112" t="s">
        <v>949</v>
      </c>
      <c r="C193" s="78">
        <v>482</v>
      </c>
      <c r="D193" s="68"/>
      <c r="E193" s="29" cm="1">
        <f t="array" ref="E193">_xlfn.IFS(C193=":",":",C193&gt;=N$19,1,C193&gt;=N$20,2,C193&gt;=N$21,3,C193&gt;=N$22,4,C193&gt;=N$23,5,C193&gt;=N$24,6,C193&lt;N$24,7)</f>
        <v>4</v>
      </c>
      <c r="F193" s="60"/>
      <c r="G193" s="8"/>
      <c r="H193" s="29"/>
    </row>
    <row r="194" spans="1:8" ht="12" customHeight="1">
      <c r="A194" s="10" t="s">
        <v>950</v>
      </c>
      <c r="B194" s="112" t="s">
        <v>951</v>
      </c>
      <c r="C194" s="78">
        <v>226</v>
      </c>
      <c r="D194" s="68"/>
      <c r="E194" s="29" cm="1">
        <f t="array" ref="E194">_xlfn.IFS(C194=":",":",C194&gt;=N$19,1,C194&gt;=N$20,2,C194&gt;=N$21,3,C194&gt;=N$22,4,C194&gt;=N$23,5,C194&gt;=N$24,6,C194&lt;N$24,7)</f>
        <v>4</v>
      </c>
      <c r="F194" s="60"/>
      <c r="G194" s="8"/>
      <c r="H194" s="29"/>
    </row>
    <row r="195" spans="1:8" ht="12" customHeight="1">
      <c r="A195" s="10" t="s">
        <v>952</v>
      </c>
      <c r="B195" s="112" t="s">
        <v>953</v>
      </c>
      <c r="C195" s="78">
        <v>599</v>
      </c>
      <c r="D195" s="68"/>
      <c r="E195" s="29" cm="1">
        <f t="array" ref="E195">_xlfn.IFS(C195=":",":",C195&gt;=N$19,1,C195&gt;=N$20,2,C195&gt;=N$21,3,C195&gt;=N$22,4,C195&gt;=N$23,5,C195&gt;=N$24,6,C195&lt;N$24,7)</f>
        <v>3</v>
      </c>
      <c r="F195" s="60"/>
      <c r="G195" s="8"/>
      <c r="H195" s="29"/>
    </row>
    <row r="196" spans="1:8" ht="12" customHeight="1">
      <c r="A196" s="10" t="s">
        <v>954</v>
      </c>
      <c r="B196" s="112" t="s">
        <v>955</v>
      </c>
      <c r="C196" s="78">
        <v>308</v>
      </c>
      <c r="D196" s="68"/>
      <c r="E196" s="29" cm="1">
        <f t="array" ref="E196">_xlfn.IFS(C196=":",":",C196&gt;=N$19,1,C196&gt;=N$20,2,C196&gt;=N$21,3,C196&gt;=N$22,4,C196&gt;=N$23,5,C196&gt;=N$24,6,C196&lt;N$24,7)</f>
        <v>4</v>
      </c>
      <c r="F196" s="60"/>
      <c r="G196" s="8"/>
      <c r="H196" s="29"/>
    </row>
    <row r="197" spans="1:8" ht="12" customHeight="1">
      <c r="A197" s="10" t="s">
        <v>956</v>
      </c>
      <c r="B197" s="112" t="s">
        <v>957</v>
      </c>
      <c r="C197" s="78">
        <v>263</v>
      </c>
      <c r="D197" s="68"/>
      <c r="E197" s="29" cm="1">
        <f t="array" ref="E197">_xlfn.IFS(C197=":",":",C197&gt;=N$19,1,C197&gt;=N$20,2,C197&gt;=N$21,3,C197&gt;=N$22,4,C197&gt;=N$23,5,C197&gt;=N$24,6,C197&lt;N$24,7)</f>
        <v>4</v>
      </c>
      <c r="F197" s="60"/>
      <c r="G197" s="8"/>
      <c r="H197" s="29"/>
    </row>
    <row r="198" spans="1:8" ht="12" customHeight="1">
      <c r="A198" s="10" t="s">
        <v>958</v>
      </c>
      <c r="B198" s="112" t="s">
        <v>959</v>
      </c>
      <c r="C198" s="78">
        <v>336</v>
      </c>
      <c r="D198" s="68"/>
      <c r="E198" s="29" cm="1">
        <f t="array" ref="E198">_xlfn.IFS(C198=":",":",C198&gt;=N$19,1,C198&gt;=N$20,2,C198&gt;=N$21,3,C198&gt;=N$22,4,C198&gt;=N$23,5,C198&gt;=N$24,6,C198&lt;N$24,7)</f>
        <v>4</v>
      </c>
      <c r="F198" s="60"/>
      <c r="G198" s="8"/>
      <c r="H198" s="29"/>
    </row>
    <row r="199" spans="1:8" ht="12" customHeight="1">
      <c r="A199" s="10" t="s">
        <v>960</v>
      </c>
      <c r="B199" s="112" t="s">
        <v>961</v>
      </c>
      <c r="C199" s="78">
        <v>808</v>
      </c>
      <c r="D199" s="68"/>
      <c r="E199" s="29" cm="1">
        <f t="array" ref="E199">_xlfn.IFS(C199=":",":",C199&gt;=N$19,1,C199&gt;=N$20,2,C199&gt;=N$21,3,C199&gt;=N$22,4,C199&gt;=N$23,5,C199&gt;=N$24,6,C199&lt;N$24,7)</f>
        <v>3</v>
      </c>
      <c r="F199" s="60"/>
      <c r="G199" s="8"/>
      <c r="H199" s="29"/>
    </row>
    <row r="200" spans="1:8" ht="12" customHeight="1">
      <c r="A200" s="10" t="s">
        <v>962</v>
      </c>
      <c r="B200" s="112" t="s">
        <v>2866</v>
      </c>
      <c r="C200" s="78">
        <v>634</v>
      </c>
      <c r="D200" s="68"/>
      <c r="E200" s="29" cm="1">
        <f t="array" ref="E200">_xlfn.IFS(C200=":",":",C200&gt;=N$19,1,C200&gt;=N$20,2,C200&gt;=N$21,3,C200&gt;=N$22,4,C200&gt;=N$23,5,C200&gt;=N$24,6,C200&lt;N$24,7)</f>
        <v>3</v>
      </c>
      <c r="F200" s="60"/>
      <c r="G200" s="8"/>
      <c r="H200" s="29"/>
    </row>
    <row r="201" spans="1:8" ht="12" customHeight="1">
      <c r="A201" s="10" t="s">
        <v>963</v>
      </c>
      <c r="B201" s="112" t="s">
        <v>964</v>
      </c>
      <c r="C201" s="78">
        <v>1004</v>
      </c>
      <c r="D201" s="68"/>
      <c r="E201" s="29" cm="1">
        <f t="array" ref="E201">_xlfn.IFS(C201=":",":",C201&gt;=N$19,1,C201&gt;=N$20,2,C201&gt;=N$21,3,C201&gt;=N$22,4,C201&gt;=N$23,5,C201&gt;=N$24,6,C201&lt;N$24,7)</f>
        <v>3</v>
      </c>
      <c r="F201" s="60"/>
      <c r="G201" s="8"/>
      <c r="H201" s="29"/>
    </row>
    <row r="202" spans="1:8" ht="12" customHeight="1">
      <c r="A202" s="10" t="s">
        <v>965</v>
      </c>
      <c r="B202" s="112" t="s">
        <v>966</v>
      </c>
      <c r="C202" s="78">
        <v>9051</v>
      </c>
      <c r="D202" s="68"/>
      <c r="E202" s="29" cm="1">
        <f t="array" ref="E202">_xlfn.IFS(C202=":",":",C202&gt;=N$19,1,C202&gt;=N$20,2,C202&gt;=N$21,3,C202&gt;=N$22,4,C202&gt;=N$23,5,C202&gt;=N$24,6,C202&lt;N$24,7)</f>
        <v>1</v>
      </c>
      <c r="F202" s="60"/>
      <c r="G202" s="8"/>
      <c r="H202" s="29"/>
    </row>
    <row r="203" spans="1:8" ht="12" customHeight="1">
      <c r="A203" s="10" t="s">
        <v>967</v>
      </c>
      <c r="B203" s="112" t="s">
        <v>968</v>
      </c>
      <c r="C203" s="78">
        <v>5168</v>
      </c>
      <c r="D203" s="68"/>
      <c r="E203" s="29" cm="1">
        <f t="array" ref="E203">_xlfn.IFS(C203=":",":",C203&gt;=N$19,1,C203&gt;=N$20,2,C203&gt;=N$21,3,C203&gt;=N$22,4,C203&gt;=N$23,5,C203&gt;=N$24,6,C203&lt;N$24,7)</f>
        <v>1</v>
      </c>
      <c r="F203" s="60"/>
      <c r="G203" s="8"/>
      <c r="H203" s="29"/>
    </row>
    <row r="204" spans="1:8" ht="12" customHeight="1">
      <c r="A204" s="10" t="s">
        <v>969</v>
      </c>
      <c r="B204" s="112" t="s">
        <v>970</v>
      </c>
      <c r="C204" s="78">
        <v>20839</v>
      </c>
      <c r="D204" s="68"/>
      <c r="E204" s="29" cm="1">
        <f t="array" ref="E204">_xlfn.IFS(C204=":",":",C204&gt;=N$19,1,C204&gt;=N$20,2,C204&gt;=N$21,3,C204&gt;=N$22,4,C204&gt;=N$23,5,C204&gt;=N$24,6,C204&lt;N$24,7)</f>
        <v>1</v>
      </c>
      <c r="F204" s="60"/>
      <c r="G204" s="8"/>
      <c r="H204" s="29"/>
    </row>
    <row r="205" spans="1:8" ht="12" customHeight="1">
      <c r="A205" s="10" t="s">
        <v>971</v>
      </c>
      <c r="B205" s="112" t="s">
        <v>972</v>
      </c>
      <c r="C205" s="78">
        <v>2520</v>
      </c>
      <c r="D205" s="68"/>
      <c r="E205" s="29" cm="1">
        <f t="array" ref="E205">_xlfn.IFS(C205=":",":",C205&gt;=N$19,1,C205&gt;=N$20,2,C205&gt;=N$21,3,C205&gt;=N$22,4,C205&gt;=N$23,5,C205&gt;=N$24,6,C205&lt;N$24,7)</f>
        <v>2</v>
      </c>
      <c r="F205" s="60"/>
      <c r="G205" s="8"/>
      <c r="H205" s="29"/>
    </row>
    <row r="206" spans="1:8" ht="12" customHeight="1">
      <c r="A206" s="10" t="s">
        <v>973</v>
      </c>
      <c r="B206" s="112" t="s">
        <v>974</v>
      </c>
      <c r="C206" s="78">
        <v>727</v>
      </c>
      <c r="D206" s="68"/>
      <c r="E206" s="29" cm="1">
        <f t="array" ref="E206">_xlfn.IFS(C206=":",":",C206&gt;=N$19,1,C206&gt;=N$20,2,C206&gt;=N$21,3,C206&gt;=N$22,4,C206&gt;=N$23,5,C206&gt;=N$24,6,C206&lt;N$24,7)</f>
        <v>3</v>
      </c>
      <c r="F206" s="60"/>
      <c r="G206" s="8"/>
      <c r="H206" s="29"/>
    </row>
    <row r="207" spans="1:8" ht="12" customHeight="1">
      <c r="A207" s="10" t="s">
        <v>975</v>
      </c>
      <c r="B207" s="112" t="s">
        <v>976</v>
      </c>
      <c r="C207" s="78">
        <v>523</v>
      </c>
      <c r="D207" s="68"/>
      <c r="E207" s="29" cm="1">
        <f t="array" ref="E207">_xlfn.IFS(C207=":",":",C207&gt;=N$19,1,C207&gt;=N$20,2,C207&gt;=N$21,3,C207&gt;=N$22,4,C207&gt;=N$23,5,C207&gt;=N$24,6,C207&lt;N$24,7)</f>
        <v>3</v>
      </c>
      <c r="F207" s="60"/>
      <c r="G207" s="8"/>
      <c r="H207" s="29"/>
    </row>
    <row r="208" spans="1:8" ht="12" customHeight="1">
      <c r="A208" s="10" t="s">
        <v>977</v>
      </c>
      <c r="B208" s="112" t="s">
        <v>978</v>
      </c>
      <c r="C208" s="78">
        <v>651</v>
      </c>
      <c r="D208" s="68"/>
      <c r="E208" s="29" cm="1">
        <f t="array" ref="E208">_xlfn.IFS(C208=":",":",C208&gt;=N$19,1,C208&gt;=N$20,2,C208&gt;=N$21,3,C208&gt;=N$22,4,C208&gt;=N$23,5,C208&gt;=N$24,6,C208&lt;N$24,7)</f>
        <v>3</v>
      </c>
      <c r="F208" s="60"/>
      <c r="G208" s="8"/>
      <c r="H208" s="29"/>
    </row>
    <row r="209" spans="1:8" ht="12" customHeight="1">
      <c r="A209" s="10" t="s">
        <v>979</v>
      </c>
      <c r="B209" s="112" t="s">
        <v>980</v>
      </c>
      <c r="C209" s="78">
        <v>337</v>
      </c>
      <c r="D209" s="68"/>
      <c r="E209" s="29" cm="1">
        <f t="array" ref="E209">_xlfn.IFS(C209=":",":",C209&gt;=N$19,1,C209&gt;=N$20,2,C209&gt;=N$21,3,C209&gt;=N$22,4,C209&gt;=N$23,5,C209&gt;=N$24,6,C209&lt;N$24,7)</f>
        <v>4</v>
      </c>
      <c r="F209" s="60"/>
      <c r="G209" s="8"/>
      <c r="H209" s="29"/>
    </row>
    <row r="210" spans="1:8" ht="12" customHeight="1">
      <c r="A210" s="10" t="s">
        <v>981</v>
      </c>
      <c r="B210" s="112" t="s">
        <v>2867</v>
      </c>
      <c r="C210" s="78">
        <v>367</v>
      </c>
      <c r="D210" s="68"/>
      <c r="E210" s="29" cm="1">
        <f t="array" ref="E210">_xlfn.IFS(C210=":",":",C210&gt;=N$19,1,C210&gt;=N$20,2,C210&gt;=N$21,3,C210&gt;=N$22,4,C210&gt;=N$23,5,C210&gt;=N$24,6,C210&lt;N$24,7)</f>
        <v>4</v>
      </c>
      <c r="F210" s="60"/>
      <c r="G210" s="8"/>
      <c r="H210" s="29"/>
    </row>
    <row r="211" spans="1:8" ht="12" customHeight="1">
      <c r="A211" s="10" t="s">
        <v>982</v>
      </c>
      <c r="B211" s="112" t="s">
        <v>983</v>
      </c>
      <c r="C211" s="78">
        <v>442</v>
      </c>
      <c r="D211" s="68"/>
      <c r="E211" s="29" cm="1">
        <f t="array" ref="E211">_xlfn.IFS(C211=":",":",C211&gt;=N$19,1,C211&gt;=N$20,2,C211&gt;=N$21,3,C211&gt;=N$22,4,C211&gt;=N$23,5,C211&gt;=N$24,6,C211&lt;N$24,7)</f>
        <v>4</v>
      </c>
      <c r="F211" s="60"/>
      <c r="G211" s="8"/>
      <c r="H211" s="29"/>
    </row>
    <row r="212" spans="1:8" ht="12" customHeight="1">
      <c r="A212" s="10" t="s">
        <v>984</v>
      </c>
      <c r="B212" s="112" t="s">
        <v>985</v>
      </c>
      <c r="C212" s="78">
        <v>971</v>
      </c>
      <c r="D212" s="68"/>
      <c r="E212" s="29" cm="1">
        <f t="array" ref="E212">_xlfn.IFS(C212=":",":",C212&gt;=N$19,1,C212&gt;=N$20,2,C212&gt;=N$21,3,C212&gt;=N$22,4,C212&gt;=N$23,5,C212&gt;=N$24,6,C212&lt;N$24,7)</f>
        <v>3</v>
      </c>
      <c r="F212" s="60"/>
      <c r="G212" s="8"/>
      <c r="H212" s="29"/>
    </row>
    <row r="213" spans="1:8" ht="12" customHeight="1">
      <c r="A213" s="10" t="s">
        <v>986</v>
      </c>
      <c r="B213" s="112" t="s">
        <v>987</v>
      </c>
      <c r="C213" s="78">
        <v>4623</v>
      </c>
      <c r="D213" s="68"/>
      <c r="E213" s="29" cm="1">
        <f t="array" ref="E213">_xlfn.IFS(C213=":",":",C213&gt;=N$19,1,C213&gt;=N$20,2,C213&gt;=N$21,3,C213&gt;=N$22,4,C213&gt;=N$23,5,C213&gt;=N$24,6,C213&lt;N$24,7)</f>
        <v>2</v>
      </c>
      <c r="F213" s="60"/>
      <c r="G213" s="8"/>
      <c r="H213" s="29"/>
    </row>
    <row r="214" spans="1:8" ht="12" customHeight="1">
      <c r="A214" s="10" t="s">
        <v>988</v>
      </c>
      <c r="B214" s="112" t="s">
        <v>989</v>
      </c>
      <c r="C214" s="78">
        <v>7162</v>
      </c>
      <c r="D214" s="68"/>
      <c r="E214" s="29" cm="1">
        <f t="array" ref="E214">_xlfn.IFS(C214=":",":",C214&gt;=N$19,1,C214&gt;=N$20,2,C214&gt;=N$21,3,C214&gt;=N$22,4,C214&gt;=N$23,5,C214&gt;=N$24,6,C214&lt;N$24,7)</f>
        <v>1</v>
      </c>
      <c r="F214" s="60"/>
      <c r="G214" s="8"/>
      <c r="H214" s="29"/>
    </row>
    <row r="215" spans="1:8" ht="12" customHeight="1">
      <c r="A215" s="10" t="s">
        <v>990</v>
      </c>
      <c r="B215" s="112" t="s">
        <v>991</v>
      </c>
      <c r="C215" s="78">
        <v>11966</v>
      </c>
      <c r="D215" s="68"/>
      <c r="E215" s="29" cm="1">
        <f t="array" ref="E215">_xlfn.IFS(C215=":",":",C215&gt;=N$19,1,C215&gt;=N$20,2,C215&gt;=N$21,3,C215&gt;=N$22,4,C215&gt;=N$23,5,C215&gt;=N$24,6,C215&lt;N$24,7)</f>
        <v>1</v>
      </c>
      <c r="F215" s="60"/>
      <c r="G215" s="8"/>
      <c r="H215" s="29"/>
    </row>
    <row r="216" spans="1:8" ht="12" customHeight="1">
      <c r="A216" s="10" t="s">
        <v>992</v>
      </c>
      <c r="B216" s="112" t="s">
        <v>993</v>
      </c>
      <c r="C216" s="78">
        <v>637</v>
      </c>
      <c r="D216" s="68"/>
      <c r="E216" s="29" cm="1">
        <f t="array" ref="E216">_xlfn.IFS(C216=":",":",C216&gt;=N$19,1,C216&gt;=N$20,2,C216&gt;=N$21,3,C216&gt;=N$22,4,C216&gt;=N$23,5,C216&gt;=N$24,6,C216&lt;N$24,7)</f>
        <v>3</v>
      </c>
      <c r="F216" s="60"/>
      <c r="G216" s="8"/>
      <c r="H216" s="29"/>
    </row>
    <row r="217" spans="1:8" ht="12" customHeight="1">
      <c r="A217" s="10" t="s">
        <v>994</v>
      </c>
      <c r="B217" s="112" t="s">
        <v>995</v>
      </c>
      <c r="C217" s="78">
        <v>803</v>
      </c>
      <c r="D217" s="68"/>
      <c r="E217" s="29" cm="1">
        <f t="array" ref="E217">_xlfn.IFS(C217=":",":",C217&gt;=N$19,1,C217&gt;=N$20,2,C217&gt;=N$21,3,C217&gt;=N$22,4,C217&gt;=N$23,5,C217&gt;=N$24,6,C217&lt;N$24,7)</f>
        <v>3</v>
      </c>
      <c r="F217" s="60"/>
      <c r="G217" s="8"/>
      <c r="H217" s="29"/>
    </row>
    <row r="218" spans="1:8" ht="12" customHeight="1">
      <c r="A218" s="10" t="s">
        <v>996</v>
      </c>
      <c r="B218" s="112" t="s">
        <v>997</v>
      </c>
      <c r="C218" s="78">
        <v>589</v>
      </c>
      <c r="D218" s="68"/>
      <c r="E218" s="29" cm="1">
        <f t="array" ref="E218">_xlfn.IFS(C218=":",":",C218&gt;=N$19,1,C218&gt;=N$20,2,C218&gt;=N$21,3,C218&gt;=N$22,4,C218&gt;=N$23,5,C218&gt;=N$24,6,C218&lt;N$24,7)</f>
        <v>3</v>
      </c>
      <c r="F218" s="60"/>
      <c r="G218" s="8"/>
      <c r="H218" s="29"/>
    </row>
    <row r="219" spans="1:8" ht="12" customHeight="1">
      <c r="A219" s="10" t="s">
        <v>998</v>
      </c>
      <c r="B219" s="112" t="s">
        <v>999</v>
      </c>
      <c r="C219" s="78">
        <v>168</v>
      </c>
      <c r="D219" s="68"/>
      <c r="E219" s="29" cm="1">
        <f t="array" ref="E219">_xlfn.IFS(C219=":",":",C219&gt;=N$19,1,C219&gt;=N$20,2,C219&gt;=N$21,3,C219&gt;=N$22,4,C219&gt;=N$23,5,C219&gt;=N$24,6,C219&lt;N$24,7)</f>
        <v>5</v>
      </c>
      <c r="F219" s="60"/>
      <c r="G219" s="8"/>
      <c r="H219" s="29"/>
    </row>
    <row r="220" spans="1:8" ht="12" customHeight="1">
      <c r="A220" s="10" t="s">
        <v>1000</v>
      </c>
      <c r="B220" s="112" t="s">
        <v>1001</v>
      </c>
      <c r="C220" s="81">
        <v>1070</v>
      </c>
      <c r="D220" s="68"/>
      <c r="E220" s="29" cm="1">
        <f t="array" ref="E220">_xlfn.IFS(C220=":",":",C220&gt;=N$19,1,C220&gt;=N$20,2,C220&gt;=N$21,3,C220&gt;=N$22,4,C220&gt;=N$23,5,C220&gt;=N$24,6,C220&lt;N$24,7)</f>
        <v>3</v>
      </c>
      <c r="F220" s="60"/>
      <c r="G220" s="8"/>
      <c r="H220" s="29"/>
    </row>
    <row r="221" spans="1:8" ht="12" customHeight="1">
      <c r="A221" s="10" t="s">
        <v>1002</v>
      </c>
      <c r="B221" s="112" t="s">
        <v>1003</v>
      </c>
      <c r="C221" s="81">
        <v>371</v>
      </c>
      <c r="D221" s="68"/>
      <c r="E221" s="29" cm="1">
        <f t="array" ref="E221">_xlfn.IFS(C221=":",":",C221&gt;=N$19,1,C221&gt;=N$20,2,C221&gt;=N$21,3,C221&gt;=N$22,4,C221&gt;=N$23,5,C221&gt;=N$24,6,C221&lt;N$24,7)</f>
        <v>4</v>
      </c>
      <c r="F221" s="60"/>
      <c r="G221" s="8"/>
      <c r="H221" s="29"/>
    </row>
    <row r="222" spans="1:8" ht="12" customHeight="1">
      <c r="A222" s="10" t="s">
        <v>1004</v>
      </c>
      <c r="B222" s="112" t="s">
        <v>1005</v>
      </c>
      <c r="C222" s="81">
        <v>337</v>
      </c>
      <c r="D222" s="68"/>
      <c r="E222" s="29" cm="1">
        <f t="array" ref="E222">_xlfn.IFS(C222=":",":",C222&gt;=N$19,1,C222&gt;=N$20,2,C222&gt;=N$21,3,C222&gt;=N$22,4,C222&gt;=N$23,5,C222&gt;=N$24,6,C222&lt;N$24,7)</f>
        <v>4</v>
      </c>
      <c r="F222" s="60"/>
      <c r="G222" s="8"/>
      <c r="H222" s="29"/>
    </row>
    <row r="223" spans="1:8" ht="12" customHeight="1">
      <c r="A223" s="10" t="s">
        <v>1006</v>
      </c>
      <c r="B223" s="112" t="s">
        <v>1007</v>
      </c>
      <c r="C223" s="78">
        <v>107</v>
      </c>
      <c r="D223" s="68"/>
      <c r="E223" s="29" cm="1">
        <f t="array" ref="E223">_xlfn.IFS(C223=":",":",C223&gt;=N$19,1,C223&gt;=N$20,2,C223&gt;=N$21,3,C223&gt;=N$22,4,C223&gt;=N$23,5,C223&gt;=N$24,6,C223&lt;N$24,7)</f>
        <v>5</v>
      </c>
      <c r="F223" s="60"/>
      <c r="G223" s="8"/>
      <c r="H223" s="29"/>
    </row>
    <row r="224" spans="1:8" ht="12" customHeight="1">
      <c r="A224" s="10" t="s">
        <v>1008</v>
      </c>
      <c r="B224" s="112" t="s">
        <v>1009</v>
      </c>
      <c r="C224" s="81">
        <v>483</v>
      </c>
      <c r="D224" s="68"/>
      <c r="E224" s="29" cm="1">
        <f t="array" ref="E224">_xlfn.IFS(C224=":",":",C224&gt;=N$19,1,C224&gt;=N$20,2,C224&gt;=N$21,3,C224&gt;=N$22,4,C224&gt;=N$23,5,C224&gt;=N$24,6,C224&lt;N$24,7)</f>
        <v>4</v>
      </c>
      <c r="F224" s="60"/>
      <c r="G224" s="8"/>
      <c r="H224" s="29"/>
    </row>
    <row r="225" spans="1:8" ht="12" customHeight="1">
      <c r="A225" s="10" t="s">
        <v>1010</v>
      </c>
      <c r="B225" s="112" t="s">
        <v>1011</v>
      </c>
      <c r="C225" s="81">
        <v>8012</v>
      </c>
      <c r="D225" s="68"/>
      <c r="E225" s="29" cm="1">
        <f t="array" ref="E225">_xlfn.IFS(C225=":",":",C225&gt;=N$19,1,C225&gt;=N$20,2,C225&gt;=N$21,3,C225&gt;=N$22,4,C225&gt;=N$23,5,C225&gt;=N$24,6,C225&lt;N$24,7)</f>
        <v>1</v>
      </c>
      <c r="F225" s="60"/>
      <c r="G225" s="8"/>
      <c r="H225" s="29"/>
    </row>
    <row r="226" spans="1:8" ht="12" customHeight="1">
      <c r="A226" s="10" t="s">
        <v>1012</v>
      </c>
      <c r="B226" s="112" t="s">
        <v>1013</v>
      </c>
      <c r="C226" s="78">
        <v>2497</v>
      </c>
      <c r="D226" s="68"/>
      <c r="E226" s="29" cm="1">
        <f t="array" ref="E226">_xlfn.IFS(C226=":",":",C226&gt;=N$19,1,C226&gt;=N$20,2,C226&gt;=N$21,3,C226&gt;=N$22,4,C226&gt;=N$23,5,C226&gt;=N$24,6,C226&lt;N$24,7)</f>
        <v>2</v>
      </c>
      <c r="F226" s="60"/>
      <c r="G226" s="8"/>
      <c r="H226" s="29"/>
    </row>
    <row r="227" spans="1:8" ht="12" customHeight="1">
      <c r="A227" s="10" t="s">
        <v>1014</v>
      </c>
      <c r="B227" s="112" t="s">
        <v>1015</v>
      </c>
      <c r="C227" s="78">
        <v>5627</v>
      </c>
      <c r="D227" s="68"/>
      <c r="E227" s="29" cm="1">
        <f t="array" ref="E227">_xlfn.IFS(C227=":",":",C227&gt;=N$19,1,C227&gt;=N$20,2,C227&gt;=N$21,3,C227&gt;=N$22,4,C227&gt;=N$23,5,C227&gt;=N$24,6,C227&lt;N$24,7)</f>
        <v>1</v>
      </c>
      <c r="F227" s="60"/>
      <c r="G227" s="8"/>
      <c r="H227" s="29"/>
    </row>
    <row r="228" spans="1:8" ht="12" customHeight="1">
      <c r="A228" s="10" t="s">
        <v>1016</v>
      </c>
      <c r="B228" s="112" t="s">
        <v>1017</v>
      </c>
      <c r="C228" s="78">
        <v>2858</v>
      </c>
      <c r="D228" s="68"/>
      <c r="E228" s="29" cm="1">
        <f t="array" ref="E228">_xlfn.IFS(C228=":",":",C228&gt;=N$19,1,C228&gt;=N$20,2,C228&gt;=N$21,3,C228&gt;=N$22,4,C228&gt;=N$23,5,C228&gt;=N$24,6,C228&lt;N$24,7)</f>
        <v>2</v>
      </c>
      <c r="F228" s="60"/>
      <c r="G228" s="8"/>
      <c r="H228" s="29"/>
    </row>
    <row r="229" spans="1:8" ht="12" customHeight="1">
      <c r="A229" s="10" t="s">
        <v>1018</v>
      </c>
      <c r="B229" s="112" t="s">
        <v>1019</v>
      </c>
      <c r="C229" s="78">
        <v>215</v>
      </c>
      <c r="D229" s="68"/>
      <c r="E229" s="29" cm="1">
        <f t="array" ref="E229">_xlfn.IFS(C229=":",":",C229&gt;=N$19,1,C229&gt;=N$20,2,C229&gt;=N$21,3,C229&gt;=N$22,4,C229&gt;=N$23,5,C229&gt;=N$24,6,C229&lt;N$24,7)</f>
        <v>4</v>
      </c>
      <c r="F229" s="60"/>
      <c r="G229" s="8"/>
      <c r="H229" s="29"/>
    </row>
    <row r="230" spans="1:8" ht="12" customHeight="1">
      <c r="A230" s="10" t="s">
        <v>1020</v>
      </c>
      <c r="B230" s="112" t="s">
        <v>1021</v>
      </c>
      <c r="C230" s="78">
        <v>355</v>
      </c>
      <c r="D230" s="68"/>
      <c r="E230" s="29" cm="1">
        <f t="array" ref="E230">_xlfn.IFS(C230=":",":",C230&gt;=N$19,1,C230&gt;=N$20,2,C230&gt;=N$21,3,C230&gt;=N$22,4,C230&gt;=N$23,5,C230&gt;=N$24,6,C230&lt;N$24,7)</f>
        <v>4</v>
      </c>
      <c r="F230" s="60"/>
      <c r="G230" s="8"/>
      <c r="H230" s="29"/>
    </row>
    <row r="231" spans="1:8" ht="12" customHeight="1">
      <c r="A231" s="10" t="s">
        <v>1022</v>
      </c>
      <c r="B231" s="112" t="s">
        <v>2868</v>
      </c>
      <c r="C231" s="78">
        <v>146</v>
      </c>
      <c r="D231" s="68"/>
      <c r="E231" s="29" cm="1">
        <f t="array" ref="E231">_xlfn.IFS(C231=":",":",C231&gt;=N$19,1,C231&gt;=N$20,2,C231&gt;=N$21,3,C231&gt;=N$22,4,C231&gt;=N$23,5,C231&gt;=N$24,6,C231&lt;N$24,7)</f>
        <v>5</v>
      </c>
      <c r="F231" s="60"/>
      <c r="G231" s="8"/>
      <c r="H231" s="29"/>
    </row>
    <row r="232" spans="1:8" ht="12" customHeight="1">
      <c r="A232" s="10" t="s">
        <v>1023</v>
      </c>
      <c r="B232" s="112" t="s">
        <v>1024</v>
      </c>
      <c r="C232" s="78">
        <v>1277</v>
      </c>
      <c r="D232" s="68"/>
      <c r="E232" s="29" cm="1">
        <f t="array" ref="E232">_xlfn.IFS(C232=":",":",C232&gt;=N$19,1,C232&gt;=N$20,2,C232&gt;=N$21,3,C232&gt;=N$22,4,C232&gt;=N$23,5,C232&gt;=N$24,6,C232&lt;N$24,7)</f>
        <v>3</v>
      </c>
      <c r="F232" s="60"/>
      <c r="G232" s="8"/>
      <c r="H232" s="29"/>
    </row>
    <row r="233" spans="1:8" ht="12" customHeight="1">
      <c r="A233" s="10" t="s">
        <v>1025</v>
      </c>
      <c r="B233" s="112" t="s">
        <v>1026</v>
      </c>
      <c r="C233" s="78">
        <v>958</v>
      </c>
      <c r="D233" s="68"/>
      <c r="E233" s="29" cm="1">
        <f t="array" ref="E233">_xlfn.IFS(C233=":",":",C233&gt;=N$19,1,C233&gt;=N$20,2,C233&gt;=N$21,3,C233&gt;=N$22,4,C233&gt;=N$23,5,C233&gt;=N$24,6,C233&lt;N$24,7)</f>
        <v>3</v>
      </c>
      <c r="F233" s="60"/>
      <c r="G233" s="8"/>
      <c r="H233" s="29"/>
    </row>
    <row r="234" spans="1:8" ht="12" customHeight="1">
      <c r="A234" s="10" t="s">
        <v>1027</v>
      </c>
      <c r="B234" s="112" t="s">
        <v>1028</v>
      </c>
      <c r="C234" s="78">
        <v>5123</v>
      </c>
      <c r="D234" s="68"/>
      <c r="E234" s="29" cm="1">
        <f t="array" ref="E234">_xlfn.IFS(C234=":",":",C234&gt;=N$19,1,C234&gt;=N$20,2,C234&gt;=N$21,3,C234&gt;=N$22,4,C234&gt;=N$23,5,C234&gt;=N$24,6,C234&lt;N$24,7)</f>
        <v>1</v>
      </c>
      <c r="F234" s="60"/>
      <c r="G234" s="8"/>
      <c r="H234" s="29"/>
    </row>
    <row r="235" spans="1:8" ht="12" customHeight="1">
      <c r="A235" s="10" t="s">
        <v>1029</v>
      </c>
      <c r="B235" s="112" t="s">
        <v>1030</v>
      </c>
      <c r="C235" s="78">
        <v>2479</v>
      </c>
      <c r="D235" s="68"/>
      <c r="E235" s="29" cm="1">
        <f t="array" ref="E235">_xlfn.IFS(C235=":",":",C235&gt;=N$19,1,C235&gt;=N$20,2,C235&gt;=N$21,3,C235&gt;=N$22,4,C235&gt;=N$23,5,C235&gt;=N$24,6,C235&lt;N$24,7)</f>
        <v>2</v>
      </c>
      <c r="F235" s="60"/>
      <c r="G235" s="8"/>
      <c r="H235" s="29"/>
    </row>
    <row r="236" spans="1:8" ht="12" customHeight="1">
      <c r="A236" s="10" t="s">
        <v>1031</v>
      </c>
      <c r="B236" s="112" t="s">
        <v>1032</v>
      </c>
      <c r="C236" s="78">
        <v>676</v>
      </c>
      <c r="D236" s="68"/>
      <c r="E236" s="29" cm="1">
        <f t="array" ref="E236">_xlfn.IFS(C236=":",":",C236&gt;=N$19,1,C236&gt;=N$20,2,C236&gt;=N$21,3,C236&gt;=N$22,4,C236&gt;=N$23,5,C236&gt;=N$24,6,C236&lt;N$24,7)</f>
        <v>3</v>
      </c>
      <c r="F236" s="60"/>
      <c r="G236" s="8"/>
      <c r="H236" s="29"/>
    </row>
    <row r="237" spans="1:8" ht="12" customHeight="1">
      <c r="A237" s="10" t="s">
        <v>1033</v>
      </c>
      <c r="B237" s="112" t="s">
        <v>1034</v>
      </c>
      <c r="C237" s="78">
        <v>278</v>
      </c>
      <c r="D237" s="68"/>
      <c r="E237" s="29" cm="1">
        <f t="array" ref="E237">_xlfn.IFS(C237=":",":",C237&gt;=N$19,1,C237&gt;=N$20,2,C237&gt;=N$21,3,C237&gt;=N$22,4,C237&gt;=N$23,5,C237&gt;=N$24,6,C237&lt;N$24,7)</f>
        <v>4</v>
      </c>
      <c r="F237" s="60"/>
      <c r="G237" s="8"/>
      <c r="H237" s="29"/>
    </row>
    <row r="238" spans="1:8" ht="12" customHeight="1">
      <c r="A238" s="10" t="s">
        <v>1035</v>
      </c>
      <c r="B238" s="112" t="s">
        <v>1036</v>
      </c>
      <c r="C238" s="78">
        <v>3570</v>
      </c>
      <c r="D238" s="68"/>
      <c r="E238" s="29" cm="1">
        <f t="array" ref="E238">_xlfn.IFS(C238=":",":",C238&gt;=N$19,1,C238&gt;=N$20,2,C238&gt;=N$21,3,C238&gt;=N$22,4,C238&gt;=N$23,5,C238&gt;=N$24,6,C238&lt;N$24,7)</f>
        <v>2</v>
      </c>
      <c r="F238" s="60"/>
      <c r="G238" s="8"/>
      <c r="H238" s="29"/>
    </row>
    <row r="239" spans="1:8" ht="12" customHeight="1">
      <c r="A239" s="10" t="s">
        <v>1037</v>
      </c>
      <c r="B239" s="112" t="s">
        <v>106</v>
      </c>
      <c r="C239" s="78">
        <v>35928</v>
      </c>
      <c r="D239" s="68"/>
      <c r="E239" s="29" cm="1">
        <f t="array" ref="E239">_xlfn.IFS(C239=":",":",C239&gt;=N$19,1,C239&gt;=N$20,2,C239&gt;=N$21,3,C239&gt;=N$22,4,C239&gt;=N$23,5,C239&gt;=N$24,6,C239&lt;N$24,7)</f>
        <v>1</v>
      </c>
      <c r="F239" s="60"/>
      <c r="G239" s="8"/>
      <c r="H239" s="29"/>
    </row>
    <row r="240" spans="1:8" ht="12" customHeight="1">
      <c r="A240" s="10" t="s">
        <v>1038</v>
      </c>
      <c r="B240" s="112" t="s">
        <v>1039</v>
      </c>
      <c r="C240" s="78">
        <v>1281</v>
      </c>
      <c r="D240" s="68"/>
      <c r="E240" s="29" cm="1">
        <f t="array" ref="E240">_xlfn.IFS(C240=":",":",C240&gt;=N$19,1,C240&gt;=N$20,2,C240&gt;=N$21,3,C240&gt;=N$22,4,C240&gt;=N$23,5,C240&gt;=N$24,6,C240&lt;N$24,7)</f>
        <v>3</v>
      </c>
      <c r="F240" s="60"/>
      <c r="G240" s="8"/>
      <c r="H240" s="29"/>
    </row>
    <row r="241" spans="1:9" ht="12" customHeight="1">
      <c r="A241" s="10" t="s">
        <v>1040</v>
      </c>
      <c r="B241" s="112" t="s">
        <v>1041</v>
      </c>
      <c r="C241" s="78">
        <v>1781</v>
      </c>
      <c r="D241" s="68"/>
      <c r="E241" s="29" cm="1">
        <f t="array" ref="E241">_xlfn.IFS(C241=":",":",C241&gt;=N$19,1,C241&gt;=N$20,2,C241&gt;=N$21,3,C241&gt;=N$22,4,C241&gt;=N$23,5,C241&gt;=N$24,6,C241&lt;N$24,7)</f>
        <v>2</v>
      </c>
      <c r="F241" s="60"/>
      <c r="G241" s="8"/>
      <c r="H241" s="29"/>
    </row>
    <row r="242" spans="1:9" ht="12" customHeight="1">
      <c r="A242" s="10" t="s">
        <v>1042</v>
      </c>
      <c r="B242" s="112" t="s">
        <v>1043</v>
      </c>
      <c r="C242" s="78">
        <v>902</v>
      </c>
      <c r="D242" s="68"/>
      <c r="E242" s="29" cm="1">
        <f t="array" ref="E242">_xlfn.IFS(C242=":",":",C242&gt;=N$19,1,C242&gt;=N$20,2,C242&gt;=N$21,3,C242&gt;=N$22,4,C242&gt;=N$23,5,C242&gt;=N$24,6,C242&lt;N$24,7)</f>
        <v>3</v>
      </c>
      <c r="F242" s="60"/>
      <c r="G242" s="8"/>
      <c r="H242" s="29"/>
    </row>
    <row r="243" spans="1:9" ht="12" customHeight="1">
      <c r="A243" s="10" t="s">
        <v>1044</v>
      </c>
      <c r="B243" s="112" t="s">
        <v>1045</v>
      </c>
      <c r="C243" s="78">
        <v>7710</v>
      </c>
      <c r="D243" s="68"/>
      <c r="E243" s="29" cm="1">
        <f t="array" ref="E243">_xlfn.IFS(C243=":",":",C243&gt;=N$19,1,C243&gt;=N$20,2,C243&gt;=N$21,3,C243&gt;=N$22,4,C243&gt;=N$23,5,C243&gt;=N$24,6,C243&lt;N$24,7)</f>
        <v>1</v>
      </c>
      <c r="F243" s="60"/>
      <c r="G243" s="8"/>
      <c r="H243" s="29"/>
    </row>
    <row r="244" spans="1:9" ht="12" customHeight="1">
      <c r="A244" s="10" t="s">
        <v>1046</v>
      </c>
      <c r="B244" s="112" t="s">
        <v>1047</v>
      </c>
      <c r="C244" s="78">
        <v>479</v>
      </c>
      <c r="D244" s="68"/>
      <c r="E244" s="29" cm="1">
        <f t="array" ref="E244">_xlfn.IFS(C244=":",":",C244&gt;=N$19,1,C244&gt;=N$20,2,C244&gt;=N$21,3,C244&gt;=N$22,4,C244&gt;=N$23,5,C244&gt;=N$24,6,C244&lt;N$24,7)</f>
        <v>4</v>
      </c>
      <c r="F244" s="60"/>
      <c r="G244" s="8"/>
      <c r="H244" s="29"/>
    </row>
    <row r="245" spans="1:9" ht="12" customHeight="1">
      <c r="A245" s="10" t="s">
        <v>1048</v>
      </c>
      <c r="B245" s="112" t="s">
        <v>1049</v>
      </c>
      <c r="C245" s="78">
        <v>1021</v>
      </c>
      <c r="D245" s="68"/>
      <c r="E245" s="29" cm="1">
        <f t="array" ref="E245">_xlfn.IFS(C245=":",":",C245&gt;=N$19,1,C245&gt;=N$20,2,C245&gt;=N$21,3,C245&gt;=N$22,4,C245&gt;=N$23,5,C245&gt;=N$24,6,C245&lt;N$24,7)</f>
        <v>3</v>
      </c>
      <c r="F245" s="60"/>
      <c r="G245" s="8"/>
      <c r="H245" s="29"/>
    </row>
    <row r="246" spans="1:9" ht="12" customHeight="1">
      <c r="A246" s="10" t="s">
        <v>1050</v>
      </c>
      <c r="B246" s="112" t="s">
        <v>1051</v>
      </c>
      <c r="C246" s="78">
        <v>77</v>
      </c>
      <c r="D246" s="68"/>
      <c r="E246" s="29" cm="1">
        <f t="array" ref="E246">_xlfn.IFS(C246=":",":",C246&gt;=N$19,1,C246&gt;=N$20,2,C246&gt;=N$21,3,C246&gt;=N$22,4,C246&gt;=N$23,5,C246&gt;=N$24,6,C246&lt;N$24,7)</f>
        <v>5</v>
      </c>
      <c r="F246" s="60"/>
      <c r="G246" s="8"/>
      <c r="H246" s="29"/>
      <c r="I246" s="63"/>
    </row>
    <row r="247" spans="1:9" ht="12" customHeight="1">
      <c r="A247" s="10" t="s">
        <v>1052</v>
      </c>
      <c r="B247" s="112" t="s">
        <v>1053</v>
      </c>
      <c r="C247" s="78">
        <v>154</v>
      </c>
      <c r="D247" s="68"/>
      <c r="E247" s="29" cm="1">
        <f t="array" ref="E247">_xlfn.IFS(C247=":",":",C247&gt;=N$19,1,C247&gt;=N$20,2,C247&gt;=N$21,3,C247&gt;=N$22,4,C247&gt;=N$23,5,C247&gt;=N$24,6,C247&lt;N$24,7)</f>
        <v>5</v>
      </c>
      <c r="F247" s="60"/>
      <c r="G247" s="8"/>
      <c r="H247" s="29"/>
      <c r="I247" s="63"/>
    </row>
    <row r="248" spans="1:9" ht="12" customHeight="1">
      <c r="A248" s="10" t="s">
        <v>1054</v>
      </c>
      <c r="B248" s="112" t="s">
        <v>1055</v>
      </c>
      <c r="C248" s="78">
        <v>141</v>
      </c>
      <c r="D248" s="68"/>
      <c r="E248" s="29" cm="1">
        <f t="array" ref="E248">_xlfn.IFS(C248=":",":",C248&gt;=N$19,1,C248&gt;=N$20,2,C248&gt;=N$21,3,C248&gt;=N$22,4,C248&gt;=N$23,5,C248&gt;=N$24,6,C248&lt;N$24,7)</f>
        <v>5</v>
      </c>
      <c r="F248" s="60"/>
      <c r="G248" s="8"/>
      <c r="H248" s="29"/>
      <c r="I248" s="56"/>
    </row>
    <row r="249" spans="1:9" ht="12" customHeight="1">
      <c r="A249" s="10" t="s">
        <v>1056</v>
      </c>
      <c r="B249" s="112" t="s">
        <v>1057</v>
      </c>
      <c r="C249" s="78">
        <v>288</v>
      </c>
      <c r="D249" s="68"/>
      <c r="E249" s="29" cm="1">
        <f t="array" ref="E249">_xlfn.IFS(C249=":",":",C249&gt;=N$19,1,C249&gt;=N$20,2,C249&gt;=N$21,3,C249&gt;=N$22,4,C249&gt;=N$23,5,C249&gt;=N$24,6,C249&lt;N$24,7)</f>
        <v>4</v>
      </c>
      <c r="F249" s="60"/>
      <c r="G249" s="8"/>
      <c r="H249" s="29"/>
      <c r="I249" s="56"/>
    </row>
    <row r="250" spans="1:9" ht="12" customHeight="1">
      <c r="A250" s="10" t="s">
        <v>1058</v>
      </c>
      <c r="B250" s="112" t="s">
        <v>1059</v>
      </c>
      <c r="C250" s="78">
        <v>793</v>
      </c>
      <c r="D250" s="68"/>
      <c r="E250" s="29" cm="1">
        <f t="array" ref="E250">_xlfn.IFS(C250=":",":",C250&gt;=N$19,1,C250&gt;=N$20,2,C250&gt;=N$21,3,C250&gt;=N$22,4,C250&gt;=N$23,5,C250&gt;=N$24,6,C250&lt;N$24,7)</f>
        <v>3</v>
      </c>
      <c r="F250" s="60"/>
      <c r="G250" s="8"/>
      <c r="H250" s="29"/>
      <c r="I250" s="56"/>
    </row>
    <row r="251" spans="1:9" ht="12" customHeight="1">
      <c r="A251" s="10" t="s">
        <v>1060</v>
      </c>
      <c r="B251" s="112" t="s">
        <v>1061</v>
      </c>
      <c r="C251" s="78">
        <v>536</v>
      </c>
      <c r="D251" s="68"/>
      <c r="E251" s="29" cm="1">
        <f t="array" ref="E251">_xlfn.IFS(C251=":",":",C251&gt;=N$19,1,C251&gt;=N$20,2,C251&gt;=N$21,3,C251&gt;=N$22,4,C251&gt;=N$23,5,C251&gt;=N$24,6,C251&lt;N$24,7)</f>
        <v>3</v>
      </c>
      <c r="F251" s="60"/>
      <c r="G251" s="8"/>
      <c r="H251" s="29"/>
      <c r="I251" s="56"/>
    </row>
    <row r="252" spans="1:9" ht="12" customHeight="1">
      <c r="A252" s="10" t="s">
        <v>1062</v>
      </c>
      <c r="B252" s="112" t="s">
        <v>1063</v>
      </c>
      <c r="C252" s="81">
        <v>358</v>
      </c>
      <c r="D252" s="68"/>
      <c r="E252" s="29" cm="1">
        <f t="array" ref="E252">_xlfn.IFS(C252=":",":",C252&gt;=N$19,1,C252&gt;=N$20,2,C252&gt;=N$21,3,C252&gt;=N$22,4,C252&gt;=N$23,5,C252&gt;=N$24,6,C252&lt;N$24,7)</f>
        <v>4</v>
      </c>
      <c r="F252" s="60"/>
      <c r="G252" s="8"/>
      <c r="H252" s="29"/>
      <c r="I252" s="56"/>
    </row>
    <row r="253" spans="1:9" ht="12" customHeight="1">
      <c r="A253" s="10" t="s">
        <v>1064</v>
      </c>
      <c r="B253" s="112" t="s">
        <v>1065</v>
      </c>
      <c r="C253" s="81">
        <v>375</v>
      </c>
      <c r="D253" s="68"/>
      <c r="E253" s="29" cm="1">
        <f t="array" ref="E253">_xlfn.IFS(C253=":",":",C253&gt;=N$19,1,C253&gt;=N$20,2,C253&gt;=N$21,3,C253&gt;=N$22,4,C253&gt;=N$23,5,C253&gt;=N$24,6,C253&lt;N$24,7)</f>
        <v>4</v>
      </c>
      <c r="F253" s="60"/>
      <c r="G253" s="8"/>
      <c r="H253" s="29"/>
      <c r="I253" s="56"/>
    </row>
    <row r="254" spans="1:9" ht="12" customHeight="1">
      <c r="A254" s="10" t="s">
        <v>1066</v>
      </c>
      <c r="B254" s="112" t="s">
        <v>1067</v>
      </c>
      <c r="C254" s="81">
        <v>147</v>
      </c>
      <c r="D254" s="68"/>
      <c r="E254" s="29" cm="1">
        <f t="array" ref="E254">_xlfn.IFS(C254=":",":",C254&gt;=N$19,1,C254&gt;=N$20,2,C254&gt;=N$21,3,C254&gt;=N$22,4,C254&gt;=N$23,5,C254&gt;=N$24,6,C254&lt;N$24,7)</f>
        <v>5</v>
      </c>
      <c r="F254" s="60"/>
      <c r="G254" s="8"/>
      <c r="H254" s="29"/>
      <c r="I254" s="56"/>
    </row>
    <row r="255" spans="1:9" ht="12" customHeight="1">
      <c r="A255" s="10" t="s">
        <v>1068</v>
      </c>
      <c r="B255" s="112" t="s">
        <v>1069</v>
      </c>
      <c r="C255" s="81">
        <v>453</v>
      </c>
      <c r="D255" s="68"/>
      <c r="E255" s="29" cm="1">
        <f t="array" ref="E255">_xlfn.IFS(C255=":",":",C255&gt;=N$19,1,C255&gt;=N$20,2,C255&gt;=N$21,3,C255&gt;=N$22,4,C255&gt;=N$23,5,C255&gt;=N$24,6,C255&lt;N$24,7)</f>
        <v>4</v>
      </c>
      <c r="F255" s="60"/>
      <c r="G255" s="8"/>
      <c r="H255" s="29"/>
      <c r="I255" s="56"/>
    </row>
    <row r="256" spans="1:9" ht="12" customHeight="1">
      <c r="A256" s="10" t="s">
        <v>1070</v>
      </c>
      <c r="B256" s="112" t="s">
        <v>1071</v>
      </c>
      <c r="C256" s="81">
        <v>288</v>
      </c>
      <c r="D256" s="68"/>
      <c r="E256" s="29" cm="1">
        <f t="array" ref="E256">_xlfn.IFS(C256=":",":",C256&gt;=N$19,1,C256&gt;=N$20,2,C256&gt;=N$21,3,C256&gt;=N$22,4,C256&gt;=N$23,5,C256&gt;=N$24,6,C256&lt;N$24,7)</f>
        <v>4</v>
      </c>
      <c r="F256" s="60"/>
      <c r="G256" s="8"/>
      <c r="H256" s="29"/>
      <c r="I256" s="56"/>
    </row>
    <row r="257" spans="1:9" ht="12" customHeight="1">
      <c r="A257" s="10" t="s">
        <v>1072</v>
      </c>
      <c r="B257" s="112" t="s">
        <v>1073</v>
      </c>
      <c r="C257" s="78">
        <v>304</v>
      </c>
      <c r="D257" s="68"/>
      <c r="E257" s="29" cm="1">
        <f t="array" ref="E257">_xlfn.IFS(C257=":",":",C257&gt;=N$19,1,C257&gt;=N$20,2,C257&gt;=N$21,3,C257&gt;=N$22,4,C257&gt;=N$23,5,C257&gt;=N$24,6,C257&lt;N$24,7)</f>
        <v>4</v>
      </c>
      <c r="F257" s="60"/>
      <c r="G257" s="8"/>
      <c r="H257" s="29"/>
      <c r="I257" s="56"/>
    </row>
    <row r="258" spans="1:9" ht="12" customHeight="1">
      <c r="A258" s="10" t="s">
        <v>1074</v>
      </c>
      <c r="B258" s="112" t="s">
        <v>1075</v>
      </c>
      <c r="C258" s="81">
        <v>7696</v>
      </c>
      <c r="D258" s="68"/>
      <c r="E258" s="29" cm="1">
        <f t="array" ref="E258">_xlfn.IFS(C258=":",":",C258&gt;=N$19,1,C258&gt;=N$20,2,C258&gt;=N$21,3,C258&gt;=N$22,4,C258&gt;=N$23,5,C258&gt;=N$24,6,C258&lt;N$24,7)</f>
        <v>1</v>
      </c>
      <c r="F258" s="60"/>
      <c r="G258" s="8"/>
      <c r="H258" s="29"/>
      <c r="I258" s="56"/>
    </row>
    <row r="259" spans="1:9" ht="12" customHeight="1">
      <c r="A259" s="10" t="s">
        <v>1076</v>
      </c>
      <c r="B259" s="112" t="s">
        <v>1077</v>
      </c>
      <c r="C259" s="78">
        <v>5303</v>
      </c>
      <c r="D259" s="68"/>
      <c r="E259" s="29" cm="1">
        <f t="array" ref="E259">_xlfn.IFS(C259=":",":",C259&gt;=N$19,1,C259&gt;=N$20,2,C259&gt;=N$21,3,C259&gt;=N$22,4,C259&gt;=N$23,5,C259&gt;=N$24,6,C259&lt;N$24,7)</f>
        <v>1</v>
      </c>
      <c r="F259" s="60"/>
      <c r="G259" s="8"/>
      <c r="H259" s="29"/>
      <c r="I259" s="56"/>
    </row>
    <row r="260" spans="1:9" ht="12" customHeight="1">
      <c r="A260" s="10" t="s">
        <v>1078</v>
      </c>
      <c r="B260" s="112" t="s">
        <v>112</v>
      </c>
      <c r="C260" s="78">
        <v>22631</v>
      </c>
      <c r="D260" s="68"/>
      <c r="E260" s="29" cm="1">
        <f t="array" ref="E260">_xlfn.IFS(C260=":",":",C260&gt;=N$19,1,C260&gt;=N$20,2,C260&gt;=N$21,3,C260&gt;=N$22,4,C260&gt;=N$23,5,C260&gt;=N$24,6,C260&lt;N$24,7)</f>
        <v>1</v>
      </c>
      <c r="F260" s="60"/>
      <c r="G260" s="8"/>
      <c r="H260" s="29"/>
      <c r="I260" s="56"/>
    </row>
    <row r="261" spans="1:9" ht="12" customHeight="1">
      <c r="A261" s="10" t="s">
        <v>1079</v>
      </c>
      <c r="B261" s="112" t="s">
        <v>1080</v>
      </c>
      <c r="C261" s="78">
        <v>6400</v>
      </c>
      <c r="D261" s="68"/>
      <c r="E261" s="29" cm="1">
        <f t="array" ref="E261">_xlfn.IFS(C261=":",":",C261&gt;=N$19,1,C261&gt;=N$20,2,C261&gt;=N$21,3,C261&gt;=N$22,4,C261&gt;=N$23,5,C261&gt;=N$24,6,C261&lt;N$24,7)</f>
        <v>1</v>
      </c>
      <c r="F261" s="60"/>
      <c r="G261" s="8"/>
      <c r="H261" s="29"/>
      <c r="I261" s="56"/>
    </row>
    <row r="262" spans="1:9" ht="12" customHeight="1">
      <c r="A262" s="10" t="s">
        <v>1081</v>
      </c>
      <c r="B262" s="112" t="s">
        <v>1082</v>
      </c>
      <c r="C262" s="78">
        <v>45410</v>
      </c>
      <c r="D262" s="68"/>
      <c r="E262" s="29" cm="1">
        <f t="array" ref="E262">_xlfn.IFS(C262=":",":",C262&gt;=N$19,1,C262&gt;=N$20,2,C262&gt;=N$21,3,C262&gt;=N$22,4,C262&gt;=N$23,5,C262&gt;=N$24,6,C262&lt;N$24,7)</f>
        <v>1</v>
      </c>
      <c r="F262" s="60"/>
      <c r="G262" s="8"/>
      <c r="H262" s="29"/>
      <c r="I262" s="56"/>
    </row>
    <row r="263" spans="1:9" ht="12" customHeight="1">
      <c r="A263" s="10" t="s">
        <v>1083</v>
      </c>
      <c r="B263" s="112" t="s">
        <v>1084</v>
      </c>
      <c r="C263" s="78">
        <v>14204</v>
      </c>
      <c r="D263" s="68"/>
      <c r="E263" s="29" cm="1">
        <f t="array" ref="E263">_xlfn.IFS(C263=":",":",C263&gt;=N$19,1,C263&gt;=N$20,2,C263&gt;=N$21,3,C263&gt;=N$22,4,C263&gt;=N$23,5,C263&gt;=N$24,6,C263&lt;N$24,7)</f>
        <v>1</v>
      </c>
      <c r="F263" s="60"/>
      <c r="G263" s="8"/>
      <c r="H263" s="29"/>
      <c r="I263" s="56"/>
    </row>
    <row r="264" spans="1:9" ht="12" customHeight="1">
      <c r="A264" s="10" t="s">
        <v>1085</v>
      </c>
      <c r="B264" s="112" t="s">
        <v>1086</v>
      </c>
      <c r="C264" s="78">
        <v>5909</v>
      </c>
      <c r="D264" s="68"/>
      <c r="E264" s="29" cm="1">
        <f t="array" ref="E264">_xlfn.IFS(C264=":",":",C264&gt;=N$19,1,C264&gt;=N$20,2,C264&gt;=N$21,3,C264&gt;=N$22,4,C264&gt;=N$23,5,C264&gt;=N$24,6,C264&lt;N$24,7)</f>
        <v>1</v>
      </c>
      <c r="F264" s="60"/>
      <c r="G264" s="8"/>
      <c r="H264" s="29"/>
      <c r="I264" s="56"/>
    </row>
    <row r="265" spans="1:9" ht="12" customHeight="1">
      <c r="A265" s="10" t="s">
        <v>1087</v>
      </c>
      <c r="B265" s="112" t="s">
        <v>1088</v>
      </c>
      <c r="C265" s="78">
        <v>839</v>
      </c>
      <c r="D265" s="68"/>
      <c r="E265" s="29" cm="1">
        <f t="array" ref="E265">_xlfn.IFS(C265=":",":",C265&gt;=N$19,1,C265&gt;=N$20,2,C265&gt;=N$21,3,C265&gt;=N$22,4,C265&gt;=N$23,5,C265&gt;=N$24,6,C265&lt;N$24,7)</f>
        <v>3</v>
      </c>
      <c r="F265" s="60"/>
      <c r="G265" s="8"/>
      <c r="H265" s="29"/>
      <c r="I265" s="56"/>
    </row>
    <row r="266" spans="1:9" ht="12" customHeight="1">
      <c r="A266" s="10" t="s">
        <v>1089</v>
      </c>
      <c r="B266" s="112" t="s">
        <v>1090</v>
      </c>
      <c r="C266" s="78">
        <v>770</v>
      </c>
      <c r="D266" s="68"/>
      <c r="E266" s="29" cm="1">
        <f t="array" ref="E266">_xlfn.IFS(C266=":",":",C266&gt;=N$19,1,C266&gt;=N$20,2,C266&gt;=N$21,3,C266&gt;=N$22,4,C266&gt;=N$23,5,C266&gt;=N$24,6,C266&lt;N$24,7)</f>
        <v>3</v>
      </c>
      <c r="F266" s="60"/>
      <c r="G266" s="8"/>
      <c r="H266" s="29"/>
      <c r="I266" s="56"/>
    </row>
    <row r="267" spans="1:9" ht="12" customHeight="1">
      <c r="A267" s="10" t="s">
        <v>1091</v>
      </c>
      <c r="B267" s="112" t="s">
        <v>1092</v>
      </c>
      <c r="C267" s="78">
        <v>2406</v>
      </c>
      <c r="D267" s="68"/>
      <c r="E267" s="29" cm="1">
        <f t="array" ref="E267">_xlfn.IFS(C267=":",":",C267&gt;=N$19,1,C267&gt;=N$20,2,C267&gt;=N$21,3,C267&gt;=N$22,4,C267&gt;=N$23,5,C267&gt;=N$24,6,C267&lt;N$24,7)</f>
        <v>2</v>
      </c>
      <c r="F267" s="60"/>
      <c r="G267" s="8"/>
      <c r="H267" s="29"/>
      <c r="I267" s="56"/>
    </row>
    <row r="268" spans="1:9" ht="12" customHeight="1">
      <c r="A268" s="10" t="s">
        <v>1093</v>
      </c>
      <c r="B268" s="112" t="s">
        <v>1094</v>
      </c>
      <c r="C268" s="78">
        <v>1718</v>
      </c>
      <c r="D268" s="68"/>
      <c r="E268" s="29" cm="1">
        <f t="array" ref="E268">_xlfn.IFS(C268=":",":",C268&gt;=N$19,1,C268&gt;=N$20,2,C268&gt;=N$21,3,C268&gt;=N$22,4,C268&gt;=N$23,5,C268&gt;=N$24,6,C268&lt;N$24,7)</f>
        <v>2</v>
      </c>
      <c r="F268" s="60"/>
      <c r="G268" s="8"/>
      <c r="H268" s="29"/>
      <c r="I268" s="56"/>
    </row>
    <row r="269" spans="1:9" ht="12" customHeight="1">
      <c r="A269" s="10" t="s">
        <v>1095</v>
      </c>
      <c r="B269" s="112" t="s">
        <v>1096</v>
      </c>
      <c r="C269" s="78">
        <v>589</v>
      </c>
      <c r="D269" s="68"/>
      <c r="E269" s="29" cm="1">
        <f t="array" ref="E269">_xlfn.IFS(C269=":",":",C269&gt;=N$19,1,C269&gt;=N$20,2,C269&gt;=N$21,3,C269&gt;=N$22,4,C269&gt;=N$23,5,C269&gt;=N$24,6,C269&lt;N$24,7)</f>
        <v>3</v>
      </c>
      <c r="F269" s="60"/>
      <c r="G269" s="8"/>
      <c r="H269" s="29"/>
      <c r="I269" s="56"/>
    </row>
    <row r="270" spans="1:9" ht="12" customHeight="1">
      <c r="A270" s="10" t="s">
        <v>1097</v>
      </c>
      <c r="B270" s="112" t="s">
        <v>1098</v>
      </c>
      <c r="C270" s="78">
        <v>4321</v>
      </c>
      <c r="D270" s="68"/>
      <c r="E270" s="29" cm="1">
        <f t="array" ref="E270">_xlfn.IFS(C270=":",":",C270&gt;=N$19,1,C270&gt;=N$20,2,C270&gt;=N$21,3,C270&gt;=N$22,4,C270&gt;=N$23,5,C270&gt;=N$24,6,C270&lt;N$24,7)</f>
        <v>2</v>
      </c>
      <c r="F270" s="60"/>
      <c r="G270" s="8"/>
      <c r="H270" s="29"/>
      <c r="I270" s="56"/>
    </row>
    <row r="271" spans="1:9" ht="12" customHeight="1">
      <c r="A271" s="10" t="s">
        <v>1099</v>
      </c>
      <c r="B271" s="112" t="s">
        <v>1100</v>
      </c>
      <c r="C271" s="78">
        <v>518</v>
      </c>
      <c r="D271" s="68"/>
      <c r="E271" s="29" cm="1">
        <f t="array" ref="E271">_xlfn.IFS(C271=":",":",C271&gt;=N$19,1,C271&gt;=N$20,2,C271&gt;=N$21,3,C271&gt;=N$22,4,C271&gt;=N$23,5,C271&gt;=N$24,6,C271&lt;N$24,7)</f>
        <v>3</v>
      </c>
      <c r="F271" s="60"/>
      <c r="G271" s="8"/>
      <c r="H271" s="29"/>
      <c r="I271" s="56"/>
    </row>
    <row r="272" spans="1:9" ht="12" customHeight="1">
      <c r="A272" s="10" t="s">
        <v>1101</v>
      </c>
      <c r="B272" s="112" t="s">
        <v>1102</v>
      </c>
      <c r="C272" s="78">
        <v>2426</v>
      </c>
      <c r="D272" s="68"/>
      <c r="E272" s="29" cm="1">
        <f t="array" ref="E272">_xlfn.IFS(C272=":",":",C272&gt;=N$19,1,C272&gt;=N$20,2,C272&gt;=N$21,3,C272&gt;=N$22,4,C272&gt;=N$23,5,C272&gt;=N$24,6,C272&lt;N$24,7)</f>
        <v>2</v>
      </c>
      <c r="F272" s="60"/>
      <c r="G272" s="8"/>
      <c r="H272" s="29"/>
    </row>
    <row r="273" spans="1:8" ht="12" customHeight="1">
      <c r="A273" s="10" t="s">
        <v>1103</v>
      </c>
      <c r="B273" s="112" t="s">
        <v>1104</v>
      </c>
      <c r="C273" s="78">
        <v>939</v>
      </c>
      <c r="D273" s="68"/>
      <c r="E273" s="29" cm="1">
        <f t="array" ref="E273">_xlfn.IFS(C273=":",":",C273&gt;=N$19,1,C273&gt;=N$20,2,C273&gt;=N$21,3,C273&gt;=N$22,4,C273&gt;=N$23,5,C273&gt;=N$24,6,C273&lt;N$24,7)</f>
        <v>3</v>
      </c>
      <c r="F273" s="60"/>
      <c r="G273" s="8"/>
      <c r="H273" s="29"/>
    </row>
    <row r="274" spans="1:8" ht="12" customHeight="1">
      <c r="A274" s="10" t="s">
        <v>1105</v>
      </c>
      <c r="B274" s="112" t="s">
        <v>1106</v>
      </c>
      <c r="C274" s="78">
        <v>462</v>
      </c>
      <c r="D274" s="68"/>
      <c r="E274" s="29" cm="1">
        <f t="array" ref="E274">_xlfn.IFS(C274=":",":",C274&gt;=N$19,1,C274&gt;=N$20,2,C274&gt;=N$21,3,C274&gt;=N$22,4,C274&gt;=N$23,5,C274&gt;=N$24,6,C274&lt;N$24,7)</f>
        <v>4</v>
      </c>
      <c r="F274" s="60"/>
      <c r="G274" s="8"/>
      <c r="H274" s="29"/>
    </row>
    <row r="275" spans="1:8" ht="12" customHeight="1">
      <c r="A275" s="10" t="s">
        <v>1107</v>
      </c>
      <c r="B275" s="112" t="s">
        <v>1108</v>
      </c>
      <c r="C275" s="78">
        <v>490</v>
      </c>
      <c r="D275" s="68"/>
      <c r="E275" s="29" cm="1">
        <f t="array" ref="E275">_xlfn.IFS(C275=":",":",C275&gt;=N$19,1,C275&gt;=N$20,2,C275&gt;=N$21,3,C275&gt;=N$22,4,C275&gt;=N$23,5,C275&gt;=N$24,6,C275&lt;N$24,7)</f>
        <v>4</v>
      </c>
      <c r="F275" s="60"/>
      <c r="G275" s="8"/>
      <c r="H275" s="29"/>
    </row>
    <row r="276" spans="1:8" ht="12" customHeight="1">
      <c r="A276" s="10" t="s">
        <v>1109</v>
      </c>
      <c r="B276" s="112" t="s">
        <v>1110</v>
      </c>
      <c r="C276" s="78">
        <v>427</v>
      </c>
      <c r="D276" s="68"/>
      <c r="E276" s="29" cm="1">
        <f t="array" ref="E276">_xlfn.IFS(C276=":",":",C276&gt;=N$19,1,C276&gt;=N$20,2,C276&gt;=N$21,3,C276&gt;=N$22,4,C276&gt;=N$23,5,C276&gt;=N$24,6,C276&lt;N$24,7)</f>
        <v>4</v>
      </c>
      <c r="F276" s="60"/>
      <c r="G276" s="8"/>
      <c r="H276" s="29"/>
    </row>
    <row r="277" spans="1:8" ht="12" customHeight="1">
      <c r="A277" s="10" t="s">
        <v>1111</v>
      </c>
      <c r="B277" s="112" t="s">
        <v>1112</v>
      </c>
      <c r="C277" s="78">
        <v>596</v>
      </c>
      <c r="D277" s="68"/>
      <c r="E277" s="29" cm="1">
        <f t="array" ref="E277">_xlfn.IFS(C277=":",":",C277&gt;=N$19,1,C277&gt;=N$20,2,C277&gt;=N$21,3,C277&gt;=N$22,4,C277&gt;=N$23,5,C277&gt;=N$24,6,C277&lt;N$24,7)</f>
        <v>3</v>
      </c>
      <c r="F277" s="60"/>
      <c r="G277" s="8"/>
      <c r="H277" s="29"/>
    </row>
    <row r="278" spans="1:8" ht="12" customHeight="1">
      <c r="A278" s="10" t="s">
        <v>1113</v>
      </c>
      <c r="B278" s="112" t="s">
        <v>1114</v>
      </c>
      <c r="C278" s="78">
        <v>426</v>
      </c>
      <c r="D278" s="68"/>
      <c r="E278" s="29" cm="1">
        <f t="array" ref="E278">_xlfn.IFS(C278=":",":",C278&gt;=N$19,1,C278&gt;=N$20,2,C278&gt;=N$21,3,C278&gt;=N$22,4,C278&gt;=N$23,5,C278&gt;=N$24,6,C278&lt;N$24,7)</f>
        <v>4</v>
      </c>
      <c r="F278" s="60"/>
      <c r="G278" s="8"/>
      <c r="H278" s="29"/>
    </row>
    <row r="279" spans="1:8" ht="12" customHeight="1">
      <c r="A279" s="10" t="s">
        <v>1115</v>
      </c>
      <c r="B279" s="112" t="s">
        <v>1116</v>
      </c>
      <c r="C279" s="78">
        <v>280</v>
      </c>
      <c r="D279" s="68"/>
      <c r="E279" s="29" cm="1">
        <f t="array" ref="E279">_xlfn.IFS(C279=":",":",C279&gt;=N$19,1,C279&gt;=N$20,2,C279&gt;=N$21,3,C279&gt;=N$22,4,C279&gt;=N$23,5,C279&gt;=N$24,6,C279&lt;N$24,7)</f>
        <v>4</v>
      </c>
      <c r="F279" s="60"/>
      <c r="G279" s="8"/>
      <c r="H279" s="29"/>
    </row>
    <row r="280" spans="1:8" ht="12" customHeight="1">
      <c r="A280" s="10" t="s">
        <v>1117</v>
      </c>
      <c r="B280" s="112" t="s">
        <v>1118</v>
      </c>
      <c r="C280" s="78">
        <v>8104</v>
      </c>
      <c r="D280" s="68"/>
      <c r="E280" s="29" cm="1">
        <f t="array" ref="E280">_xlfn.IFS(C280=":",":",C280&gt;=N$19,1,C280&gt;=N$20,2,C280&gt;=N$21,3,C280&gt;=N$22,4,C280&gt;=N$23,5,C280&gt;=N$24,6,C280&lt;N$24,7)</f>
        <v>1</v>
      </c>
      <c r="F280" s="60"/>
      <c r="G280" s="8"/>
      <c r="H280" s="29"/>
    </row>
    <row r="281" spans="1:8" ht="12" customHeight="1">
      <c r="A281" s="10" t="s">
        <v>1119</v>
      </c>
      <c r="B281" s="112" t="s">
        <v>1120</v>
      </c>
      <c r="C281" s="78">
        <v>1124</v>
      </c>
      <c r="D281" s="68"/>
      <c r="E281" s="29" cm="1">
        <f t="array" ref="E281">_xlfn.IFS(C281=":",":",C281&gt;=N$19,1,C281&gt;=N$20,2,C281&gt;=N$21,3,C281&gt;=N$22,4,C281&gt;=N$23,5,C281&gt;=N$24,6,C281&lt;N$24,7)</f>
        <v>3</v>
      </c>
      <c r="F281" s="60"/>
      <c r="G281" s="8"/>
      <c r="H281" s="29"/>
    </row>
    <row r="282" spans="1:8" ht="12" customHeight="1">
      <c r="A282" s="10" t="s">
        <v>1121</v>
      </c>
      <c r="B282" s="112" t="s">
        <v>1122</v>
      </c>
      <c r="C282" s="78">
        <v>558</v>
      </c>
      <c r="D282" s="68"/>
      <c r="E282" s="29" cm="1">
        <f t="array" ref="E282">_xlfn.IFS(C282=":",":",C282&gt;=N$19,1,C282&gt;=N$20,2,C282&gt;=N$21,3,C282&gt;=N$22,4,C282&gt;=N$23,5,C282&gt;=N$24,6,C282&lt;N$24,7)</f>
        <v>3</v>
      </c>
      <c r="F282" s="60"/>
      <c r="G282" s="8"/>
      <c r="H282" s="29"/>
    </row>
    <row r="283" spans="1:8" ht="12" customHeight="1">
      <c r="A283" s="10" t="s">
        <v>1123</v>
      </c>
      <c r="B283" s="112" t="s">
        <v>1124</v>
      </c>
      <c r="C283" s="78">
        <v>527</v>
      </c>
      <c r="D283" s="68"/>
      <c r="E283" s="29" cm="1">
        <f t="array" ref="E283">_xlfn.IFS(C283=":",":",C283&gt;=N$19,1,C283&gt;=N$20,2,C283&gt;=N$21,3,C283&gt;=N$22,4,C283&gt;=N$23,5,C283&gt;=N$24,6,C283&lt;N$24,7)</f>
        <v>3</v>
      </c>
      <c r="F283" s="60"/>
      <c r="G283" s="8"/>
      <c r="H283" s="29"/>
    </row>
    <row r="284" spans="1:8" ht="12" customHeight="1">
      <c r="A284" s="10" t="s">
        <v>1125</v>
      </c>
      <c r="B284" s="112" t="s">
        <v>1126</v>
      </c>
      <c r="C284" s="78">
        <v>293</v>
      </c>
      <c r="D284" s="68"/>
      <c r="E284" s="29" cm="1">
        <f t="array" ref="E284">_xlfn.IFS(C284=":",":",C284&gt;=N$19,1,C284&gt;=N$20,2,C284&gt;=N$21,3,C284&gt;=N$22,4,C284&gt;=N$23,5,C284&gt;=N$24,6,C284&lt;N$24,7)</f>
        <v>4</v>
      </c>
      <c r="F284" s="60"/>
      <c r="G284" s="8"/>
      <c r="H284" s="29"/>
    </row>
    <row r="285" spans="1:8" ht="12" customHeight="1">
      <c r="A285" s="10" t="s">
        <v>1127</v>
      </c>
      <c r="B285" s="112" t="s">
        <v>1128</v>
      </c>
      <c r="C285" s="78">
        <v>1116</v>
      </c>
      <c r="D285" s="68"/>
      <c r="E285" s="29" cm="1">
        <f t="array" ref="E285">_xlfn.IFS(C285=":",":",C285&gt;=N$19,1,C285&gt;=N$20,2,C285&gt;=N$21,3,C285&gt;=N$22,4,C285&gt;=N$23,5,C285&gt;=N$24,6,C285&lt;N$24,7)</f>
        <v>3</v>
      </c>
      <c r="F285" s="60"/>
      <c r="G285" s="8"/>
      <c r="H285" s="29"/>
    </row>
    <row r="286" spans="1:8" ht="12" customHeight="1">
      <c r="A286" s="10" t="s">
        <v>1129</v>
      </c>
      <c r="B286" s="112" t="s">
        <v>1130</v>
      </c>
      <c r="C286" s="78">
        <v>342</v>
      </c>
      <c r="D286" s="68"/>
      <c r="E286" s="29" cm="1">
        <f t="array" ref="E286">_xlfn.IFS(C286=":",":",C286&gt;=N$19,1,C286&gt;=N$20,2,C286&gt;=N$21,3,C286&gt;=N$22,4,C286&gt;=N$23,5,C286&gt;=N$24,6,C286&lt;N$24,7)</f>
        <v>4</v>
      </c>
      <c r="F286" s="60"/>
      <c r="G286" s="8"/>
      <c r="H286" s="74"/>
    </row>
    <row r="287" spans="1:8" ht="12" customHeight="1">
      <c r="A287" s="10" t="s">
        <v>1131</v>
      </c>
      <c r="B287" s="112" t="s">
        <v>1132</v>
      </c>
      <c r="C287" s="78">
        <v>12204</v>
      </c>
      <c r="D287" s="68"/>
      <c r="E287" s="29" cm="1">
        <f t="array" ref="E287">_xlfn.IFS(C287=":",":",C287&gt;=N$19,1,C287&gt;=N$20,2,C287&gt;=N$21,3,C287&gt;=N$22,4,C287&gt;=N$23,5,C287&gt;=N$24,6,C287&lt;N$24,7)</f>
        <v>1</v>
      </c>
      <c r="F287" s="60"/>
      <c r="G287" s="8"/>
    </row>
    <row r="288" spans="1:8" s="44" customFormat="1" ht="12" customHeight="1">
      <c r="A288" s="10" t="s">
        <v>1133</v>
      </c>
      <c r="B288" s="112" t="s">
        <v>1134</v>
      </c>
      <c r="C288" s="78">
        <v>4502</v>
      </c>
      <c r="D288" s="68"/>
      <c r="E288" s="29" cm="1">
        <f t="array" ref="E288">_xlfn.IFS(C288=":",":",C288&gt;=N$19,1,C288&gt;=N$20,2,C288&gt;=N$21,3,C288&gt;=N$22,4,C288&gt;=N$23,5,C288&gt;=N$24,6,C288&lt;N$24,7)</f>
        <v>2</v>
      </c>
      <c r="F288" s="60"/>
      <c r="G288" s="8"/>
    </row>
    <row r="289" spans="1:7" s="44" customFormat="1" ht="12" customHeight="1">
      <c r="A289" s="10" t="s">
        <v>1135</v>
      </c>
      <c r="B289" s="11" t="s">
        <v>1136</v>
      </c>
      <c r="C289" s="81">
        <v>667</v>
      </c>
      <c r="D289" s="68"/>
      <c r="E289" s="29" cm="1">
        <f t="array" ref="E289">_xlfn.IFS(C289=":",":",C289&gt;=N$19,1,C289&gt;=N$20,2,C289&gt;=N$21,3,C289&gt;=N$22,4,C289&gt;=N$23,5,C289&gt;=N$24,6,C289&lt;N$24,7)</f>
        <v>3</v>
      </c>
      <c r="F289" s="60"/>
      <c r="G289" s="8"/>
    </row>
    <row r="290" spans="1:7" s="44" customFormat="1" ht="12" customHeight="1">
      <c r="A290" s="10" t="s">
        <v>1137</v>
      </c>
      <c r="B290" s="112" t="s">
        <v>1138</v>
      </c>
      <c r="C290" s="78">
        <v>1354</v>
      </c>
      <c r="D290" s="68"/>
      <c r="E290" s="29" cm="1">
        <f t="array" ref="E290">_xlfn.IFS(C290=":",":",C290&gt;=N$19,1,C290&gt;=N$20,2,C290&gt;=N$21,3,C290&gt;=N$22,4,C290&gt;=N$23,5,C290&gt;=N$24,6,C290&lt;N$24,7)</f>
        <v>3</v>
      </c>
      <c r="F290" s="60"/>
      <c r="G290" s="8"/>
    </row>
    <row r="291" spans="1:7" s="44" customFormat="1" ht="12" customHeight="1">
      <c r="A291" s="10" t="s">
        <v>1139</v>
      </c>
      <c r="B291" s="112" t="s">
        <v>1140</v>
      </c>
      <c r="C291" s="78">
        <v>3056</v>
      </c>
      <c r="D291" s="68"/>
      <c r="E291" s="29" cm="1">
        <f t="array" ref="E291">_xlfn.IFS(C291=":",":",C291&gt;=N$19,1,C291&gt;=N$20,2,C291&gt;=N$21,3,C291&gt;=N$22,4,C291&gt;=N$23,5,C291&gt;=N$24,6,C291&lt;N$24,7)</f>
        <v>2</v>
      </c>
      <c r="F291" s="60"/>
      <c r="G291" s="8"/>
    </row>
    <row r="292" spans="1:7" s="44" customFormat="1" ht="12" customHeight="1">
      <c r="A292" s="10" t="s">
        <v>1141</v>
      </c>
      <c r="B292" s="112" t="s">
        <v>1142</v>
      </c>
      <c r="C292" s="78">
        <v>1069</v>
      </c>
      <c r="D292" s="68"/>
      <c r="E292" s="29" cm="1">
        <f t="array" ref="E292">_xlfn.IFS(C292=":",":",C292&gt;=N$19,1,C292&gt;=N$20,2,C292&gt;=N$21,3,C292&gt;=N$22,4,C292&gt;=N$23,5,C292&gt;=N$24,6,C292&lt;N$24,7)</f>
        <v>3</v>
      </c>
      <c r="F292" s="60"/>
      <c r="G292" s="8"/>
    </row>
    <row r="293" spans="1:7" s="44" customFormat="1" ht="12" customHeight="1">
      <c r="A293" s="10" t="s">
        <v>1143</v>
      </c>
      <c r="B293" s="112" t="s">
        <v>1144</v>
      </c>
      <c r="C293" s="78">
        <v>1579</v>
      </c>
      <c r="D293" s="68"/>
      <c r="E293" s="29" cm="1">
        <f t="array" ref="E293">_xlfn.IFS(C293=":",":",C293&gt;=N$19,1,C293&gt;=N$20,2,C293&gt;=N$21,3,C293&gt;=N$22,4,C293&gt;=N$23,5,C293&gt;=N$24,6,C293&lt;N$24,7)</f>
        <v>2</v>
      </c>
      <c r="F293" s="60"/>
      <c r="G293" s="8"/>
    </row>
    <row r="294" spans="1:7" s="44" customFormat="1" ht="12" customHeight="1">
      <c r="A294" s="10" t="s">
        <v>1145</v>
      </c>
      <c r="B294" s="112" t="s">
        <v>1146</v>
      </c>
      <c r="C294" s="78">
        <v>197</v>
      </c>
      <c r="D294" s="76"/>
      <c r="E294" s="29" cm="1">
        <f t="array" ref="E294">_xlfn.IFS(C294=":",":",C294&gt;=N$19,1,C294&gt;=N$20,2,C294&gt;=N$21,3,C294&gt;=N$22,4,C294&gt;=N$23,5,C294&gt;=N$24,6,C294&lt;N$24,7)</f>
        <v>5</v>
      </c>
      <c r="F294" s="60"/>
      <c r="G294" s="8"/>
    </row>
    <row r="295" spans="1:7" s="44" customFormat="1" ht="12" customHeight="1">
      <c r="A295" s="10" t="s">
        <v>1147</v>
      </c>
      <c r="B295" s="112" t="s">
        <v>1148</v>
      </c>
      <c r="C295" s="78">
        <v>3715</v>
      </c>
      <c r="D295" s="76"/>
      <c r="E295" s="29" cm="1">
        <f t="array" ref="E295">_xlfn.IFS(C295=":",":",C295&gt;=N$19,1,C295&gt;=N$20,2,C295&gt;=N$21,3,C295&gt;=N$22,4,C295&gt;=N$23,5,C295&gt;=N$24,6,C295&lt;N$24,7)</f>
        <v>2</v>
      </c>
      <c r="F295" s="60"/>
      <c r="G295" s="8"/>
    </row>
    <row r="296" spans="1:7" s="44" customFormat="1" ht="12" customHeight="1">
      <c r="A296" s="10" t="s">
        <v>1149</v>
      </c>
      <c r="B296" s="112" t="s">
        <v>1150</v>
      </c>
      <c r="C296" s="78">
        <v>834</v>
      </c>
      <c r="D296" s="77"/>
      <c r="E296" s="29" cm="1">
        <f t="array" ref="E296">_xlfn.IFS(C296=":",":",C296&gt;=N$19,1,C296&gt;=N$20,2,C296&gt;=N$21,3,C296&gt;=N$22,4,C296&gt;=N$23,5,C296&gt;=N$24,6,C296&lt;N$24,7)</f>
        <v>3</v>
      </c>
      <c r="F296" s="60"/>
      <c r="G296" s="8"/>
    </row>
    <row r="297" spans="1:7" s="44" customFormat="1" ht="12" customHeight="1">
      <c r="A297" s="10" t="s">
        <v>1151</v>
      </c>
      <c r="B297" s="112" t="s">
        <v>1152</v>
      </c>
      <c r="C297" s="78">
        <v>3069</v>
      </c>
      <c r="D297" s="24"/>
      <c r="E297" s="29" cm="1">
        <f t="array" ref="E297">_xlfn.IFS(C297=":",":",C297&gt;=N$19,1,C297&gt;=N$20,2,C297&gt;=N$21,3,C297&gt;=N$22,4,C297&gt;=N$23,5,C297&gt;=N$24,6,C297&lt;N$24,7)</f>
        <v>2</v>
      </c>
      <c r="F297" s="60"/>
      <c r="G297" s="8"/>
    </row>
    <row r="298" spans="1:7" s="44" customFormat="1" ht="12" customHeight="1">
      <c r="A298" s="10" t="s">
        <v>1153</v>
      </c>
      <c r="B298" s="112" t="s">
        <v>1154</v>
      </c>
      <c r="C298" s="78">
        <v>189</v>
      </c>
      <c r="D298" s="76"/>
      <c r="E298" s="29" cm="1">
        <f t="array" ref="E298">_xlfn.IFS(C298=":",":",C298&gt;=N$19,1,C298&gt;=N$20,2,C298&gt;=N$21,3,C298&gt;=N$22,4,C298&gt;=N$23,5,C298&gt;=N$24,6,C298&lt;N$24,7)</f>
        <v>5</v>
      </c>
      <c r="F298" s="60"/>
      <c r="G298" s="8"/>
    </row>
    <row r="299" spans="1:7" s="44" customFormat="1" ht="12" customHeight="1">
      <c r="A299" s="10" t="s">
        <v>1155</v>
      </c>
      <c r="B299" s="112" t="s">
        <v>1156</v>
      </c>
      <c r="C299" s="78">
        <v>2389</v>
      </c>
      <c r="D299" s="76"/>
      <c r="E299" s="29" cm="1">
        <f t="array" ref="E299">_xlfn.IFS(C299=":",":",C299&gt;=N$19,1,C299&gt;=N$20,2,C299&gt;=N$21,3,C299&gt;=N$22,4,C299&gt;=N$23,5,C299&gt;=N$24,6,C299&lt;N$24,7)</f>
        <v>2</v>
      </c>
      <c r="F299" s="60"/>
      <c r="G299" s="8"/>
    </row>
    <row r="300" spans="1:7" s="44" customFormat="1" ht="12" customHeight="1">
      <c r="A300" s="10" t="s">
        <v>1157</v>
      </c>
      <c r="B300" s="112" t="s">
        <v>1158</v>
      </c>
      <c r="C300" s="78">
        <v>176</v>
      </c>
      <c r="D300" s="76"/>
      <c r="E300" s="29" cm="1">
        <f t="array" ref="E300">_xlfn.IFS(C300=":",":",C300&gt;=N$19,1,C300&gt;=N$20,2,C300&gt;=N$21,3,C300&gt;=N$22,4,C300&gt;=N$23,5,C300&gt;=N$24,6,C300&lt;N$24,7)</f>
        <v>5</v>
      </c>
      <c r="F300" s="60"/>
      <c r="G300" s="8"/>
    </row>
    <row r="301" spans="1:7" s="44" customFormat="1" ht="12" customHeight="1">
      <c r="A301" s="10" t="s">
        <v>1159</v>
      </c>
      <c r="B301" s="112" t="s">
        <v>1160</v>
      </c>
      <c r="C301" s="78">
        <v>241</v>
      </c>
      <c r="D301" s="28"/>
      <c r="E301" s="29" cm="1">
        <f t="array" ref="E301">_xlfn.IFS(C301=":",":",C301&gt;=N$19,1,C301&gt;=N$20,2,C301&gt;=N$21,3,C301&gt;=N$22,4,C301&gt;=N$23,5,C301&gt;=N$24,6,C301&lt;N$24,7)</f>
        <v>4</v>
      </c>
      <c r="F301" s="60"/>
      <c r="G301" s="8"/>
    </row>
    <row r="302" spans="1:7" s="44" customFormat="1" ht="12" customHeight="1">
      <c r="A302" s="10" t="s">
        <v>1161</v>
      </c>
      <c r="B302" s="112" t="s">
        <v>1162</v>
      </c>
      <c r="C302" s="78">
        <v>198</v>
      </c>
      <c r="D302" s="76"/>
      <c r="E302" s="29" cm="1">
        <f t="array" ref="E302">_xlfn.IFS(C302=":",":",C302&gt;=N$19,1,C302&gt;=N$20,2,C302&gt;=N$21,3,C302&gt;=N$22,4,C302&gt;=N$23,5,C302&gt;=N$24,6,C302&lt;N$24,7)</f>
        <v>5</v>
      </c>
      <c r="F302" s="60"/>
      <c r="G302" s="8"/>
    </row>
    <row r="303" spans="1:7" s="44" customFormat="1" ht="12" customHeight="1">
      <c r="A303" s="10" t="s">
        <v>1163</v>
      </c>
      <c r="B303" s="112" t="s">
        <v>1164</v>
      </c>
      <c r="C303" s="78">
        <v>135</v>
      </c>
      <c r="D303" s="76"/>
      <c r="E303" s="29" cm="1">
        <f t="array" ref="E303">_xlfn.IFS(C303=":",":",C303&gt;=N$19,1,C303&gt;=N$20,2,C303&gt;=N$21,3,C303&gt;=N$22,4,C303&gt;=N$23,5,C303&gt;=N$24,6,C303&lt;N$24,7)</f>
        <v>5</v>
      </c>
      <c r="F303" s="60"/>
      <c r="G303" s="8"/>
    </row>
    <row r="304" spans="1:7" s="44" customFormat="1" ht="12" customHeight="1">
      <c r="A304" s="10" t="s">
        <v>1165</v>
      </c>
      <c r="B304" s="112" t="s">
        <v>1166</v>
      </c>
      <c r="C304" s="78">
        <v>998</v>
      </c>
      <c r="D304" s="76"/>
      <c r="E304" s="29" cm="1">
        <f t="array" ref="E304">_xlfn.IFS(C304=":",":",C304&gt;=N$19,1,C304&gt;=N$20,2,C304&gt;=N$21,3,C304&gt;=N$22,4,C304&gt;=N$23,5,C304&gt;=N$24,6,C304&lt;N$24,7)</f>
        <v>3</v>
      </c>
      <c r="F304" s="60"/>
      <c r="G304" s="8"/>
    </row>
    <row r="305" spans="1:8" s="44" customFormat="1" ht="12" customHeight="1">
      <c r="A305" s="10" t="s">
        <v>1167</v>
      </c>
      <c r="B305" s="112" t="s">
        <v>1168</v>
      </c>
      <c r="C305" s="78">
        <v>347</v>
      </c>
      <c r="D305" s="76"/>
      <c r="E305" s="29" cm="1">
        <f t="array" ref="E305">_xlfn.IFS(C305=":",":",C305&gt;=N$19,1,C305&gt;=N$20,2,C305&gt;=N$21,3,C305&gt;=N$22,4,C305&gt;=N$23,5,C305&gt;=N$24,6,C305&lt;N$24,7)</f>
        <v>4</v>
      </c>
      <c r="F305" s="60"/>
      <c r="G305" s="8"/>
    </row>
    <row r="306" spans="1:8" s="44" customFormat="1" ht="12" customHeight="1">
      <c r="A306" s="10" t="s">
        <v>1169</v>
      </c>
      <c r="B306" s="112" t="s">
        <v>1170</v>
      </c>
      <c r="C306" s="78">
        <v>710</v>
      </c>
      <c r="D306" s="76"/>
      <c r="E306" s="29" cm="1">
        <f t="array" ref="E306">_xlfn.IFS(C306=":",":",C306&gt;=N$19,1,C306&gt;=N$20,2,C306&gt;=N$21,3,C306&gt;=N$22,4,C306&gt;=N$23,5,C306&gt;=N$24,6,C306&lt;N$24,7)</f>
        <v>3</v>
      </c>
      <c r="F306" s="60"/>
      <c r="G306" s="8"/>
    </row>
    <row r="307" spans="1:8" s="44" customFormat="1" ht="12" customHeight="1">
      <c r="A307" s="10" t="s">
        <v>1171</v>
      </c>
      <c r="B307" s="112" t="s">
        <v>1172</v>
      </c>
      <c r="C307" s="78">
        <v>398</v>
      </c>
      <c r="D307" s="76"/>
      <c r="E307" s="29" cm="1">
        <f t="array" ref="E307">_xlfn.IFS(C307=":",":",C307&gt;=N$19,1,C307&gt;=N$20,2,C307&gt;=N$21,3,C307&gt;=N$22,4,C307&gt;=N$23,5,C307&gt;=N$24,6,C307&lt;N$24,7)</f>
        <v>4</v>
      </c>
      <c r="F307" s="60"/>
      <c r="G307" s="8"/>
    </row>
    <row r="308" spans="1:8" s="44" customFormat="1" ht="12" customHeight="1">
      <c r="A308" s="10" t="s">
        <v>1173</v>
      </c>
      <c r="B308" s="112" t="s">
        <v>1174</v>
      </c>
      <c r="C308" s="78">
        <v>284</v>
      </c>
      <c r="D308" s="68"/>
      <c r="E308" s="29" cm="1">
        <f t="array" ref="E308">_xlfn.IFS(C308=":",":",C308&gt;=N$19,1,C308&gt;=N$20,2,C308&gt;=N$21,3,C308&gt;=N$22,4,C308&gt;=N$23,5,C308&gt;=N$24,6,C308&lt;N$24,7)</f>
        <v>4</v>
      </c>
      <c r="F308" s="60"/>
      <c r="G308" s="8"/>
    </row>
    <row r="309" spans="1:8" s="44" customFormat="1" ht="12" customHeight="1">
      <c r="A309" s="10" t="s">
        <v>1175</v>
      </c>
      <c r="B309" s="112" t="s">
        <v>1176</v>
      </c>
      <c r="C309" s="78">
        <v>172</v>
      </c>
      <c r="D309" s="68"/>
      <c r="E309" s="29" cm="1">
        <f t="array" ref="E309">_xlfn.IFS(C309=":",":",C309&gt;=N$19,1,C309&gt;=N$20,2,C309&gt;=N$21,3,C309&gt;=N$22,4,C309&gt;=N$23,5,C309&gt;=N$24,6,C309&lt;N$24,7)</f>
        <v>5</v>
      </c>
      <c r="F309" s="60"/>
      <c r="G309" s="8"/>
    </row>
    <row r="310" spans="1:8" s="44" customFormat="1" ht="12" customHeight="1">
      <c r="A310" s="10" t="s">
        <v>1177</v>
      </c>
      <c r="B310" s="112" t="s">
        <v>1178</v>
      </c>
      <c r="C310" s="78">
        <v>519</v>
      </c>
      <c r="D310" s="68"/>
      <c r="E310" s="29" cm="1">
        <f t="array" ref="E310">_xlfn.IFS(C310=":",":",C310&gt;=N$19,1,C310&gt;=N$20,2,C310&gt;=N$21,3,C310&gt;=N$22,4,C310&gt;=N$23,5,C310&gt;=N$24,6,C310&lt;N$24,7)</f>
        <v>3</v>
      </c>
      <c r="F310" s="60"/>
      <c r="G310" s="8"/>
    </row>
    <row r="311" spans="1:8" s="44" customFormat="1" ht="12" customHeight="1">
      <c r="A311" s="10" t="s">
        <v>1179</v>
      </c>
      <c r="B311" s="112" t="s">
        <v>1180</v>
      </c>
      <c r="C311" s="78">
        <v>1737</v>
      </c>
      <c r="D311" s="68"/>
      <c r="E311" s="29" cm="1">
        <f t="array" ref="E311">_xlfn.IFS(C311=":",":",C311&gt;=N$19,1,C311&gt;=N$20,2,C311&gt;=N$21,3,C311&gt;=N$22,4,C311&gt;=N$23,5,C311&gt;=N$24,6,C311&lt;N$24,7)</f>
        <v>2</v>
      </c>
      <c r="F311" s="60"/>
      <c r="G311" s="8"/>
    </row>
    <row r="312" spans="1:8" s="44" customFormat="1" ht="12" customHeight="1">
      <c r="A312" s="10" t="s">
        <v>1181</v>
      </c>
      <c r="B312" s="112" t="s">
        <v>1182</v>
      </c>
      <c r="C312" s="78">
        <v>515</v>
      </c>
      <c r="D312" s="68"/>
      <c r="E312" s="29" cm="1">
        <f t="array" ref="E312">_xlfn.IFS(C312=":",":",C312&gt;=N$19,1,C312&gt;=N$20,2,C312&gt;=N$21,3,C312&gt;=N$22,4,C312&gt;=N$23,5,C312&gt;=N$24,6,C312&lt;N$24,7)</f>
        <v>3</v>
      </c>
      <c r="F312" s="60"/>
      <c r="G312" s="8"/>
    </row>
    <row r="313" spans="1:8" s="44" customFormat="1" ht="12" customHeight="1">
      <c r="A313" s="10" t="s">
        <v>1183</v>
      </c>
      <c r="B313" s="112" t="s">
        <v>1184</v>
      </c>
      <c r="C313" s="78">
        <v>1113</v>
      </c>
      <c r="D313" s="68"/>
      <c r="E313" s="29" cm="1">
        <f t="array" ref="E313">_xlfn.IFS(C313=":",":",C313&gt;=N$19,1,C313&gt;=N$20,2,C313&gt;=N$21,3,C313&gt;=N$22,4,C313&gt;=N$23,5,C313&gt;=N$24,6,C313&lt;N$24,7)</f>
        <v>3</v>
      </c>
      <c r="F313" s="60"/>
      <c r="G313" s="8"/>
    </row>
    <row r="314" spans="1:8" s="44" customFormat="1" ht="12" customHeight="1">
      <c r="A314" s="10" t="s">
        <v>1185</v>
      </c>
      <c r="B314" s="112" t="s">
        <v>1186</v>
      </c>
      <c r="C314" s="78">
        <v>607</v>
      </c>
      <c r="D314" s="68"/>
      <c r="E314" s="29" cm="1">
        <f t="array" ref="E314">_xlfn.IFS(C314=":",":",C314&gt;=N$19,1,C314&gt;=N$20,2,C314&gt;=N$21,3,C314&gt;=N$22,4,C314&gt;=N$23,5,C314&gt;=N$24,6,C314&lt;N$24,7)</f>
        <v>3</v>
      </c>
      <c r="F314" s="60"/>
      <c r="G314" s="8"/>
    </row>
    <row r="315" spans="1:8" s="44" customFormat="1" ht="12" customHeight="1">
      <c r="A315" s="10" t="s">
        <v>1187</v>
      </c>
      <c r="B315" s="112" t="s">
        <v>1188</v>
      </c>
      <c r="C315" s="78">
        <v>209</v>
      </c>
      <c r="D315" s="68"/>
      <c r="E315" s="29" cm="1">
        <f t="array" ref="E315">_xlfn.IFS(C315=":",":",C315&gt;=N$19,1,C315&gt;=N$20,2,C315&gt;=N$21,3,C315&gt;=N$22,4,C315&gt;=N$23,5,C315&gt;=N$24,6,C315&lt;N$24,7)</f>
        <v>4</v>
      </c>
      <c r="F315" s="60"/>
      <c r="G315" s="8"/>
    </row>
    <row r="316" spans="1:8" s="29" customFormat="1" ht="12" customHeight="1">
      <c r="A316" s="10" t="s">
        <v>1189</v>
      </c>
      <c r="B316" s="112" t="s">
        <v>1190</v>
      </c>
      <c r="C316" s="78">
        <v>547</v>
      </c>
      <c r="D316" s="68"/>
      <c r="E316" s="29" cm="1">
        <f t="array" ref="E316">_xlfn.IFS(C316=":",":",C316&gt;=N$19,1,C316&gt;=N$20,2,C316&gt;=N$21,3,C316&gt;=N$22,4,C316&gt;=N$23,5,C316&gt;=N$24,6,C316&lt;N$24,7)</f>
        <v>3</v>
      </c>
      <c r="F316" s="60"/>
      <c r="G316" s="8"/>
      <c r="H316" s="44"/>
    </row>
    <row r="317" spans="1:8" s="29" customFormat="1" ht="12" customHeight="1">
      <c r="A317" s="10" t="s">
        <v>1191</v>
      </c>
      <c r="B317" s="112" t="s">
        <v>1192</v>
      </c>
      <c r="C317" s="78">
        <v>251</v>
      </c>
      <c r="D317" s="68"/>
      <c r="E317" s="29" cm="1">
        <f t="array" ref="E317">_xlfn.IFS(C317=":",":",C317&gt;=N$19,1,C317&gt;=N$20,2,C317&gt;=N$21,3,C317&gt;=N$22,4,C317&gt;=N$23,5,C317&gt;=N$24,6,C317&lt;N$24,7)</f>
        <v>4</v>
      </c>
      <c r="F317" s="60"/>
      <c r="G317" s="8"/>
      <c r="H317" s="44"/>
    </row>
    <row r="318" spans="1:8" ht="12" customHeight="1">
      <c r="A318" s="10" t="s">
        <v>1193</v>
      </c>
      <c r="B318" s="112" t="s">
        <v>1194</v>
      </c>
      <c r="C318" s="78">
        <v>223</v>
      </c>
      <c r="D318" s="68"/>
      <c r="E318" s="29" cm="1">
        <f t="array" ref="E318">_xlfn.IFS(C318=":",":",C318&gt;=N$19,1,C318&gt;=N$20,2,C318&gt;=N$21,3,C318&gt;=N$22,4,C318&gt;=N$23,5,C318&gt;=N$24,6,C318&lt;N$24,7)</f>
        <v>4</v>
      </c>
      <c r="F318" s="60"/>
      <c r="G318" s="8"/>
    </row>
    <row r="319" spans="1:8" ht="12" customHeight="1">
      <c r="A319" s="10" t="s">
        <v>1195</v>
      </c>
      <c r="B319" s="112" t="s">
        <v>1196</v>
      </c>
      <c r="C319" s="78">
        <v>1577</v>
      </c>
      <c r="D319" s="68"/>
      <c r="E319" s="29" cm="1">
        <f t="array" ref="E319">_xlfn.IFS(C319=":",":",C319&gt;=N$19,1,C319&gt;=N$20,2,C319&gt;=N$21,3,C319&gt;=N$22,4,C319&gt;=N$23,5,C319&gt;=N$24,6,C319&lt;N$24,7)</f>
        <v>2</v>
      </c>
      <c r="F319" s="60"/>
      <c r="G319" s="8"/>
      <c r="H319" s="5"/>
    </row>
    <row r="320" spans="1:8" ht="12" customHeight="1">
      <c r="A320" s="10" t="s">
        <v>1197</v>
      </c>
      <c r="B320" s="112" t="s">
        <v>1198</v>
      </c>
      <c r="C320" s="78">
        <v>521</v>
      </c>
      <c r="D320" s="68"/>
      <c r="E320" s="29" cm="1">
        <f t="array" ref="E320">_xlfn.IFS(C320=":",":",C320&gt;=N$19,1,C320&gt;=N$20,2,C320&gt;=N$21,3,C320&gt;=N$22,4,C320&gt;=N$23,5,C320&gt;=N$24,6,C320&lt;N$24,7)</f>
        <v>3</v>
      </c>
      <c r="F320" s="60"/>
      <c r="G320" s="8"/>
      <c r="H320" s="5"/>
    </row>
    <row r="321" spans="1:8" ht="12" customHeight="1">
      <c r="A321" s="10" t="s">
        <v>1199</v>
      </c>
      <c r="B321" s="112" t="s">
        <v>1200</v>
      </c>
      <c r="C321" s="78">
        <v>257</v>
      </c>
      <c r="D321" s="68"/>
      <c r="E321" s="29" cm="1">
        <f t="array" ref="E321">_xlfn.IFS(C321=":",":",C321&gt;=N$19,1,C321&gt;=N$20,2,C321&gt;=N$21,3,C321&gt;=N$22,4,C321&gt;=N$23,5,C321&gt;=N$24,6,C321&lt;N$24,7)</f>
        <v>4</v>
      </c>
      <c r="F321" s="60"/>
      <c r="G321" s="8"/>
      <c r="H321" s="5"/>
    </row>
    <row r="322" spans="1:8" ht="12" customHeight="1">
      <c r="A322" s="10" t="s">
        <v>1201</v>
      </c>
      <c r="B322" s="112" t="s">
        <v>1202</v>
      </c>
      <c r="C322" s="78">
        <v>423</v>
      </c>
      <c r="D322" s="43"/>
      <c r="E322" s="29" cm="1">
        <f t="array" ref="E322">_xlfn.IFS(C322=":",":",C322&gt;=N$19,1,C322&gt;=N$20,2,C322&gt;=N$21,3,C322&gt;=N$22,4,C322&gt;=N$23,5,C322&gt;=N$24,6,C322&lt;N$24,7)</f>
        <v>4</v>
      </c>
      <c r="F322" s="60"/>
      <c r="G322" s="8"/>
      <c r="H322" s="5"/>
    </row>
    <row r="323" spans="1:8" ht="12" customHeight="1">
      <c r="A323" s="10" t="s">
        <v>1203</v>
      </c>
      <c r="B323" s="112" t="s">
        <v>1204</v>
      </c>
      <c r="C323" s="78">
        <v>1099</v>
      </c>
      <c r="D323" s="43"/>
      <c r="E323" s="29" cm="1">
        <f t="array" ref="E323">_xlfn.IFS(C323=":",":",C323&gt;=N$19,1,C323&gt;=N$20,2,C323&gt;=N$21,3,C323&gt;=N$22,4,C323&gt;=N$23,5,C323&gt;=N$24,6,C323&lt;N$24,7)</f>
        <v>3</v>
      </c>
      <c r="F323" s="60"/>
      <c r="G323" s="8"/>
      <c r="H323" s="5"/>
    </row>
    <row r="324" spans="1:8" ht="12" customHeight="1">
      <c r="A324" s="10" t="s">
        <v>1205</v>
      </c>
      <c r="B324" s="112" t="s">
        <v>1206</v>
      </c>
      <c r="C324" s="78">
        <v>2415</v>
      </c>
      <c r="D324" s="43"/>
      <c r="E324" s="29" cm="1">
        <f t="array" ref="E324">_xlfn.IFS(C324=":",":",C324&gt;=N$19,1,C324&gt;=N$20,2,C324&gt;=N$21,3,C324&gt;=N$22,4,C324&gt;=N$23,5,C324&gt;=N$24,6,C324&lt;N$24,7)</f>
        <v>2</v>
      </c>
      <c r="F324" s="60"/>
      <c r="G324" s="8"/>
      <c r="H324" s="5"/>
    </row>
    <row r="325" spans="1:8" ht="12" customHeight="1">
      <c r="A325" s="10" t="s">
        <v>1207</v>
      </c>
      <c r="B325" s="112" t="s">
        <v>1208</v>
      </c>
      <c r="C325" s="78">
        <v>2666</v>
      </c>
      <c r="D325" s="43"/>
      <c r="E325" s="29" cm="1">
        <f t="array" ref="E325">_xlfn.IFS(C325=":",":",C325&gt;=N$19,1,C325&gt;=N$20,2,C325&gt;=N$21,3,C325&gt;=N$22,4,C325&gt;=N$23,5,C325&gt;=N$24,6,C325&lt;N$24,7)</f>
        <v>2</v>
      </c>
      <c r="F325" s="60"/>
      <c r="G325" s="8"/>
      <c r="H325" s="5"/>
    </row>
    <row r="326" spans="1:8" ht="12" customHeight="1">
      <c r="A326" s="10" t="s">
        <v>1209</v>
      </c>
      <c r="B326" s="112" t="s">
        <v>1210</v>
      </c>
      <c r="C326" s="78">
        <v>4067</v>
      </c>
      <c r="D326" s="43"/>
      <c r="E326" s="29" cm="1">
        <f t="array" ref="E326">_xlfn.IFS(C326=":",":",C326&gt;=N$19,1,C326&gt;=N$20,2,C326&gt;=N$21,3,C326&gt;=N$22,4,C326&gt;=N$23,5,C326&gt;=N$24,6,C326&lt;N$24,7)</f>
        <v>2</v>
      </c>
      <c r="F326" s="60"/>
      <c r="G326" s="8"/>
      <c r="H326" s="5"/>
    </row>
    <row r="327" spans="1:8" ht="12" customHeight="1">
      <c r="A327" s="10" t="s">
        <v>1211</v>
      </c>
      <c r="B327" s="112" t="s">
        <v>1212</v>
      </c>
      <c r="C327" s="78">
        <v>2905</v>
      </c>
      <c r="D327" s="43"/>
      <c r="E327" s="29" cm="1">
        <f t="array" ref="E327">_xlfn.IFS(C327=":",":",C327&gt;=N$19,1,C327&gt;=N$20,2,C327&gt;=N$21,3,C327&gt;=N$22,4,C327&gt;=N$23,5,C327&gt;=N$24,6,C327&lt;N$24,7)</f>
        <v>2</v>
      </c>
      <c r="F327" s="60"/>
      <c r="G327" s="8"/>
      <c r="H327" s="5"/>
    </row>
    <row r="328" spans="1:8" ht="12" customHeight="1">
      <c r="A328" s="10" t="s">
        <v>1213</v>
      </c>
      <c r="B328" s="112" t="s">
        <v>1214</v>
      </c>
      <c r="C328" s="78">
        <v>848</v>
      </c>
      <c r="D328" s="43"/>
      <c r="E328" s="29" cm="1">
        <f t="array" ref="E328">_xlfn.IFS(C328=":",":",C328&gt;=N$19,1,C328&gt;=N$20,2,C328&gt;=N$21,3,C328&gt;=N$22,4,C328&gt;=N$23,5,C328&gt;=N$24,6,C328&lt;N$24,7)</f>
        <v>3</v>
      </c>
      <c r="F328" s="60"/>
      <c r="G328" s="8"/>
      <c r="H328" s="5"/>
    </row>
    <row r="329" spans="1:8" ht="12" customHeight="1">
      <c r="A329" s="10" t="s">
        <v>1215</v>
      </c>
      <c r="B329" s="112" t="s">
        <v>1216</v>
      </c>
      <c r="C329" s="78">
        <v>3118</v>
      </c>
      <c r="D329" s="43"/>
      <c r="E329" s="29" cm="1">
        <f t="array" ref="E329">_xlfn.IFS(C329=":",":",C329&gt;=N$19,1,C329&gt;=N$20,2,C329&gt;=N$21,3,C329&gt;=N$22,4,C329&gt;=N$23,5,C329&gt;=N$24,6,C329&lt;N$24,7)</f>
        <v>2</v>
      </c>
      <c r="F329" s="60"/>
      <c r="G329" s="8"/>
      <c r="H329" s="5"/>
    </row>
    <row r="330" spans="1:8" ht="12" customHeight="1">
      <c r="A330" s="10" t="s">
        <v>1217</v>
      </c>
      <c r="B330" s="112" t="s">
        <v>1218</v>
      </c>
      <c r="C330" s="78">
        <v>349</v>
      </c>
      <c r="D330" s="43"/>
      <c r="E330" s="29" cm="1">
        <f t="array" ref="E330">_xlfn.IFS(C330=":",":",C330&gt;=N$19,1,C330&gt;=N$20,2,C330&gt;=N$21,3,C330&gt;=N$22,4,C330&gt;=N$23,5,C330&gt;=N$24,6,C330&lt;N$24,7)</f>
        <v>4</v>
      </c>
      <c r="F330" s="60"/>
      <c r="G330" s="8"/>
      <c r="H330" s="5"/>
    </row>
    <row r="331" spans="1:8" ht="12" customHeight="1">
      <c r="A331" s="10" t="s">
        <v>1219</v>
      </c>
      <c r="B331" s="112" t="s">
        <v>1220</v>
      </c>
      <c r="C331" s="78">
        <v>784</v>
      </c>
      <c r="D331" s="43"/>
      <c r="E331" s="29" cm="1">
        <f t="array" ref="E331">_xlfn.IFS(C331=":",":",C331&gt;=N$19,1,C331&gt;=N$20,2,C331&gt;=N$21,3,C331&gt;=N$22,4,C331&gt;=N$23,5,C331&gt;=N$24,6,C331&lt;N$24,7)</f>
        <v>3</v>
      </c>
      <c r="F331" s="60"/>
      <c r="G331" s="8"/>
      <c r="H331" s="5"/>
    </row>
    <row r="332" spans="1:8" ht="12" customHeight="1">
      <c r="A332" s="10" t="s">
        <v>1221</v>
      </c>
      <c r="B332" s="112" t="s">
        <v>2819</v>
      </c>
      <c r="C332" s="78">
        <v>2794</v>
      </c>
      <c r="D332" s="43"/>
      <c r="E332" s="29" cm="1">
        <f t="array" ref="E332">_xlfn.IFS(C332=":",":",C332&gt;=N$19,1,C332&gt;=N$20,2,C332&gt;=N$21,3,C332&gt;=N$22,4,C332&gt;=N$23,5,C332&gt;=N$24,6,C332&lt;N$24,7)</f>
        <v>2</v>
      </c>
      <c r="F332" s="30"/>
      <c r="G332" s="5"/>
      <c r="H332" s="5"/>
    </row>
    <row r="333" spans="1:8" ht="12" customHeight="1">
      <c r="A333" s="10" t="s">
        <v>1222</v>
      </c>
      <c r="B333" s="112" t="s">
        <v>1223</v>
      </c>
      <c r="C333" s="78">
        <v>706</v>
      </c>
      <c r="D333" s="43"/>
      <c r="E333" s="29" cm="1">
        <f t="array" ref="E333">_xlfn.IFS(C333=":",":",C333&gt;=N$19,1,C333&gt;=N$20,2,C333&gt;=N$21,3,C333&gt;=N$22,4,C333&gt;=N$23,5,C333&gt;=N$24,6,C333&lt;N$24,7)</f>
        <v>3</v>
      </c>
      <c r="F333" s="30"/>
      <c r="G333" s="5"/>
      <c r="H333" s="5"/>
    </row>
    <row r="334" spans="1:8" ht="12" customHeight="1">
      <c r="A334" s="10" t="s">
        <v>1224</v>
      </c>
      <c r="B334" s="112" t="s">
        <v>1225</v>
      </c>
      <c r="C334" s="82">
        <v>1395</v>
      </c>
      <c r="D334" s="43"/>
      <c r="E334" s="29" cm="1">
        <f t="array" ref="E334">_xlfn.IFS(C334=":",":",C334&gt;=N$19,1,C334&gt;=N$20,2,C334&gt;=N$21,3,C334&gt;=N$22,4,C334&gt;=N$23,5,C334&gt;=N$24,6,C334&lt;N$24,7)</f>
        <v>3</v>
      </c>
      <c r="F334" s="30"/>
      <c r="G334" s="5"/>
      <c r="H334" s="5"/>
    </row>
    <row r="335" spans="1:8" ht="12" customHeight="1">
      <c r="A335" s="10" t="s">
        <v>1226</v>
      </c>
      <c r="B335" s="112" t="s">
        <v>1227</v>
      </c>
      <c r="C335" s="82">
        <v>401</v>
      </c>
      <c r="D335" s="43"/>
      <c r="E335" s="29" cm="1">
        <f t="array" ref="E335">_xlfn.IFS(C335=":",":",C335&gt;=N$19,1,C335&gt;=N$20,2,C335&gt;=N$21,3,C335&gt;=N$22,4,C335&gt;=N$23,5,C335&gt;=N$24,6,C335&lt;N$24,7)</f>
        <v>4</v>
      </c>
      <c r="F335" s="30"/>
      <c r="G335" s="5"/>
      <c r="H335" s="5"/>
    </row>
    <row r="336" spans="1:8" ht="12" customHeight="1">
      <c r="A336" s="10" t="s">
        <v>1228</v>
      </c>
      <c r="B336" s="112" t="s">
        <v>1229</v>
      </c>
      <c r="C336" s="82">
        <v>457</v>
      </c>
      <c r="D336" s="43"/>
      <c r="E336" s="29" cm="1">
        <f t="array" ref="E336">_xlfn.IFS(C336=":",":",C336&gt;=N$19,1,C336&gt;=N$20,2,C336&gt;=N$21,3,C336&gt;=N$22,4,C336&gt;=N$23,5,C336&gt;=N$24,6,C336&lt;N$24,7)</f>
        <v>4</v>
      </c>
      <c r="F336" s="30"/>
      <c r="G336" s="5"/>
      <c r="H336" s="5"/>
    </row>
    <row r="337" spans="1:8" ht="12" customHeight="1">
      <c r="A337" s="10" t="s">
        <v>1230</v>
      </c>
      <c r="B337" s="112" t="s">
        <v>1231</v>
      </c>
      <c r="C337" s="82">
        <v>439</v>
      </c>
      <c r="D337" s="43"/>
      <c r="E337" s="29" cm="1">
        <f t="array" ref="E337">_xlfn.IFS(C337=":",":",C337&gt;=N$19,1,C337&gt;=N$20,2,C337&gt;=N$21,3,C337&gt;=N$22,4,C337&gt;=N$23,5,C337&gt;=N$24,6,C337&lt;N$24,7)</f>
        <v>4</v>
      </c>
      <c r="F337" s="30"/>
      <c r="G337" s="5"/>
      <c r="H337" s="5"/>
    </row>
    <row r="338" spans="1:8" ht="12" customHeight="1">
      <c r="A338" s="10" t="s">
        <v>1232</v>
      </c>
      <c r="B338" s="112" t="s">
        <v>1233</v>
      </c>
      <c r="C338" s="82">
        <v>924</v>
      </c>
      <c r="D338" s="43"/>
      <c r="E338" s="29" cm="1">
        <f t="array" ref="E338">_xlfn.IFS(C338=":",":",C338&gt;=N$19,1,C338&gt;=N$20,2,C338&gt;=N$21,3,C338&gt;=N$22,4,C338&gt;=N$23,5,C338&gt;=N$24,6,C338&lt;N$24,7)</f>
        <v>3</v>
      </c>
      <c r="F338" s="30"/>
      <c r="G338" s="5"/>
      <c r="H338" s="5"/>
    </row>
    <row r="339" spans="1:8" ht="12" customHeight="1">
      <c r="A339" s="10" t="s">
        <v>1234</v>
      </c>
      <c r="B339" s="112" t="s">
        <v>1235</v>
      </c>
      <c r="C339" s="82">
        <v>3752</v>
      </c>
      <c r="D339" s="43"/>
      <c r="E339" s="29" cm="1">
        <f t="array" ref="E339">_xlfn.IFS(C339=":",":",C339&gt;=N$19,1,C339&gt;=N$20,2,C339&gt;=N$21,3,C339&gt;=N$22,4,C339&gt;=N$23,5,C339&gt;=N$24,6,C339&lt;N$24,7)</f>
        <v>2</v>
      </c>
      <c r="F339" s="30"/>
      <c r="G339" s="5"/>
      <c r="H339" s="5"/>
    </row>
    <row r="340" spans="1:8" ht="12" customHeight="1">
      <c r="A340" s="10" t="s">
        <v>1236</v>
      </c>
      <c r="B340" s="112" t="s">
        <v>1237</v>
      </c>
      <c r="C340" s="82">
        <v>26919</v>
      </c>
      <c r="D340" s="43"/>
      <c r="E340" s="29" cm="1">
        <f t="array" ref="E340">_xlfn.IFS(C340=":",":",C340&gt;=N$19,1,C340&gt;=N$20,2,C340&gt;=N$21,3,C340&gt;=N$22,4,C340&gt;=N$23,5,C340&gt;=N$24,6,C340&lt;N$24,7)</f>
        <v>1</v>
      </c>
      <c r="F340" s="30"/>
      <c r="G340" s="5"/>
      <c r="H340" s="5"/>
    </row>
    <row r="341" spans="1:8" ht="12" customHeight="1">
      <c r="A341" s="10" t="s">
        <v>1238</v>
      </c>
      <c r="B341" s="112" t="s">
        <v>1239</v>
      </c>
      <c r="C341" s="82">
        <v>2265</v>
      </c>
      <c r="D341" s="43"/>
      <c r="E341" s="29" cm="1">
        <f t="array" ref="E341">_xlfn.IFS(C341=":",":",C341&gt;=N$19,1,C341&gt;=N$20,2,C341&gt;=N$21,3,C341&gt;=N$22,4,C341&gt;=N$23,5,C341&gt;=N$24,6,C341&lt;N$24,7)</f>
        <v>2</v>
      </c>
      <c r="F341" s="30"/>
      <c r="G341" s="5"/>
      <c r="H341" s="5"/>
    </row>
    <row r="342" spans="1:8" ht="12" customHeight="1">
      <c r="A342" s="10" t="s">
        <v>1240</v>
      </c>
      <c r="B342" s="112" t="s">
        <v>1241</v>
      </c>
      <c r="C342" s="82">
        <v>7963</v>
      </c>
      <c r="D342" s="43"/>
      <c r="E342" s="29" cm="1">
        <f t="array" ref="E342">_xlfn.IFS(C342=":",":",C342&gt;=N$19,1,C342&gt;=N$20,2,C342&gt;=N$21,3,C342&gt;=N$22,4,C342&gt;=N$23,5,C342&gt;=N$24,6,C342&lt;N$24,7)</f>
        <v>1</v>
      </c>
      <c r="F342" s="30"/>
      <c r="G342" s="5"/>
      <c r="H342" s="5"/>
    </row>
    <row r="343" spans="1:8" ht="12" customHeight="1">
      <c r="A343" s="10" t="s">
        <v>1242</v>
      </c>
      <c r="B343" s="112" t="s">
        <v>1243</v>
      </c>
      <c r="C343" s="82">
        <v>1974</v>
      </c>
      <c r="D343" s="43"/>
      <c r="E343" s="29" cm="1">
        <f t="array" ref="E343">_xlfn.IFS(C343=":",":",C343&gt;=N$19,1,C343&gt;=N$20,2,C343&gt;=N$21,3,C343&gt;=N$22,4,C343&gt;=N$23,5,C343&gt;=N$24,6,C343&lt;N$24,7)</f>
        <v>2</v>
      </c>
      <c r="F343" s="30"/>
      <c r="G343" s="5"/>
      <c r="H343" s="5"/>
    </row>
    <row r="344" spans="1:8" ht="12" customHeight="1">
      <c r="A344" s="10" t="s">
        <v>1244</v>
      </c>
      <c r="B344" s="112" t="s">
        <v>1245</v>
      </c>
      <c r="C344" s="82">
        <v>1852</v>
      </c>
      <c r="D344" s="43"/>
      <c r="E344" s="29" cm="1">
        <f t="array" ref="E344">_xlfn.IFS(C344=":",":",C344&gt;=N$19,1,C344&gt;=N$20,2,C344&gt;=N$21,3,C344&gt;=N$22,4,C344&gt;=N$23,5,C344&gt;=N$24,6,C344&lt;N$24,7)</f>
        <v>2</v>
      </c>
      <c r="F344" s="30"/>
      <c r="G344" s="5"/>
      <c r="H344" s="5"/>
    </row>
    <row r="345" spans="1:8" ht="12" customHeight="1">
      <c r="A345" s="10" t="s">
        <v>1246</v>
      </c>
      <c r="B345" s="112" t="s">
        <v>1247</v>
      </c>
      <c r="C345" s="82">
        <v>1831</v>
      </c>
      <c r="D345" s="43"/>
      <c r="E345" s="29" cm="1">
        <f t="array" ref="E345">_xlfn.IFS(C345=":",":",C345&gt;=N$19,1,C345&gt;=N$20,2,C345&gt;=N$21,3,C345&gt;=N$22,4,C345&gt;=N$23,5,C345&gt;=N$24,6,C345&lt;N$24,7)</f>
        <v>2</v>
      </c>
      <c r="F345" s="30"/>
      <c r="G345" s="5"/>
      <c r="H345" s="5"/>
    </row>
    <row r="346" spans="1:8" ht="12" customHeight="1">
      <c r="A346" s="10" t="s">
        <v>1248</v>
      </c>
      <c r="B346" s="112" t="s">
        <v>1249</v>
      </c>
      <c r="C346" s="82">
        <v>6245</v>
      </c>
      <c r="D346" s="43"/>
      <c r="E346" s="29" cm="1">
        <f t="array" ref="E346">_xlfn.IFS(C346=":",":",C346&gt;=N$19,1,C346&gt;=N$20,2,C346&gt;=N$21,3,C346&gt;=N$22,4,C346&gt;=N$23,5,C346&gt;=N$24,6,C346&lt;N$24,7)</f>
        <v>1</v>
      </c>
      <c r="F346" s="30"/>
      <c r="G346" s="5"/>
      <c r="H346" s="5"/>
    </row>
    <row r="347" spans="1:8" ht="12" customHeight="1">
      <c r="A347" s="10" t="s">
        <v>1250</v>
      </c>
      <c r="B347" s="112" t="s">
        <v>1251</v>
      </c>
      <c r="C347" s="82">
        <v>931</v>
      </c>
      <c r="D347" s="43"/>
      <c r="E347" s="29" cm="1">
        <f t="array" ref="E347">_xlfn.IFS(C347=":",":",C347&gt;=N$19,1,C347&gt;=N$20,2,C347&gt;=N$21,3,C347&gt;=N$22,4,C347&gt;=N$23,5,C347&gt;=N$24,6,C347&lt;N$24,7)</f>
        <v>3</v>
      </c>
      <c r="F347" s="30"/>
      <c r="G347" s="5"/>
      <c r="H347" s="5"/>
    </row>
    <row r="348" spans="1:8" ht="12" customHeight="1">
      <c r="A348" s="10" t="s">
        <v>1252</v>
      </c>
      <c r="B348" s="112" t="s">
        <v>1253</v>
      </c>
      <c r="C348" s="82">
        <v>1071</v>
      </c>
      <c r="D348" s="43"/>
      <c r="E348" s="29" cm="1">
        <f t="array" ref="E348">_xlfn.IFS(C348=":",":",C348&gt;=N$19,1,C348&gt;=N$20,2,C348&gt;=N$21,3,C348&gt;=N$22,4,C348&gt;=N$23,5,C348&gt;=N$24,6,C348&lt;N$24,7)</f>
        <v>3</v>
      </c>
      <c r="F348" s="30"/>
      <c r="G348" s="5"/>
      <c r="H348" s="5"/>
    </row>
    <row r="349" spans="1:8" ht="12" customHeight="1">
      <c r="A349" s="10" t="s">
        <v>1254</v>
      </c>
      <c r="B349" s="112" t="s">
        <v>1255</v>
      </c>
      <c r="C349" s="82">
        <v>2445</v>
      </c>
      <c r="D349" s="43"/>
      <c r="E349" s="29" cm="1">
        <f t="array" ref="E349">_xlfn.IFS(C349=":",":",C349&gt;=N$19,1,C349&gt;=N$20,2,C349&gt;=N$21,3,C349&gt;=N$22,4,C349&gt;=N$23,5,C349&gt;=N$24,6,C349&lt;N$24,7)</f>
        <v>2</v>
      </c>
      <c r="F349" s="30"/>
      <c r="G349" s="5"/>
      <c r="H349" s="5"/>
    </row>
    <row r="350" spans="1:8" ht="12" customHeight="1">
      <c r="A350" s="10" t="s">
        <v>1256</v>
      </c>
      <c r="B350" s="112" t="s">
        <v>1257</v>
      </c>
      <c r="C350" s="82">
        <v>638</v>
      </c>
      <c r="D350" s="43"/>
      <c r="E350" s="29" cm="1">
        <f t="array" ref="E350">_xlfn.IFS(C350=":",":",C350&gt;=N$19,1,C350&gt;=N$20,2,C350&gt;=N$21,3,C350&gt;=N$22,4,C350&gt;=N$23,5,C350&gt;=N$24,6,C350&lt;N$24,7)</f>
        <v>3</v>
      </c>
      <c r="F350" s="30"/>
      <c r="G350" s="5"/>
      <c r="H350" s="5"/>
    </row>
    <row r="351" spans="1:8" ht="12" customHeight="1">
      <c r="A351" s="10" t="s">
        <v>1258</v>
      </c>
      <c r="B351" s="112" t="s">
        <v>1259</v>
      </c>
      <c r="C351" s="82">
        <v>2049</v>
      </c>
      <c r="D351" s="43"/>
      <c r="E351" s="29" cm="1">
        <f t="array" ref="E351">_xlfn.IFS(C351=":",":",C351&gt;=N$19,1,C351&gt;=N$20,2,C351&gt;=N$21,3,C351&gt;=N$22,4,C351&gt;=N$23,5,C351&gt;=N$24,6,C351&lt;N$24,7)</f>
        <v>2</v>
      </c>
      <c r="F351" s="30"/>
      <c r="G351" s="5"/>
      <c r="H351" s="5"/>
    </row>
    <row r="352" spans="1:8" ht="12" customHeight="1">
      <c r="A352" s="10" t="s">
        <v>1260</v>
      </c>
      <c r="B352" s="112" t="s">
        <v>1261</v>
      </c>
      <c r="C352" s="82">
        <v>1080</v>
      </c>
      <c r="D352" s="43"/>
      <c r="E352" s="29" cm="1">
        <f t="array" ref="E352">_xlfn.IFS(C352=":",":",C352&gt;=N$19,1,C352&gt;=N$20,2,C352&gt;=N$21,3,C352&gt;=N$22,4,C352&gt;=N$23,5,C352&gt;=N$24,6,C352&lt;N$24,7)</f>
        <v>3</v>
      </c>
      <c r="F352" s="30"/>
      <c r="G352" s="5"/>
      <c r="H352" s="5"/>
    </row>
    <row r="353" spans="1:8" ht="12" customHeight="1">
      <c r="A353" s="10" t="s">
        <v>1262</v>
      </c>
      <c r="B353" s="112" t="s">
        <v>1263</v>
      </c>
      <c r="C353" s="82">
        <v>625</v>
      </c>
      <c r="D353" s="43"/>
      <c r="E353" s="29" cm="1">
        <f t="array" ref="E353">_xlfn.IFS(C353=":",":",C353&gt;=N$19,1,C353&gt;=N$20,2,C353&gt;=N$21,3,C353&gt;=N$22,4,C353&gt;=N$23,5,C353&gt;=N$24,6,C353&lt;N$24,7)</f>
        <v>3</v>
      </c>
      <c r="F353" s="30"/>
      <c r="G353" s="5"/>
      <c r="H353" s="5"/>
    </row>
    <row r="354" spans="1:8" ht="12" customHeight="1">
      <c r="A354" s="10" t="s">
        <v>1264</v>
      </c>
      <c r="B354" s="112" t="s">
        <v>1265</v>
      </c>
      <c r="C354" s="82">
        <v>764</v>
      </c>
      <c r="D354" s="43"/>
      <c r="E354" s="29" cm="1">
        <f t="array" ref="E354">_xlfn.IFS(C354=":",":",C354&gt;=N$19,1,C354&gt;=N$20,2,C354&gt;=N$21,3,C354&gt;=N$22,4,C354&gt;=N$23,5,C354&gt;=N$24,6,C354&lt;N$24,7)</f>
        <v>3</v>
      </c>
      <c r="F354" s="30"/>
      <c r="G354" s="5"/>
      <c r="H354" s="5"/>
    </row>
    <row r="355" spans="1:8" ht="12" customHeight="1">
      <c r="A355" s="10" t="s">
        <v>1266</v>
      </c>
      <c r="B355" s="112" t="s">
        <v>1267</v>
      </c>
      <c r="C355" s="82">
        <v>11175</v>
      </c>
      <c r="D355" s="43"/>
      <c r="E355" s="29" cm="1">
        <f t="array" ref="E355">_xlfn.IFS(C355=":",":",C355&gt;=N$19,1,C355&gt;=N$20,2,C355&gt;=N$21,3,C355&gt;=N$22,4,C355&gt;=N$23,5,C355&gt;=N$24,6,C355&lt;N$24,7)</f>
        <v>1</v>
      </c>
      <c r="F355" s="30"/>
      <c r="G355" s="5"/>
      <c r="H355" s="5"/>
    </row>
    <row r="356" spans="1:8" ht="12" customHeight="1">
      <c r="A356" s="10" t="s">
        <v>1268</v>
      </c>
      <c r="B356" s="112" t="s">
        <v>1269</v>
      </c>
      <c r="C356" s="82">
        <v>18054</v>
      </c>
      <c r="D356" s="43"/>
      <c r="E356" s="29" cm="1">
        <f t="array" ref="E356">_xlfn.IFS(C356=":",":",C356&gt;=N$19,1,C356&gt;=N$20,2,C356&gt;=N$21,3,C356&gt;=N$22,4,C356&gt;=N$23,5,C356&gt;=N$24,6,C356&lt;N$24,7)</f>
        <v>1</v>
      </c>
      <c r="F356" s="30"/>
      <c r="G356" s="5"/>
      <c r="H356" s="5"/>
    </row>
    <row r="357" spans="1:8" ht="12" customHeight="1">
      <c r="A357" s="10" t="s">
        <v>1270</v>
      </c>
      <c r="B357" s="112" t="s">
        <v>1271</v>
      </c>
      <c r="C357" s="82">
        <v>2719</v>
      </c>
      <c r="D357" s="43"/>
      <c r="E357" s="29" cm="1">
        <f t="array" ref="E357">_xlfn.IFS(C357=":",":",C357&gt;=N$19,1,C357&gt;=N$20,2,C357&gt;=N$21,3,C357&gt;=N$22,4,C357&gt;=N$23,5,C357&gt;=N$24,6,C357&lt;N$24,7)</f>
        <v>2</v>
      </c>
      <c r="F357" s="30"/>
      <c r="G357" s="5"/>
      <c r="H357" s="5"/>
    </row>
    <row r="358" spans="1:8" ht="12" customHeight="1">
      <c r="A358" s="10" t="s">
        <v>1272</v>
      </c>
      <c r="B358" s="112" t="s">
        <v>1273</v>
      </c>
      <c r="C358" s="82">
        <v>611</v>
      </c>
      <c r="D358" s="43"/>
      <c r="E358" s="29" cm="1">
        <f t="array" ref="E358">_xlfn.IFS(C358=":",":",C358&gt;=N$19,1,C358&gt;=N$20,2,C358&gt;=N$21,3,C358&gt;=N$22,4,C358&gt;=N$23,5,C358&gt;=N$24,6,C358&lt;N$24,7)</f>
        <v>3</v>
      </c>
      <c r="F358" s="30"/>
      <c r="G358" s="5"/>
      <c r="H358" s="5"/>
    </row>
    <row r="359" spans="1:8" ht="12" customHeight="1">
      <c r="A359" s="10" t="s">
        <v>1274</v>
      </c>
      <c r="B359" s="112" t="s">
        <v>1275</v>
      </c>
      <c r="C359" s="82">
        <v>1354</v>
      </c>
      <c r="D359" s="43"/>
      <c r="E359" s="29" cm="1">
        <f t="array" ref="E359">_xlfn.IFS(C359=":",":",C359&gt;=N$19,1,C359&gt;=N$20,2,C359&gt;=N$21,3,C359&gt;=N$22,4,C359&gt;=N$23,5,C359&gt;=N$24,6,C359&lt;N$24,7)</f>
        <v>3</v>
      </c>
      <c r="F359" s="30"/>
      <c r="G359" s="5"/>
      <c r="H359" s="5"/>
    </row>
    <row r="360" spans="1:8" ht="12" customHeight="1">
      <c r="A360" s="10" t="s">
        <v>1276</v>
      </c>
      <c r="B360" s="112" t="s">
        <v>1277</v>
      </c>
      <c r="C360" s="82">
        <v>556</v>
      </c>
      <c r="D360" s="43"/>
      <c r="E360" s="29" cm="1">
        <f t="array" ref="E360">_xlfn.IFS(C360=":",":",C360&gt;=N$19,1,C360&gt;=N$20,2,C360&gt;=N$21,3,C360&gt;=N$22,4,C360&gt;=N$23,5,C360&gt;=N$24,6,C360&lt;N$24,7)</f>
        <v>3</v>
      </c>
      <c r="F360" s="30"/>
      <c r="G360" s="5"/>
      <c r="H360" s="5"/>
    </row>
    <row r="361" spans="1:8" ht="12" customHeight="1">
      <c r="A361" s="10" t="s">
        <v>1278</v>
      </c>
      <c r="B361" s="112" t="s">
        <v>1279</v>
      </c>
      <c r="C361" s="82">
        <v>414</v>
      </c>
      <c r="D361" s="43"/>
      <c r="E361" s="29" cm="1">
        <f t="array" ref="E361">_xlfn.IFS(C361=":",":",C361&gt;=N$19,1,C361&gt;=N$20,2,C361&gt;=N$21,3,C361&gt;=N$22,4,C361&gt;=N$23,5,C361&gt;=N$24,6,C361&lt;N$24,7)</f>
        <v>4</v>
      </c>
      <c r="F361" s="30"/>
      <c r="G361" s="5"/>
      <c r="H361" s="5"/>
    </row>
    <row r="362" spans="1:8" ht="12" customHeight="1">
      <c r="A362" s="10" t="s">
        <v>1280</v>
      </c>
      <c r="B362" s="112" t="s">
        <v>1281</v>
      </c>
      <c r="C362" s="82">
        <v>502</v>
      </c>
      <c r="D362" s="43"/>
      <c r="E362" s="29" cm="1">
        <f t="array" ref="E362">_xlfn.IFS(C362=":",":",C362&gt;=N$19,1,C362&gt;=N$20,2,C362&gt;=N$21,3,C362&gt;=N$22,4,C362&gt;=N$23,5,C362&gt;=N$24,6,C362&lt;N$24,7)</f>
        <v>3</v>
      </c>
      <c r="F362" s="30"/>
      <c r="G362" s="5"/>
      <c r="H362" s="5"/>
    </row>
    <row r="363" spans="1:8" ht="12" customHeight="1">
      <c r="A363" s="10" t="s">
        <v>1282</v>
      </c>
      <c r="B363" s="112" t="s">
        <v>1283</v>
      </c>
      <c r="C363" s="82">
        <v>583</v>
      </c>
      <c r="D363" s="43"/>
      <c r="E363" s="29" cm="1">
        <f t="array" ref="E363">_xlfn.IFS(C363=":",":",C363&gt;=N$19,1,C363&gt;=N$20,2,C363&gt;=N$21,3,C363&gt;=N$22,4,C363&gt;=N$23,5,C363&gt;=N$24,6,C363&lt;N$24,7)</f>
        <v>3</v>
      </c>
      <c r="F363" s="30"/>
      <c r="G363" s="5"/>
      <c r="H363" s="5"/>
    </row>
    <row r="364" spans="1:8" ht="12" customHeight="1">
      <c r="A364" s="10" t="s">
        <v>1284</v>
      </c>
      <c r="B364" s="112" t="s">
        <v>1285</v>
      </c>
      <c r="C364" s="82">
        <v>920</v>
      </c>
      <c r="D364" s="43"/>
      <c r="E364" s="29" cm="1">
        <f t="array" ref="E364">_xlfn.IFS(C364=":",":",C364&gt;=N$19,1,C364&gt;=N$20,2,C364&gt;=N$21,3,C364&gt;=N$22,4,C364&gt;=N$23,5,C364&gt;=N$24,6,C364&lt;N$24,7)</f>
        <v>3</v>
      </c>
      <c r="F364" s="30"/>
      <c r="G364" s="5"/>
      <c r="H364" s="5"/>
    </row>
    <row r="365" spans="1:8" ht="12" customHeight="1">
      <c r="A365" s="10" t="s">
        <v>1286</v>
      </c>
      <c r="B365" s="112" t="s">
        <v>1287</v>
      </c>
      <c r="C365" s="82">
        <v>2124</v>
      </c>
      <c r="D365" s="43"/>
      <c r="E365" s="29" cm="1">
        <f t="array" ref="E365">_xlfn.IFS(C365=":",":",C365&gt;=N$19,1,C365&gt;=N$20,2,C365&gt;=N$21,3,C365&gt;=N$22,4,C365&gt;=N$23,5,C365&gt;=N$24,6,C365&lt;N$24,7)</f>
        <v>2</v>
      </c>
      <c r="F365" s="30"/>
      <c r="G365" s="5"/>
      <c r="H365" s="5"/>
    </row>
    <row r="366" spans="1:8" ht="12" customHeight="1">
      <c r="A366" s="10" t="s">
        <v>1288</v>
      </c>
      <c r="B366" s="112" t="s">
        <v>1289</v>
      </c>
      <c r="C366" s="82">
        <v>695</v>
      </c>
      <c r="D366" s="43"/>
      <c r="E366" s="29" cm="1">
        <f t="array" ref="E366">_xlfn.IFS(C366=":",":",C366&gt;=N$19,1,C366&gt;=N$20,2,C366&gt;=N$21,3,C366&gt;=N$22,4,C366&gt;=N$23,5,C366&gt;=N$24,6,C366&lt;N$24,7)</f>
        <v>3</v>
      </c>
      <c r="F366" s="30"/>
      <c r="G366" s="5"/>
      <c r="H366" s="5"/>
    </row>
    <row r="367" spans="1:8" ht="12" customHeight="1">
      <c r="A367" s="10" t="s">
        <v>1290</v>
      </c>
      <c r="B367" s="112" t="s">
        <v>1291</v>
      </c>
      <c r="C367" s="82">
        <v>2938</v>
      </c>
      <c r="D367" s="43"/>
      <c r="E367" s="29" cm="1">
        <f t="array" ref="E367">_xlfn.IFS(C367=":",":",C367&gt;=N$19,1,C367&gt;=N$20,2,C367&gt;=N$21,3,C367&gt;=N$22,4,C367&gt;=N$23,5,C367&gt;=N$24,6,C367&lt;N$24,7)</f>
        <v>2</v>
      </c>
      <c r="F367" s="30"/>
      <c r="G367" s="5"/>
      <c r="H367" s="5"/>
    </row>
    <row r="368" spans="1:8" ht="12" customHeight="1">
      <c r="A368" s="10" t="s">
        <v>1292</v>
      </c>
      <c r="B368" s="112" t="s">
        <v>1293</v>
      </c>
      <c r="C368" s="82">
        <v>4148</v>
      </c>
      <c r="D368" s="43"/>
      <c r="E368" s="29" cm="1">
        <f t="array" ref="E368">_xlfn.IFS(C368=":",":",C368&gt;=N$19,1,C368&gt;=N$20,2,C368&gt;=N$21,3,C368&gt;=N$22,4,C368&gt;=N$23,5,C368&gt;=N$24,6,C368&lt;N$24,7)</f>
        <v>2</v>
      </c>
      <c r="F368" s="30"/>
      <c r="G368" s="5"/>
      <c r="H368" s="5"/>
    </row>
    <row r="369" spans="1:8" ht="12" customHeight="1">
      <c r="A369" s="10" t="s">
        <v>1294</v>
      </c>
      <c r="B369" s="112" t="s">
        <v>1295</v>
      </c>
      <c r="C369" s="82">
        <v>449</v>
      </c>
      <c r="D369" s="43"/>
      <c r="E369" s="29" cm="1">
        <f t="array" ref="E369">_xlfn.IFS(C369=":",":",C369&gt;=N$19,1,C369&gt;=N$20,2,C369&gt;=N$21,3,C369&gt;=N$22,4,C369&gt;=N$23,5,C369&gt;=N$24,6,C369&lt;N$24,7)</f>
        <v>4</v>
      </c>
      <c r="F369" s="30"/>
      <c r="G369" s="5"/>
      <c r="H369" s="5"/>
    </row>
    <row r="370" spans="1:8" ht="12" customHeight="1">
      <c r="A370" s="10" t="s">
        <v>1296</v>
      </c>
      <c r="B370" s="112" t="s">
        <v>1297</v>
      </c>
      <c r="C370" s="82">
        <v>591</v>
      </c>
      <c r="D370" s="43"/>
      <c r="E370" s="29" cm="1">
        <f t="array" ref="E370">_xlfn.IFS(C370=":",":",C370&gt;=N$19,1,C370&gt;=N$20,2,C370&gt;=N$21,3,C370&gt;=N$22,4,C370&gt;=N$23,5,C370&gt;=N$24,6,C370&lt;N$24,7)</f>
        <v>3</v>
      </c>
      <c r="F370" s="30"/>
      <c r="G370" s="5"/>
      <c r="H370" s="5"/>
    </row>
    <row r="371" spans="1:8" ht="12" customHeight="1">
      <c r="A371" s="10" t="s">
        <v>1298</v>
      </c>
      <c r="B371" s="112" t="s">
        <v>1299</v>
      </c>
      <c r="C371" s="82">
        <v>853</v>
      </c>
      <c r="D371" s="43"/>
      <c r="E371" s="29" cm="1">
        <f t="array" ref="E371">_xlfn.IFS(C371=":",":",C371&gt;=N$19,1,C371&gt;=N$20,2,C371&gt;=N$21,3,C371&gt;=N$22,4,C371&gt;=N$23,5,C371&gt;=N$24,6,C371&lt;N$24,7)</f>
        <v>3</v>
      </c>
      <c r="F371" s="30"/>
      <c r="G371" s="5"/>
      <c r="H371" s="5"/>
    </row>
    <row r="372" spans="1:8" ht="12" customHeight="1">
      <c r="A372" s="10" t="s">
        <v>1300</v>
      </c>
      <c r="B372" s="112" t="s">
        <v>1301</v>
      </c>
      <c r="C372" s="82">
        <v>418</v>
      </c>
      <c r="D372" s="43"/>
      <c r="E372" s="29" cm="1">
        <f t="array" ref="E372">_xlfn.IFS(C372=":",":",C372&gt;=N$19,1,C372&gt;=N$20,2,C372&gt;=N$21,3,C372&gt;=N$22,4,C372&gt;=N$23,5,C372&gt;=N$24,6,C372&lt;N$24,7)</f>
        <v>4</v>
      </c>
      <c r="F372" s="30"/>
      <c r="G372" s="5"/>
      <c r="H372" s="5"/>
    </row>
    <row r="373" spans="1:8" ht="12" customHeight="1">
      <c r="A373" s="10" t="s">
        <v>1302</v>
      </c>
      <c r="B373" s="112" t="s">
        <v>1303</v>
      </c>
      <c r="C373" s="82">
        <v>303</v>
      </c>
      <c r="D373" s="43"/>
      <c r="E373" s="29" cm="1">
        <f t="array" ref="E373">_xlfn.IFS(C373=":",":",C373&gt;=N$19,1,C373&gt;=N$20,2,C373&gt;=N$21,3,C373&gt;=N$22,4,C373&gt;=N$23,5,C373&gt;=N$24,6,C373&lt;N$24,7)</f>
        <v>4</v>
      </c>
      <c r="F373" s="30"/>
      <c r="G373" s="5"/>
      <c r="H373" s="5"/>
    </row>
    <row r="374" spans="1:8" ht="12" customHeight="1">
      <c r="A374" s="10" t="s">
        <v>1304</v>
      </c>
      <c r="B374" s="112" t="s">
        <v>1305</v>
      </c>
      <c r="C374" s="82">
        <v>2211</v>
      </c>
      <c r="D374" s="43"/>
      <c r="E374" s="29" cm="1">
        <f t="array" ref="E374">_xlfn.IFS(C374=":",":",C374&gt;=N$19,1,C374&gt;=N$20,2,C374&gt;=N$21,3,C374&gt;=N$22,4,C374&gt;=N$23,5,C374&gt;=N$24,6,C374&lt;N$24,7)</f>
        <v>2</v>
      </c>
      <c r="F374" s="30"/>
      <c r="G374" s="5"/>
      <c r="H374" s="5"/>
    </row>
    <row r="375" spans="1:8" ht="12" customHeight="1">
      <c r="A375" s="10" t="s">
        <v>1306</v>
      </c>
      <c r="B375" s="112" t="s">
        <v>1307</v>
      </c>
      <c r="C375" s="82">
        <v>545</v>
      </c>
      <c r="D375" s="43"/>
      <c r="E375" s="29" cm="1">
        <f t="array" ref="E375">_xlfn.IFS(C375=":",":",C375&gt;=N$19,1,C375&gt;=N$20,2,C375&gt;=N$21,3,C375&gt;=N$22,4,C375&gt;=N$23,5,C375&gt;=N$24,6,C375&lt;N$24,7)</f>
        <v>3</v>
      </c>
      <c r="F375" s="30"/>
      <c r="G375" s="5"/>
      <c r="H375" s="5"/>
    </row>
    <row r="376" spans="1:8" ht="12" customHeight="1">
      <c r="A376" s="10" t="s">
        <v>1308</v>
      </c>
      <c r="B376" s="112" t="s">
        <v>1309</v>
      </c>
      <c r="C376" s="82">
        <v>501</v>
      </c>
      <c r="D376" s="43"/>
      <c r="E376" s="29" cm="1">
        <f t="array" ref="E376">_xlfn.IFS(C376=":",":",C376&gt;=N$19,1,C376&gt;=N$20,2,C376&gt;=N$21,3,C376&gt;=N$22,4,C376&gt;=N$23,5,C376&gt;=N$24,6,C376&lt;N$24,7)</f>
        <v>3</v>
      </c>
      <c r="F376" s="30"/>
      <c r="G376" s="5"/>
      <c r="H376" s="5"/>
    </row>
    <row r="377" spans="1:8" ht="12" customHeight="1">
      <c r="A377" s="10" t="s">
        <v>1310</v>
      </c>
      <c r="B377" s="112" t="s">
        <v>1311</v>
      </c>
      <c r="C377" s="82">
        <v>403</v>
      </c>
      <c r="D377" s="43"/>
      <c r="E377" s="29" cm="1">
        <f t="array" ref="E377">_xlfn.IFS(C377=":",":",C377&gt;=N$19,1,C377&gt;=N$20,2,C377&gt;=N$21,3,C377&gt;=N$22,4,C377&gt;=N$23,5,C377&gt;=N$24,6,C377&lt;N$24,7)</f>
        <v>4</v>
      </c>
      <c r="F377" s="30"/>
      <c r="G377" s="5"/>
      <c r="H377" s="5"/>
    </row>
    <row r="378" spans="1:8" ht="12" customHeight="1">
      <c r="A378" s="10" t="s">
        <v>1312</v>
      </c>
      <c r="B378" s="112" t="s">
        <v>1313</v>
      </c>
      <c r="C378" s="82">
        <v>765</v>
      </c>
      <c r="D378" s="43"/>
      <c r="E378" s="29" cm="1">
        <f t="array" ref="E378">_xlfn.IFS(C378=":",":",C378&gt;=N$19,1,C378&gt;=N$20,2,C378&gt;=N$21,3,C378&gt;=N$22,4,C378&gt;=N$23,5,C378&gt;=N$24,6,C378&lt;N$24,7)</f>
        <v>3</v>
      </c>
      <c r="F378" s="30"/>
      <c r="G378" s="5"/>
      <c r="H378" s="5"/>
    </row>
    <row r="379" spans="1:8" ht="12" customHeight="1">
      <c r="A379" s="10" t="s">
        <v>1314</v>
      </c>
      <c r="B379" s="112" t="s">
        <v>1315</v>
      </c>
      <c r="C379" s="82">
        <v>469</v>
      </c>
      <c r="D379" s="43"/>
      <c r="E379" s="29" cm="1">
        <f t="array" ref="E379">_xlfn.IFS(C379=":",":",C379&gt;=N$19,1,C379&gt;=N$20,2,C379&gt;=N$21,3,C379&gt;=N$22,4,C379&gt;=N$23,5,C379&gt;=N$24,6,C379&lt;N$24,7)</f>
        <v>4</v>
      </c>
      <c r="F379" s="30"/>
      <c r="G379" s="5"/>
      <c r="H379" s="5"/>
    </row>
    <row r="380" spans="1:8" ht="12" customHeight="1">
      <c r="A380" s="10" t="s">
        <v>1316</v>
      </c>
      <c r="B380" s="112" t="s">
        <v>1317</v>
      </c>
      <c r="C380" s="82">
        <v>565</v>
      </c>
      <c r="D380" s="43"/>
      <c r="E380" s="29" cm="1">
        <f t="array" ref="E380">_xlfn.IFS(C380=":",":",C380&gt;=N$19,1,C380&gt;=N$20,2,C380&gt;=N$21,3,C380&gt;=N$22,4,C380&gt;=N$23,5,C380&gt;=N$24,6,C380&lt;N$24,7)</f>
        <v>3</v>
      </c>
      <c r="F380" s="30"/>
      <c r="G380" s="5"/>
      <c r="H380" s="5"/>
    </row>
    <row r="381" spans="1:8" ht="12" customHeight="1">
      <c r="A381" s="10" t="s">
        <v>1318</v>
      </c>
      <c r="B381" s="112" t="s">
        <v>1319</v>
      </c>
      <c r="C381" s="82">
        <v>5149</v>
      </c>
      <c r="D381" s="43"/>
      <c r="E381" s="29" cm="1">
        <f t="array" ref="E381">_xlfn.IFS(C381=":",":",C381&gt;=N$19,1,C381&gt;=N$20,2,C381&gt;=N$21,3,C381&gt;=N$22,4,C381&gt;=N$23,5,C381&gt;=N$24,6,C381&lt;N$24,7)</f>
        <v>1</v>
      </c>
      <c r="F381" s="30"/>
      <c r="G381" s="5"/>
      <c r="H381" s="5"/>
    </row>
    <row r="382" spans="1:8" ht="12" customHeight="1">
      <c r="A382" s="10" t="s">
        <v>1320</v>
      </c>
      <c r="B382" s="112" t="s">
        <v>1321</v>
      </c>
      <c r="C382" s="82">
        <v>5368</v>
      </c>
      <c r="D382" s="43"/>
      <c r="E382" s="29" cm="1">
        <f t="array" ref="E382">_xlfn.IFS(C382=":",":",C382&gt;=N$19,1,C382&gt;=N$20,2,C382&gt;=N$21,3,C382&gt;=N$22,4,C382&gt;=N$23,5,C382&gt;=N$24,6,C382&lt;N$24,7)</f>
        <v>1</v>
      </c>
      <c r="F382" s="30"/>
      <c r="G382" s="5"/>
      <c r="H382" s="5"/>
    </row>
    <row r="383" spans="1:8" ht="12" customHeight="1">
      <c r="A383" s="10" t="s">
        <v>1322</v>
      </c>
      <c r="B383" s="112" t="s">
        <v>1323</v>
      </c>
      <c r="C383" s="82">
        <v>1270</v>
      </c>
      <c r="D383" s="43"/>
      <c r="E383" s="29" cm="1">
        <f t="array" ref="E383">_xlfn.IFS(C383=":",":",C383&gt;=N$19,1,C383&gt;=N$20,2,C383&gt;=N$21,3,C383&gt;=N$22,4,C383&gt;=N$23,5,C383&gt;=N$24,6,C383&lt;N$24,7)</f>
        <v>3</v>
      </c>
      <c r="F383" s="30"/>
      <c r="G383" s="5"/>
      <c r="H383" s="5"/>
    </row>
    <row r="384" spans="1:8" ht="12" customHeight="1">
      <c r="A384" s="10" t="s">
        <v>1324</v>
      </c>
      <c r="B384" s="112" t="s">
        <v>1325</v>
      </c>
      <c r="C384" s="82">
        <v>742</v>
      </c>
      <c r="D384" s="43"/>
      <c r="E384" s="29" cm="1">
        <f t="array" ref="E384">_xlfn.IFS(C384=":",":",C384&gt;=N$19,1,C384&gt;=N$20,2,C384&gt;=N$21,3,C384&gt;=N$22,4,C384&gt;=N$23,5,C384&gt;=N$24,6,C384&lt;N$24,7)</f>
        <v>3</v>
      </c>
      <c r="F384" s="30"/>
      <c r="G384" s="5"/>
      <c r="H384" s="5"/>
    </row>
    <row r="385" spans="1:8" ht="12" customHeight="1">
      <c r="A385" s="10" t="s">
        <v>1326</v>
      </c>
      <c r="B385" s="112" t="s">
        <v>1327</v>
      </c>
      <c r="C385" s="82">
        <v>1209</v>
      </c>
      <c r="D385" s="43"/>
      <c r="E385" s="29" cm="1">
        <f t="array" ref="E385">_xlfn.IFS(C385=":",":",C385&gt;=N$19,1,C385&gt;=N$20,2,C385&gt;=N$21,3,C385&gt;=N$22,4,C385&gt;=N$23,5,C385&gt;=N$24,6,C385&lt;N$24,7)</f>
        <v>3</v>
      </c>
      <c r="F385" s="30"/>
      <c r="G385" s="5"/>
      <c r="H385" s="5"/>
    </row>
    <row r="386" spans="1:8" ht="12" customHeight="1">
      <c r="A386" s="10" t="s">
        <v>1328</v>
      </c>
      <c r="B386" s="112" t="s">
        <v>1329</v>
      </c>
      <c r="C386" s="82">
        <v>718</v>
      </c>
      <c r="D386" s="43"/>
      <c r="E386" s="29" cm="1">
        <f t="array" ref="E386">_xlfn.IFS(C386=":",":",C386&gt;=N$19,1,C386&gt;=N$20,2,C386&gt;=N$21,3,C386&gt;=N$22,4,C386&gt;=N$23,5,C386&gt;=N$24,6,C386&lt;N$24,7)</f>
        <v>3</v>
      </c>
      <c r="F386" s="30"/>
      <c r="G386" s="5"/>
      <c r="H386" s="5"/>
    </row>
    <row r="387" spans="1:8" ht="12" customHeight="1">
      <c r="A387" s="10" t="s">
        <v>1330</v>
      </c>
      <c r="B387" s="112" t="s">
        <v>1331</v>
      </c>
      <c r="C387" s="82">
        <v>1826</v>
      </c>
      <c r="D387" s="43"/>
      <c r="E387" s="29" cm="1">
        <f t="array" ref="E387">_xlfn.IFS(C387=":",":",C387&gt;=N$19,1,C387&gt;=N$20,2,C387&gt;=N$21,3,C387&gt;=N$22,4,C387&gt;=N$23,5,C387&gt;=N$24,6,C387&lt;N$24,7)</f>
        <v>2</v>
      </c>
      <c r="F387" s="30"/>
      <c r="G387" s="5"/>
      <c r="H387" s="5"/>
    </row>
    <row r="388" spans="1:8" ht="12" customHeight="1">
      <c r="A388" s="10" t="s">
        <v>1332</v>
      </c>
      <c r="B388" s="112" t="s">
        <v>1333</v>
      </c>
      <c r="C388" s="82">
        <v>330</v>
      </c>
      <c r="D388" s="43"/>
      <c r="E388" s="29" cm="1">
        <f t="array" ref="E388">_xlfn.IFS(C388=":",":",C388&gt;=N$19,1,C388&gt;=N$20,2,C388&gt;=N$21,3,C388&gt;=N$22,4,C388&gt;=N$23,5,C388&gt;=N$24,6,C388&lt;N$24,7)</f>
        <v>4</v>
      </c>
      <c r="F388" s="30"/>
      <c r="G388" s="5"/>
      <c r="H388" s="5"/>
    </row>
    <row r="389" spans="1:8" ht="12" customHeight="1">
      <c r="A389" s="10" t="s">
        <v>1334</v>
      </c>
      <c r="B389" s="112" t="s">
        <v>1335</v>
      </c>
      <c r="C389" s="82">
        <v>760</v>
      </c>
      <c r="D389" s="43"/>
      <c r="E389" s="29" cm="1">
        <f t="array" ref="E389">_xlfn.IFS(C389=":",":",C389&gt;=N$19,1,C389&gt;=N$20,2,C389&gt;=N$21,3,C389&gt;=N$22,4,C389&gt;=N$23,5,C389&gt;=N$24,6,C389&lt;N$24,7)</f>
        <v>3</v>
      </c>
      <c r="F389" s="30"/>
      <c r="G389" s="5"/>
      <c r="H389" s="5"/>
    </row>
    <row r="390" spans="1:8" ht="12" customHeight="1">
      <c r="A390" s="10" t="s">
        <v>1336</v>
      </c>
      <c r="B390" s="112" t="s">
        <v>1337</v>
      </c>
      <c r="C390" s="82">
        <v>392</v>
      </c>
      <c r="D390" s="43"/>
      <c r="E390" s="29" cm="1">
        <f t="array" ref="E390">_xlfn.IFS(C390=":",":",C390&gt;=N$19,1,C390&gt;=N$20,2,C390&gt;=N$21,3,C390&gt;=N$22,4,C390&gt;=N$23,5,C390&gt;=N$24,6,C390&lt;N$24,7)</f>
        <v>4</v>
      </c>
      <c r="F390" s="30"/>
      <c r="G390" s="5"/>
      <c r="H390" s="5"/>
    </row>
    <row r="391" spans="1:8" ht="12" customHeight="1">
      <c r="A391" s="10" t="s">
        <v>1338</v>
      </c>
      <c r="B391" s="112" t="s">
        <v>1339</v>
      </c>
      <c r="C391" s="82">
        <v>581</v>
      </c>
      <c r="D391" s="43"/>
      <c r="E391" s="29" cm="1">
        <f t="array" ref="E391">_xlfn.IFS(C391=":",":",C391&gt;=N$19,1,C391&gt;=N$20,2,C391&gt;=N$21,3,C391&gt;=N$22,4,C391&gt;=N$23,5,C391&gt;=N$24,6,C391&lt;N$24,7)</f>
        <v>3</v>
      </c>
      <c r="F391" s="30"/>
      <c r="G391" s="5"/>
      <c r="H391" s="5"/>
    </row>
    <row r="392" spans="1:8" ht="12" customHeight="1">
      <c r="A392" s="10" t="s">
        <v>1340</v>
      </c>
      <c r="B392" s="112" t="s">
        <v>1341</v>
      </c>
      <c r="C392" s="82">
        <v>693</v>
      </c>
      <c r="D392" s="43"/>
      <c r="E392" s="29" cm="1">
        <f t="array" ref="E392">_xlfn.IFS(C392=":",":",C392&gt;=N$19,1,C392&gt;=N$20,2,C392&gt;=N$21,3,C392&gt;=N$22,4,C392&gt;=N$23,5,C392&gt;=N$24,6,C392&lt;N$24,7)</f>
        <v>3</v>
      </c>
      <c r="F392" s="30"/>
      <c r="G392" s="5"/>
      <c r="H392" s="5"/>
    </row>
    <row r="393" spans="1:8" ht="12" customHeight="1">
      <c r="A393" s="10" t="s">
        <v>1342</v>
      </c>
      <c r="B393" s="112" t="s">
        <v>1343</v>
      </c>
      <c r="C393" s="82">
        <v>8457</v>
      </c>
      <c r="D393" s="43"/>
      <c r="E393" s="29" cm="1">
        <f t="array" ref="E393">_xlfn.IFS(C393=":",":",C393&gt;=N$19,1,C393&gt;=N$20,2,C393&gt;=N$21,3,C393&gt;=N$22,4,C393&gt;=N$23,5,C393&gt;=N$24,6,C393&lt;N$24,7)</f>
        <v>1</v>
      </c>
      <c r="F393" s="30"/>
      <c r="G393" s="5"/>
      <c r="H393" s="5"/>
    </row>
    <row r="394" spans="1:8" ht="12" customHeight="1">
      <c r="A394" s="10" t="s">
        <v>1344</v>
      </c>
      <c r="B394" s="112" t="s">
        <v>1345</v>
      </c>
      <c r="C394" s="82">
        <v>1073</v>
      </c>
      <c r="D394" s="43"/>
      <c r="E394" s="29" cm="1">
        <f t="array" ref="E394">_xlfn.IFS(C394=":",":",C394&gt;=N$19,1,C394&gt;=N$20,2,C394&gt;=N$21,3,C394&gt;=N$22,4,C394&gt;=N$23,5,C394&gt;=N$24,6,C394&lt;N$24,7)</f>
        <v>3</v>
      </c>
      <c r="F394" s="30"/>
      <c r="G394" s="5"/>
      <c r="H394" s="5"/>
    </row>
    <row r="395" spans="1:8" ht="12" customHeight="1">
      <c r="A395" s="10" t="s">
        <v>1346</v>
      </c>
      <c r="B395" s="112" t="s">
        <v>1347</v>
      </c>
      <c r="C395" s="82">
        <v>278</v>
      </c>
      <c r="D395" s="43"/>
      <c r="E395" s="29" cm="1">
        <f t="array" ref="E395">_xlfn.IFS(C395=":",":",C395&gt;=N$19,1,C395&gt;=N$20,2,C395&gt;=N$21,3,C395&gt;=N$22,4,C395&gt;=N$23,5,C395&gt;=N$24,6,C395&lt;N$24,7)</f>
        <v>4</v>
      </c>
      <c r="F395" s="30"/>
      <c r="G395" s="5"/>
      <c r="H395" s="5"/>
    </row>
    <row r="396" spans="1:8" ht="12" customHeight="1">
      <c r="A396" s="10" t="s">
        <v>1348</v>
      </c>
      <c r="B396" s="112" t="s">
        <v>1349</v>
      </c>
      <c r="C396" s="82">
        <v>666</v>
      </c>
      <c r="D396" s="43"/>
      <c r="E396" s="29" cm="1">
        <f t="array" ref="E396">_xlfn.IFS(C396=":",":",C396&gt;=N$19,1,C396&gt;=N$20,2,C396&gt;=N$21,3,C396&gt;=N$22,4,C396&gt;=N$23,5,C396&gt;=N$24,6,C396&lt;N$24,7)</f>
        <v>3</v>
      </c>
      <c r="F396" s="30"/>
      <c r="G396" s="5"/>
      <c r="H396" s="5"/>
    </row>
    <row r="397" spans="1:8" ht="12" customHeight="1">
      <c r="A397" s="10" t="s">
        <v>1350</v>
      </c>
      <c r="B397" s="112" t="s">
        <v>1351</v>
      </c>
      <c r="C397" s="82">
        <v>441</v>
      </c>
      <c r="D397" s="43"/>
      <c r="E397" s="29" cm="1">
        <f t="array" ref="E397">_xlfn.IFS(C397=":",":",C397&gt;=N$19,1,C397&gt;=N$20,2,C397&gt;=N$21,3,C397&gt;=N$22,4,C397&gt;=N$23,5,C397&gt;=N$24,6,C397&lt;N$24,7)</f>
        <v>4</v>
      </c>
      <c r="F397" s="30"/>
      <c r="G397" s="5"/>
      <c r="H397" s="5"/>
    </row>
    <row r="398" spans="1:8" ht="12" customHeight="1">
      <c r="A398" s="10" t="s">
        <v>1352</v>
      </c>
      <c r="B398" s="112" t="s">
        <v>1353</v>
      </c>
      <c r="C398" s="82">
        <v>1016</v>
      </c>
      <c r="D398" s="43"/>
      <c r="E398" s="29" cm="1">
        <f t="array" ref="E398">_xlfn.IFS(C398=":",":",C398&gt;=N$19,1,C398&gt;=N$20,2,C398&gt;=N$21,3,C398&gt;=N$22,4,C398&gt;=N$23,5,C398&gt;=N$24,6,C398&lt;N$24,7)</f>
        <v>3</v>
      </c>
      <c r="F398" s="30"/>
      <c r="G398" s="5"/>
      <c r="H398" s="5"/>
    </row>
    <row r="399" spans="1:8" ht="12" customHeight="1">
      <c r="A399" s="10" t="s">
        <v>1354</v>
      </c>
      <c r="B399" s="112" t="s">
        <v>1355</v>
      </c>
      <c r="C399" s="82">
        <v>537</v>
      </c>
      <c r="D399" s="43"/>
      <c r="E399" s="29" cm="1">
        <f t="array" ref="E399">_xlfn.IFS(C399=":",":",C399&gt;=N$19,1,C399&gt;=N$20,2,C399&gt;=N$21,3,C399&gt;=N$22,4,C399&gt;=N$23,5,C399&gt;=N$24,6,C399&lt;N$24,7)</f>
        <v>3</v>
      </c>
      <c r="F399" s="30"/>
      <c r="G399" s="5"/>
      <c r="H399" s="5"/>
    </row>
    <row r="400" spans="1:8" ht="12" customHeight="1">
      <c r="A400" s="10" t="s">
        <v>1356</v>
      </c>
      <c r="B400" s="112" t="s">
        <v>1357</v>
      </c>
      <c r="C400" s="82">
        <v>777</v>
      </c>
      <c r="D400" s="43"/>
      <c r="E400" s="29" cm="1">
        <f t="array" ref="E400">_xlfn.IFS(C400=":",":",C400&gt;=N$19,1,C400&gt;=N$20,2,C400&gt;=N$21,3,C400&gt;=N$22,4,C400&gt;=N$23,5,C400&gt;=N$24,6,C400&lt;N$24,7)</f>
        <v>3</v>
      </c>
      <c r="F400" s="30"/>
      <c r="G400" s="5"/>
      <c r="H400" s="5"/>
    </row>
    <row r="401" spans="1:8" ht="12" customHeight="1">
      <c r="A401" s="10" t="s">
        <v>1358</v>
      </c>
      <c r="B401" s="112" t="s">
        <v>1359</v>
      </c>
      <c r="C401" s="82">
        <v>639</v>
      </c>
      <c r="D401" s="43"/>
      <c r="E401" s="29" cm="1">
        <f t="array" ref="E401">_xlfn.IFS(C401=":",":",C401&gt;=N$19,1,C401&gt;=N$20,2,C401&gt;=N$21,3,C401&gt;=N$22,4,C401&gt;=N$23,5,C401&gt;=N$24,6,C401&lt;N$24,7)</f>
        <v>3</v>
      </c>
      <c r="F401" s="30"/>
      <c r="G401" s="5"/>
      <c r="H401" s="5"/>
    </row>
    <row r="402" spans="1:8" ht="12" customHeight="1">
      <c r="A402" s="10" t="s">
        <v>1360</v>
      </c>
      <c r="B402" s="112" t="s">
        <v>1361</v>
      </c>
      <c r="C402" s="82">
        <v>2476</v>
      </c>
      <c r="D402" s="43"/>
      <c r="E402" s="29" cm="1">
        <f t="array" ref="E402">_xlfn.IFS(C402=":",":",C402&gt;=N$19,1,C402&gt;=N$20,2,C402&gt;=N$21,3,C402&gt;=N$22,4,C402&gt;=N$23,5,C402&gt;=N$24,6,C402&lt;N$24,7)</f>
        <v>2</v>
      </c>
      <c r="F402" s="30"/>
      <c r="G402" s="5"/>
      <c r="H402" s="5"/>
    </row>
    <row r="403" spans="1:8" ht="12" customHeight="1">
      <c r="A403" s="10" t="s">
        <v>1362</v>
      </c>
      <c r="B403" s="112" t="s">
        <v>1363</v>
      </c>
      <c r="C403" s="82">
        <v>803</v>
      </c>
      <c r="D403" s="43"/>
      <c r="E403" s="29" cm="1">
        <f t="array" ref="E403">_xlfn.IFS(C403=":",":",C403&gt;=N$19,1,C403&gt;=N$20,2,C403&gt;=N$21,3,C403&gt;=N$22,4,C403&gt;=N$23,5,C403&gt;=N$24,6,C403&lt;N$24,7)</f>
        <v>3</v>
      </c>
      <c r="F403" s="30"/>
      <c r="G403" s="5"/>
      <c r="H403" s="5"/>
    </row>
    <row r="404" spans="1:8" ht="12" customHeight="1">
      <c r="A404" s="10" t="s">
        <v>1364</v>
      </c>
      <c r="B404" s="112" t="s">
        <v>1365</v>
      </c>
      <c r="C404" s="82">
        <v>7481</v>
      </c>
      <c r="D404" s="43"/>
      <c r="E404" s="29" cm="1">
        <f t="array" ref="E404">_xlfn.IFS(C404=":",":",C404&gt;=N$19,1,C404&gt;=N$20,2,C404&gt;=N$21,3,C404&gt;=N$22,4,C404&gt;=N$23,5,C404&gt;=N$24,6,C404&lt;N$24,7)</f>
        <v>1</v>
      </c>
      <c r="F404" s="30"/>
      <c r="G404" s="5"/>
      <c r="H404" s="5"/>
    </row>
    <row r="405" spans="1:8" ht="12" customHeight="1">
      <c r="A405" s="10" t="s">
        <v>1366</v>
      </c>
      <c r="B405" s="112" t="s">
        <v>1367</v>
      </c>
      <c r="C405" s="82">
        <v>1425</v>
      </c>
      <c r="D405" s="43"/>
      <c r="E405" s="29" cm="1">
        <f t="array" ref="E405">_xlfn.IFS(C405=":",":",C405&gt;=N$19,1,C405&gt;=N$20,2,C405&gt;=N$21,3,C405&gt;=N$22,4,C405&gt;=N$23,5,C405&gt;=N$24,6,C405&lt;N$24,7)</f>
        <v>3</v>
      </c>
      <c r="F405" s="30"/>
      <c r="G405" s="5"/>
      <c r="H405" s="5"/>
    </row>
    <row r="406" spans="1:8" ht="12" customHeight="1">
      <c r="A406" s="10" t="s">
        <v>1368</v>
      </c>
      <c r="B406" s="112" t="s">
        <v>1369</v>
      </c>
      <c r="C406" s="82">
        <v>526</v>
      </c>
      <c r="D406" s="43"/>
      <c r="E406" s="29" cm="1">
        <f t="array" ref="E406">_xlfn.IFS(C406=":",":",C406&gt;=N$19,1,C406&gt;=N$20,2,C406&gt;=N$21,3,C406&gt;=N$22,4,C406&gt;=N$23,5,C406&gt;=N$24,6,C406&lt;N$24,7)</f>
        <v>3</v>
      </c>
      <c r="F406" s="30"/>
      <c r="G406" s="5"/>
      <c r="H406" s="5"/>
    </row>
    <row r="407" spans="1:8" ht="12" customHeight="1">
      <c r="A407" s="10" t="s">
        <v>1370</v>
      </c>
      <c r="B407" s="112" t="s">
        <v>1371</v>
      </c>
      <c r="C407" s="82">
        <v>1521</v>
      </c>
      <c r="D407" s="43"/>
      <c r="E407" s="29" cm="1">
        <f t="array" ref="E407">_xlfn.IFS(C407=":",":",C407&gt;=N$19,1,C407&gt;=N$20,2,C407&gt;=N$21,3,C407&gt;=N$22,4,C407&gt;=N$23,5,C407&gt;=N$24,6,C407&lt;N$24,7)</f>
        <v>2</v>
      </c>
      <c r="F407" s="30"/>
      <c r="G407" s="5"/>
      <c r="H407" s="5"/>
    </row>
    <row r="408" spans="1:8" ht="12" customHeight="1">
      <c r="A408" s="10" t="s">
        <v>1372</v>
      </c>
      <c r="B408" s="112" t="s">
        <v>1373</v>
      </c>
      <c r="C408" s="82">
        <v>1173</v>
      </c>
      <c r="D408" s="43"/>
      <c r="E408" s="29" cm="1">
        <f t="array" ref="E408">_xlfn.IFS(C408=":",":",C408&gt;=N$19,1,C408&gt;=N$20,2,C408&gt;=N$21,3,C408&gt;=N$22,4,C408&gt;=N$23,5,C408&gt;=N$24,6,C408&lt;N$24,7)</f>
        <v>3</v>
      </c>
      <c r="F408" s="30"/>
      <c r="G408" s="5"/>
      <c r="H408" s="5"/>
    </row>
    <row r="409" spans="1:8" ht="12" customHeight="1">
      <c r="A409" s="10" t="s">
        <v>1374</v>
      </c>
      <c r="B409" s="112" t="s">
        <v>1375</v>
      </c>
      <c r="C409" s="82">
        <v>2181</v>
      </c>
      <c r="D409" s="43"/>
      <c r="E409" s="29" cm="1">
        <f t="array" ref="E409">_xlfn.IFS(C409=":",":",C409&gt;=N$19,1,C409&gt;=N$20,2,C409&gt;=N$21,3,C409&gt;=N$22,4,C409&gt;=N$23,5,C409&gt;=N$24,6,C409&lt;N$24,7)</f>
        <v>2</v>
      </c>
      <c r="F409" s="30"/>
      <c r="G409" s="5"/>
      <c r="H409" s="5"/>
    </row>
    <row r="410" spans="1:8" ht="12" customHeight="1">
      <c r="A410" s="10" t="s">
        <v>1376</v>
      </c>
      <c r="B410" s="112" t="s">
        <v>1377</v>
      </c>
      <c r="C410" s="82">
        <v>2531</v>
      </c>
      <c r="D410" s="43"/>
      <c r="E410" s="29" cm="1">
        <f t="array" ref="E410">_xlfn.IFS(C410=":",":",C410&gt;=N$19,1,C410&gt;=N$20,2,C410&gt;=N$21,3,C410&gt;=N$22,4,C410&gt;=N$23,5,C410&gt;=N$24,6,C410&lt;N$24,7)</f>
        <v>2</v>
      </c>
      <c r="F410" s="30"/>
      <c r="G410" s="5"/>
      <c r="H410" s="5"/>
    </row>
    <row r="411" spans="1:8" ht="12" customHeight="1">
      <c r="A411" s="10" t="s">
        <v>1378</v>
      </c>
      <c r="B411" s="112" t="s">
        <v>1379</v>
      </c>
      <c r="C411" s="82">
        <v>1408</v>
      </c>
      <c r="D411" s="43"/>
      <c r="E411" s="29" cm="1">
        <f t="array" ref="E411">_xlfn.IFS(C411=":",":",C411&gt;=N$19,1,C411&gt;=N$20,2,C411&gt;=N$21,3,C411&gt;=N$22,4,C411&gt;=N$23,5,C411&gt;=N$24,6,C411&lt;N$24,7)</f>
        <v>3</v>
      </c>
      <c r="F411" s="30"/>
      <c r="G411" s="5"/>
      <c r="H411" s="5"/>
    </row>
    <row r="412" spans="1:8" ht="12" customHeight="1">
      <c r="A412" s="10" t="s">
        <v>1380</v>
      </c>
      <c r="B412" s="112" t="s">
        <v>1381</v>
      </c>
      <c r="C412" s="82">
        <v>4220</v>
      </c>
      <c r="D412" s="43"/>
      <c r="E412" s="29" cm="1">
        <f t="array" ref="E412">_xlfn.IFS(C412=":",":",C412&gt;=N$19,1,C412&gt;=N$20,2,C412&gt;=N$21,3,C412&gt;=N$22,4,C412&gt;=N$23,5,C412&gt;=N$24,6,C412&lt;N$24,7)</f>
        <v>2</v>
      </c>
      <c r="F412" s="30"/>
      <c r="G412" s="5"/>
      <c r="H412" s="5"/>
    </row>
    <row r="413" spans="1:8" ht="12" customHeight="1">
      <c r="A413" s="10" t="s">
        <v>1382</v>
      </c>
      <c r="B413" s="112" t="s">
        <v>1383</v>
      </c>
      <c r="C413" s="82">
        <v>12201</v>
      </c>
      <c r="D413" s="43"/>
      <c r="E413" s="29" cm="1">
        <f t="array" ref="E413">_xlfn.IFS(C413=":",":",C413&gt;=N$19,1,C413&gt;=N$20,2,C413&gt;=N$21,3,C413&gt;=N$22,4,C413&gt;=N$23,5,C413&gt;=N$24,6,C413&lt;N$24,7)</f>
        <v>1</v>
      </c>
      <c r="F413" s="30"/>
      <c r="G413" s="5"/>
      <c r="H413" s="5"/>
    </row>
    <row r="414" spans="1:8" ht="12" customHeight="1">
      <c r="A414" s="10" t="s">
        <v>1384</v>
      </c>
      <c r="B414" s="112" t="s">
        <v>1385</v>
      </c>
      <c r="C414" s="82">
        <v>1598</v>
      </c>
      <c r="D414" s="43"/>
      <c r="E414" s="29" cm="1">
        <f t="array" ref="E414">_xlfn.IFS(C414=":",":",C414&gt;=N$19,1,C414&gt;=N$20,2,C414&gt;=N$21,3,C414&gt;=N$22,4,C414&gt;=N$23,5,C414&gt;=N$24,6,C414&lt;N$24,7)</f>
        <v>2</v>
      </c>
      <c r="F414" s="30"/>
      <c r="G414" s="5"/>
      <c r="H414" s="5"/>
    </row>
    <row r="415" spans="1:8" ht="12" customHeight="1">
      <c r="A415" s="10" t="s">
        <v>1386</v>
      </c>
      <c r="B415" s="112" t="s">
        <v>1387</v>
      </c>
      <c r="C415" s="82">
        <v>1583</v>
      </c>
      <c r="D415" s="43"/>
      <c r="E415" s="29" cm="1">
        <f t="array" ref="E415">_xlfn.IFS(C415=":",":",C415&gt;=N$19,1,C415&gt;=N$20,2,C415&gt;=N$21,3,C415&gt;=N$22,4,C415&gt;=N$23,5,C415&gt;=N$24,6,C415&lt;N$24,7)</f>
        <v>2</v>
      </c>
      <c r="F415" s="30"/>
      <c r="G415" s="5"/>
      <c r="H415" s="5"/>
    </row>
    <row r="416" spans="1:8" ht="12" customHeight="1">
      <c r="A416" s="10" t="s">
        <v>1388</v>
      </c>
      <c r="B416" s="112" t="s">
        <v>1389</v>
      </c>
      <c r="C416" s="82">
        <v>7552</v>
      </c>
      <c r="D416" s="43"/>
      <c r="E416" s="29" cm="1">
        <f t="array" ref="E416">_xlfn.IFS(C416=":",":",C416&gt;=N$19,1,C416&gt;=N$20,2,C416&gt;=N$21,3,C416&gt;=N$22,4,C416&gt;=N$23,5,C416&gt;=N$24,6,C416&lt;N$24,7)</f>
        <v>1</v>
      </c>
      <c r="F416" s="30"/>
      <c r="G416" s="5"/>
      <c r="H416" s="5"/>
    </row>
    <row r="417" spans="1:8" ht="12" customHeight="1">
      <c r="A417" s="10" t="s">
        <v>1390</v>
      </c>
      <c r="B417" s="112" t="s">
        <v>1391</v>
      </c>
      <c r="C417" s="82">
        <v>1460</v>
      </c>
      <c r="D417" s="43"/>
      <c r="E417" s="29" cm="1">
        <f t="array" ref="E417">_xlfn.IFS(C417=":",":",C417&gt;=N$19,1,C417&gt;=N$20,2,C417&gt;=N$21,3,C417&gt;=N$22,4,C417&gt;=N$23,5,C417&gt;=N$24,6,C417&lt;N$24,7)</f>
        <v>3</v>
      </c>
      <c r="F417" s="30"/>
      <c r="G417" s="5"/>
      <c r="H417" s="5"/>
    </row>
    <row r="418" spans="1:8" ht="12" customHeight="1">
      <c r="A418" s="10" t="s">
        <v>1392</v>
      </c>
      <c r="B418" s="112" t="s">
        <v>1393</v>
      </c>
      <c r="C418" s="82">
        <v>673</v>
      </c>
      <c r="D418" s="43"/>
      <c r="E418" s="29" cm="1">
        <f t="array" ref="E418">_xlfn.IFS(C418=":",":",C418&gt;=N$19,1,C418&gt;=N$20,2,C418&gt;=N$21,3,C418&gt;=N$22,4,C418&gt;=N$23,5,C418&gt;=N$24,6,C418&lt;N$24,7)</f>
        <v>3</v>
      </c>
      <c r="F418" s="30"/>
      <c r="G418" s="5"/>
      <c r="H418" s="5"/>
    </row>
    <row r="419" spans="1:8" ht="12" customHeight="1">
      <c r="A419" s="10" t="s">
        <v>1394</v>
      </c>
      <c r="B419" s="112" t="s">
        <v>1395</v>
      </c>
      <c r="C419" s="82">
        <v>256</v>
      </c>
      <c r="D419" s="43"/>
      <c r="E419" s="29" cm="1">
        <f t="array" ref="E419">_xlfn.IFS(C419=":",":",C419&gt;=N$19,1,C419&gt;=N$20,2,C419&gt;=N$21,3,C419&gt;=N$22,4,C419&gt;=N$23,5,C419&gt;=N$24,6,C419&lt;N$24,7)</f>
        <v>4</v>
      </c>
      <c r="F419" s="30"/>
      <c r="G419" s="5"/>
      <c r="H419" s="5"/>
    </row>
    <row r="420" spans="1:8" ht="12" customHeight="1">
      <c r="A420" s="10" t="s">
        <v>1396</v>
      </c>
      <c r="B420" s="112" t="s">
        <v>1397</v>
      </c>
      <c r="C420" s="82">
        <v>1229</v>
      </c>
      <c r="D420" s="43"/>
      <c r="E420" s="29" cm="1">
        <f t="array" ref="E420">_xlfn.IFS(C420=":",":",C420&gt;=N$19,1,C420&gt;=N$20,2,C420&gt;=N$21,3,C420&gt;=N$22,4,C420&gt;=N$23,5,C420&gt;=N$24,6,C420&lt;N$24,7)</f>
        <v>3</v>
      </c>
      <c r="F420" s="30"/>
      <c r="G420" s="5"/>
      <c r="H420" s="5"/>
    </row>
    <row r="421" spans="1:8" ht="12" customHeight="1">
      <c r="A421" s="10" t="s">
        <v>1398</v>
      </c>
      <c r="B421" s="112" t="s">
        <v>1399</v>
      </c>
      <c r="C421" s="82">
        <v>235</v>
      </c>
      <c r="D421" s="43"/>
      <c r="E421" s="29" cm="1">
        <f t="array" ref="E421">_xlfn.IFS(C421=":",":",C421&gt;=N$19,1,C421&gt;=N$20,2,C421&gt;=N$21,3,C421&gt;=N$22,4,C421&gt;=N$23,5,C421&gt;=N$24,6,C421&lt;N$24,7)</f>
        <v>4</v>
      </c>
      <c r="F421" s="30"/>
      <c r="G421" s="5"/>
      <c r="H421" s="5"/>
    </row>
    <row r="422" spans="1:8" ht="12" customHeight="1">
      <c r="A422" s="10" t="s">
        <v>1400</v>
      </c>
      <c r="B422" s="112" t="s">
        <v>1401</v>
      </c>
      <c r="C422" s="82">
        <v>310</v>
      </c>
      <c r="D422" s="43"/>
      <c r="E422" s="29" cm="1">
        <f t="array" ref="E422">_xlfn.IFS(C422=":",":",C422&gt;=N$19,1,C422&gt;=N$20,2,C422&gt;=N$21,3,C422&gt;=N$22,4,C422&gt;=N$23,5,C422&gt;=N$24,6,C422&lt;N$24,7)</f>
        <v>4</v>
      </c>
      <c r="F422" s="30"/>
      <c r="G422" s="5"/>
      <c r="H422" s="5"/>
    </row>
    <row r="423" spans="1:8" ht="12" customHeight="1">
      <c r="A423" s="10" t="s">
        <v>1402</v>
      </c>
      <c r="B423" s="112" t="s">
        <v>1403</v>
      </c>
      <c r="C423" s="82">
        <v>393</v>
      </c>
      <c r="D423" s="43"/>
      <c r="E423" s="29" cm="1">
        <f t="array" ref="E423">_xlfn.IFS(C423=":",":",C423&gt;=N$19,1,C423&gt;=N$20,2,C423&gt;=N$21,3,C423&gt;=N$22,4,C423&gt;=N$23,5,C423&gt;=N$24,6,C423&lt;N$24,7)</f>
        <v>4</v>
      </c>
      <c r="F423" s="30"/>
      <c r="G423" s="5"/>
      <c r="H423" s="5"/>
    </row>
    <row r="424" spans="1:8" ht="12" customHeight="1">
      <c r="A424" s="10" t="s">
        <v>1404</v>
      </c>
      <c r="B424" s="112" t="s">
        <v>1405</v>
      </c>
      <c r="C424" s="82">
        <v>200</v>
      </c>
      <c r="D424" s="43"/>
      <c r="E424" s="29" cm="1">
        <f t="array" ref="E424">_xlfn.IFS(C424=":",":",C424&gt;=N$19,1,C424&gt;=N$20,2,C424&gt;=N$21,3,C424&gt;=N$22,4,C424&gt;=N$23,5,C424&gt;=N$24,6,C424&lt;N$24,7)</f>
        <v>4</v>
      </c>
      <c r="F424" s="30"/>
      <c r="G424" s="5"/>
      <c r="H424" s="5"/>
    </row>
    <row r="425" spans="1:8" ht="12" customHeight="1">
      <c r="A425" s="10" t="s">
        <v>1406</v>
      </c>
      <c r="B425" s="112" t="s">
        <v>1407</v>
      </c>
      <c r="C425" s="82">
        <v>1034</v>
      </c>
      <c r="D425" s="43"/>
      <c r="E425" s="29" cm="1">
        <f t="array" ref="E425">_xlfn.IFS(C425=":",":",C425&gt;=N$19,1,C425&gt;=N$20,2,C425&gt;=N$21,3,C425&gt;=N$22,4,C425&gt;=N$23,5,C425&gt;=N$24,6,C425&lt;N$24,7)</f>
        <v>3</v>
      </c>
      <c r="F425" s="30"/>
      <c r="G425" s="5"/>
      <c r="H425" s="5"/>
    </row>
    <row r="426" spans="1:8" ht="12" customHeight="1">
      <c r="A426" s="10" t="s">
        <v>1408</v>
      </c>
      <c r="B426" s="112" t="s">
        <v>1409</v>
      </c>
      <c r="C426" s="82">
        <v>395</v>
      </c>
      <c r="D426" s="43"/>
      <c r="E426" s="29" cm="1">
        <f t="array" ref="E426">_xlfn.IFS(C426=":",":",C426&gt;=N$19,1,C426&gt;=N$20,2,C426&gt;=N$21,3,C426&gt;=N$22,4,C426&gt;=N$23,5,C426&gt;=N$24,6,C426&lt;N$24,7)</f>
        <v>4</v>
      </c>
      <c r="F426" s="30"/>
      <c r="G426" s="5"/>
      <c r="H426" s="5"/>
    </row>
    <row r="427" spans="1:8" ht="12" customHeight="1">
      <c r="A427" s="10" t="s">
        <v>1410</v>
      </c>
      <c r="B427" s="112" t="s">
        <v>1411</v>
      </c>
      <c r="C427" s="82">
        <v>1058</v>
      </c>
      <c r="D427" s="43"/>
      <c r="E427" s="29" cm="1">
        <f t="array" ref="E427">_xlfn.IFS(C427=":",":",C427&gt;=N$19,1,C427&gt;=N$20,2,C427&gt;=N$21,3,C427&gt;=N$22,4,C427&gt;=N$23,5,C427&gt;=N$24,6,C427&lt;N$24,7)</f>
        <v>3</v>
      </c>
      <c r="F427" s="30"/>
      <c r="G427" s="5"/>
      <c r="H427" s="5"/>
    </row>
    <row r="428" spans="1:8" ht="12" customHeight="1">
      <c r="A428" s="10" t="s">
        <v>1412</v>
      </c>
      <c r="B428" s="112" t="s">
        <v>1413</v>
      </c>
      <c r="C428" s="82">
        <v>403</v>
      </c>
      <c r="D428" s="43"/>
      <c r="E428" s="29" cm="1">
        <f t="array" ref="E428">_xlfn.IFS(C428=":",":",C428&gt;=N$19,1,C428&gt;=N$20,2,C428&gt;=N$21,3,C428&gt;=N$22,4,C428&gt;=N$23,5,C428&gt;=N$24,6,C428&lt;N$24,7)</f>
        <v>4</v>
      </c>
      <c r="F428" s="30"/>
      <c r="G428" s="5"/>
      <c r="H428" s="5"/>
    </row>
    <row r="429" spans="1:8" ht="12" customHeight="1">
      <c r="A429" s="10" t="s">
        <v>1414</v>
      </c>
      <c r="B429" s="112" t="s">
        <v>1415</v>
      </c>
      <c r="C429" s="82">
        <v>1904</v>
      </c>
      <c r="D429" s="43"/>
      <c r="E429" s="29" cm="1">
        <f t="array" ref="E429">_xlfn.IFS(C429=":",":",C429&gt;=N$19,1,C429&gt;=N$20,2,C429&gt;=N$21,3,C429&gt;=N$22,4,C429&gt;=N$23,5,C429&gt;=N$24,6,C429&lt;N$24,7)</f>
        <v>2</v>
      </c>
      <c r="F429" s="30"/>
      <c r="G429" s="5"/>
      <c r="H429" s="5"/>
    </row>
    <row r="430" spans="1:8" ht="12" customHeight="1">
      <c r="A430" s="10" t="s">
        <v>1416</v>
      </c>
      <c r="B430" s="112" t="s">
        <v>1417</v>
      </c>
      <c r="C430" s="82">
        <v>663</v>
      </c>
      <c r="D430" s="43"/>
      <c r="E430" s="29" cm="1">
        <f t="array" ref="E430">_xlfn.IFS(C430=":",":",C430&gt;=N$19,1,C430&gt;=N$20,2,C430&gt;=N$21,3,C430&gt;=N$22,4,C430&gt;=N$23,5,C430&gt;=N$24,6,C430&lt;N$24,7)</f>
        <v>3</v>
      </c>
      <c r="F430" s="30"/>
      <c r="G430" s="5"/>
      <c r="H430" s="5"/>
    </row>
    <row r="431" spans="1:8" ht="12" customHeight="1">
      <c r="A431" s="10" t="s">
        <v>1418</v>
      </c>
      <c r="B431" s="112" t="s">
        <v>1419</v>
      </c>
      <c r="C431" s="82">
        <v>278</v>
      </c>
      <c r="D431" s="43"/>
      <c r="E431" s="29" cm="1">
        <f t="array" ref="E431">_xlfn.IFS(C431=":",":",C431&gt;=N$19,1,C431&gt;=N$20,2,C431&gt;=N$21,3,C431&gt;=N$22,4,C431&gt;=N$23,5,C431&gt;=N$24,6,C431&lt;N$24,7)</f>
        <v>4</v>
      </c>
      <c r="F431" s="30"/>
      <c r="G431" s="5"/>
      <c r="H431" s="5"/>
    </row>
    <row r="432" spans="1:8" ht="12" customHeight="1">
      <c r="A432" s="10" t="s">
        <v>1420</v>
      </c>
      <c r="B432" s="112" t="s">
        <v>1421</v>
      </c>
      <c r="C432" s="82">
        <v>380</v>
      </c>
      <c r="D432" s="43"/>
      <c r="E432" s="29" cm="1">
        <f t="array" ref="E432">_xlfn.IFS(C432=":",":",C432&gt;=N$19,1,C432&gt;=N$20,2,C432&gt;=N$21,3,C432&gt;=N$22,4,C432&gt;=N$23,5,C432&gt;=N$24,6,C432&lt;N$24,7)</f>
        <v>4</v>
      </c>
      <c r="F432" s="30"/>
      <c r="G432" s="5"/>
      <c r="H432" s="5"/>
    </row>
    <row r="433" spans="1:8" ht="12" customHeight="1">
      <c r="A433" s="10" t="s">
        <v>1422</v>
      </c>
      <c r="B433" s="112" t="s">
        <v>1423</v>
      </c>
      <c r="C433" s="82">
        <v>529</v>
      </c>
      <c r="D433" s="43"/>
      <c r="E433" s="29" cm="1">
        <f t="array" ref="E433">_xlfn.IFS(C433=":",":",C433&gt;=N$19,1,C433&gt;=N$20,2,C433&gt;=N$21,3,C433&gt;=N$22,4,C433&gt;=N$23,5,C433&gt;=N$24,6,C433&lt;N$24,7)</f>
        <v>3</v>
      </c>
      <c r="F433" s="30"/>
      <c r="G433" s="5"/>
      <c r="H433" s="5"/>
    </row>
    <row r="434" spans="1:8" ht="12" customHeight="1">
      <c r="A434" s="10" t="s">
        <v>1424</v>
      </c>
      <c r="B434" s="112" t="s">
        <v>1425</v>
      </c>
      <c r="C434" s="82">
        <v>1636</v>
      </c>
      <c r="D434" s="43"/>
      <c r="E434" s="29" cm="1">
        <f t="array" ref="E434">_xlfn.IFS(C434=":",":",C434&gt;=N$19,1,C434&gt;=N$20,2,C434&gt;=N$21,3,C434&gt;=N$22,4,C434&gt;=N$23,5,C434&gt;=N$24,6,C434&lt;N$24,7)</f>
        <v>2</v>
      </c>
      <c r="F434" s="30"/>
      <c r="G434" s="5"/>
      <c r="H434" s="5"/>
    </row>
    <row r="435" spans="1:8" ht="12" customHeight="1">
      <c r="A435" s="10" t="s">
        <v>1426</v>
      </c>
      <c r="B435" s="112" t="s">
        <v>1427</v>
      </c>
      <c r="C435" s="82">
        <v>14219</v>
      </c>
      <c r="D435" s="43"/>
      <c r="E435" s="29" cm="1">
        <f t="array" ref="E435">_xlfn.IFS(C435=":",":",C435&gt;=N$19,1,C435&gt;=N$20,2,C435&gt;=N$21,3,C435&gt;=N$22,4,C435&gt;=N$23,5,C435&gt;=N$24,6,C435&lt;N$24,7)</f>
        <v>1</v>
      </c>
      <c r="F435" s="30"/>
      <c r="G435" s="5"/>
      <c r="H435" s="5"/>
    </row>
    <row r="436" spans="1:8" ht="12" customHeight="1">
      <c r="A436" s="10" t="s">
        <v>1428</v>
      </c>
      <c r="B436" s="112" t="s">
        <v>1429</v>
      </c>
      <c r="C436" s="82">
        <v>280</v>
      </c>
      <c r="D436" s="43"/>
      <c r="E436" s="29" cm="1">
        <f t="array" ref="E436">_xlfn.IFS(C436=":",":",C436&gt;=N$19,1,C436&gt;=N$20,2,C436&gt;=N$21,3,C436&gt;=N$22,4,C436&gt;=N$23,5,C436&gt;=N$24,6,C436&lt;N$24,7)</f>
        <v>4</v>
      </c>
      <c r="F436" s="30"/>
      <c r="G436" s="5"/>
      <c r="H436" s="5"/>
    </row>
    <row r="437" spans="1:8" ht="12" customHeight="1">
      <c r="A437" s="10" t="s">
        <v>1430</v>
      </c>
      <c r="B437" s="112" t="s">
        <v>1431</v>
      </c>
      <c r="C437" s="82">
        <v>578</v>
      </c>
      <c r="D437" s="43"/>
      <c r="E437" s="29" cm="1">
        <f t="array" ref="E437">_xlfn.IFS(C437=":",":",C437&gt;=N$19,1,C437&gt;=N$20,2,C437&gt;=N$21,3,C437&gt;=N$22,4,C437&gt;=N$23,5,C437&gt;=N$24,6,C437&lt;N$24,7)</f>
        <v>3</v>
      </c>
      <c r="F437" s="30"/>
      <c r="G437" s="5"/>
      <c r="H437" s="5"/>
    </row>
    <row r="438" spans="1:8" ht="12" customHeight="1">
      <c r="A438" s="10" t="s">
        <v>1432</v>
      </c>
      <c r="B438" s="112" t="s">
        <v>1433</v>
      </c>
      <c r="C438" s="82">
        <v>455</v>
      </c>
      <c r="D438" s="43"/>
      <c r="E438" s="29" cm="1">
        <f t="array" ref="E438">_xlfn.IFS(C438=":",":",C438&gt;=N$19,1,C438&gt;=N$20,2,C438&gt;=N$21,3,C438&gt;=N$22,4,C438&gt;=N$23,5,C438&gt;=N$24,6,C438&lt;N$24,7)</f>
        <v>4</v>
      </c>
      <c r="F438" s="30"/>
      <c r="G438" s="5"/>
      <c r="H438" s="5"/>
    </row>
    <row r="439" spans="1:8" ht="12" customHeight="1">
      <c r="A439" s="10" t="s">
        <v>1434</v>
      </c>
      <c r="B439" s="112" t="s">
        <v>1435</v>
      </c>
      <c r="C439" s="82">
        <v>1123</v>
      </c>
      <c r="D439" s="43"/>
      <c r="E439" s="29" cm="1">
        <f t="array" ref="E439">_xlfn.IFS(C439=":",":",C439&gt;=N$19,1,C439&gt;=N$20,2,C439&gt;=N$21,3,C439&gt;=N$22,4,C439&gt;=N$23,5,C439&gt;=N$24,6,C439&lt;N$24,7)</f>
        <v>3</v>
      </c>
      <c r="F439" s="30"/>
      <c r="G439" s="5"/>
      <c r="H439" s="5"/>
    </row>
    <row r="440" spans="1:8" ht="12" customHeight="1">
      <c r="A440" s="10" t="s">
        <v>1436</v>
      </c>
      <c r="B440" s="112" t="s">
        <v>1437</v>
      </c>
      <c r="C440" s="82">
        <v>2026</v>
      </c>
      <c r="D440" s="43"/>
      <c r="E440" s="29" cm="1">
        <f t="array" ref="E440">_xlfn.IFS(C440=":",":",C440&gt;=N$19,1,C440&gt;=N$20,2,C440&gt;=N$21,3,C440&gt;=N$22,4,C440&gt;=N$23,5,C440&gt;=N$24,6,C440&lt;N$24,7)</f>
        <v>2</v>
      </c>
      <c r="F440" s="30"/>
      <c r="G440" s="5"/>
      <c r="H440" s="5"/>
    </row>
    <row r="441" spans="1:8" ht="12" customHeight="1">
      <c r="A441" s="10" t="s">
        <v>1438</v>
      </c>
      <c r="B441" s="112" t="s">
        <v>1439</v>
      </c>
      <c r="C441" s="82">
        <v>805</v>
      </c>
      <c r="D441" s="43"/>
      <c r="E441" s="29" cm="1">
        <f t="array" ref="E441">_xlfn.IFS(C441=":",":",C441&gt;=N$19,1,C441&gt;=N$20,2,C441&gt;=N$21,3,C441&gt;=N$22,4,C441&gt;=N$23,5,C441&gt;=N$24,6,C441&lt;N$24,7)</f>
        <v>3</v>
      </c>
      <c r="F441" s="30"/>
      <c r="G441" s="5"/>
      <c r="H441" s="5"/>
    </row>
    <row r="442" spans="1:8" ht="12" customHeight="1">
      <c r="A442" s="10" t="s">
        <v>1440</v>
      </c>
      <c r="B442" s="112" t="s">
        <v>1441</v>
      </c>
      <c r="C442" s="82">
        <v>251</v>
      </c>
      <c r="D442" s="43"/>
      <c r="E442" s="29" cm="1">
        <f t="array" ref="E442">_xlfn.IFS(C442=":",":",C442&gt;=N$19,1,C442&gt;=N$20,2,C442&gt;=N$21,3,C442&gt;=N$22,4,C442&gt;=N$23,5,C442&gt;=N$24,6,C442&lt;N$24,7)</f>
        <v>4</v>
      </c>
      <c r="F442" s="30"/>
      <c r="G442" s="5"/>
      <c r="H442" s="5"/>
    </row>
    <row r="443" spans="1:8" ht="12" customHeight="1">
      <c r="A443" s="10" t="s">
        <v>1442</v>
      </c>
      <c r="B443" s="112" t="s">
        <v>1443</v>
      </c>
      <c r="C443" s="82">
        <v>598</v>
      </c>
      <c r="D443" s="43"/>
      <c r="E443" s="29" cm="1">
        <f t="array" ref="E443">_xlfn.IFS(C443=":",":",C443&gt;=N$19,1,C443&gt;=N$20,2,C443&gt;=N$21,3,C443&gt;=N$22,4,C443&gt;=N$23,5,C443&gt;=N$24,6,C443&lt;N$24,7)</f>
        <v>3</v>
      </c>
      <c r="F443" s="30"/>
      <c r="G443" s="5"/>
      <c r="H443" s="5"/>
    </row>
    <row r="444" spans="1:8" ht="12" customHeight="1">
      <c r="A444" s="10" t="s">
        <v>1444</v>
      </c>
      <c r="B444" s="112" t="s">
        <v>1445</v>
      </c>
      <c r="C444" s="82">
        <v>513</v>
      </c>
      <c r="D444" s="43"/>
      <c r="E444" s="29" cm="1">
        <f t="array" ref="E444">_xlfn.IFS(C444=":",":",C444&gt;=N$19,1,C444&gt;=N$20,2,C444&gt;=N$21,3,C444&gt;=N$22,4,C444&gt;=N$23,5,C444&gt;=N$24,6,C444&lt;N$24,7)</f>
        <v>3</v>
      </c>
      <c r="F444" s="30"/>
      <c r="G444" s="5"/>
      <c r="H444" s="5"/>
    </row>
    <row r="445" spans="1:8" ht="12" customHeight="1">
      <c r="A445" s="10" t="s">
        <v>1446</v>
      </c>
      <c r="B445" s="112" t="s">
        <v>1447</v>
      </c>
      <c r="C445" s="82">
        <v>13034</v>
      </c>
      <c r="D445" s="43"/>
      <c r="E445" s="29" cm="1">
        <f t="array" ref="E445">_xlfn.IFS(C445=":",":",C445&gt;=N$19,1,C445&gt;=N$20,2,C445&gt;=N$21,3,C445&gt;=N$22,4,C445&gt;=N$23,5,C445&gt;=N$24,6,C445&lt;N$24,7)</f>
        <v>1</v>
      </c>
      <c r="F445" s="30"/>
      <c r="G445" s="5"/>
      <c r="H445" s="5"/>
    </row>
    <row r="446" spans="1:8" ht="12" customHeight="1">
      <c r="A446" s="10" t="s">
        <v>1448</v>
      </c>
      <c r="B446" s="112" t="s">
        <v>153</v>
      </c>
      <c r="C446" s="82">
        <v>315</v>
      </c>
      <c r="D446" s="43"/>
      <c r="E446" s="29" cm="1">
        <f t="array" ref="E446">_xlfn.IFS(C446=":",":",C446&gt;=N$19,1,C446&gt;=N$20,2,C446&gt;=N$21,3,C446&gt;=N$22,4,C446&gt;=N$23,5,C446&gt;=N$24,6,C446&lt;N$24,7)</f>
        <v>4</v>
      </c>
      <c r="F446" s="30"/>
      <c r="G446" s="5"/>
      <c r="H446" s="5"/>
    </row>
    <row r="447" spans="1:8" ht="12" customHeight="1">
      <c r="A447" s="10" t="s">
        <v>1449</v>
      </c>
      <c r="B447" s="112" t="s">
        <v>1450</v>
      </c>
      <c r="C447" s="82">
        <v>291</v>
      </c>
      <c r="D447" s="43"/>
      <c r="E447" s="29" cm="1">
        <f t="array" ref="E447">_xlfn.IFS(C447=":",":",C447&gt;=N$19,1,C447&gt;=N$20,2,C447&gt;=N$21,3,C447&gt;=N$22,4,C447&gt;=N$23,5,C447&gt;=N$24,6,C447&lt;N$24,7)</f>
        <v>4</v>
      </c>
      <c r="F447" s="30"/>
      <c r="G447" s="5"/>
      <c r="H447" s="5"/>
    </row>
    <row r="448" spans="1:8" ht="12" customHeight="1">
      <c r="A448" s="10" t="s">
        <v>1451</v>
      </c>
      <c r="B448" s="112" t="s">
        <v>1452</v>
      </c>
      <c r="C448" s="82">
        <v>962</v>
      </c>
      <c r="D448" s="43"/>
      <c r="E448" s="29" cm="1">
        <f t="array" ref="E448">_xlfn.IFS(C448=":",":",C448&gt;=N$19,1,C448&gt;=N$20,2,C448&gt;=N$21,3,C448&gt;=N$22,4,C448&gt;=N$23,5,C448&gt;=N$24,6,C448&lt;N$24,7)</f>
        <v>3</v>
      </c>
      <c r="F448" s="30"/>
      <c r="G448" s="5"/>
      <c r="H448" s="5"/>
    </row>
    <row r="449" spans="1:8" ht="12" customHeight="1">
      <c r="A449" s="10" t="s">
        <v>1453</v>
      </c>
      <c r="B449" s="112" t="s">
        <v>1454</v>
      </c>
      <c r="C449" s="82">
        <v>3198</v>
      </c>
      <c r="D449" s="43"/>
      <c r="E449" s="29" cm="1">
        <f t="array" ref="E449">_xlfn.IFS(C449=":",":",C449&gt;=N$19,1,C449&gt;=N$20,2,C449&gt;=N$21,3,C449&gt;=N$22,4,C449&gt;=N$23,5,C449&gt;=N$24,6,C449&lt;N$24,7)</f>
        <v>2</v>
      </c>
      <c r="F449" s="30"/>
      <c r="G449" s="5"/>
      <c r="H449" s="5"/>
    </row>
    <row r="450" spans="1:8" ht="12" customHeight="1">
      <c r="A450" s="10" t="s">
        <v>1455</v>
      </c>
      <c r="B450" s="112" t="s">
        <v>1456</v>
      </c>
      <c r="C450" s="82">
        <v>3999</v>
      </c>
      <c r="D450" s="43"/>
      <c r="E450" s="29" cm="1">
        <f t="array" ref="E450">_xlfn.IFS(C450=":",":",C450&gt;=N$19,1,C450&gt;=N$20,2,C450&gt;=N$21,3,C450&gt;=N$22,4,C450&gt;=N$23,5,C450&gt;=N$24,6,C450&lt;N$24,7)</f>
        <v>2</v>
      </c>
      <c r="F450" s="30"/>
      <c r="G450" s="5"/>
      <c r="H450" s="5"/>
    </row>
    <row r="451" spans="1:8" ht="12" customHeight="1">
      <c r="A451" s="10" t="s">
        <v>1457</v>
      </c>
      <c r="B451" s="112" t="s">
        <v>1458</v>
      </c>
      <c r="C451" s="82">
        <v>95</v>
      </c>
      <c r="D451" s="43"/>
      <c r="E451" s="29" cm="1">
        <f t="array" ref="E451">_xlfn.IFS(C451=":",":",C451&gt;=N$19,1,C451&gt;=N$20,2,C451&gt;=N$21,3,C451&gt;=N$22,4,C451&gt;=N$23,5,C451&gt;=N$24,6,C451&lt;N$24,7)</f>
        <v>5</v>
      </c>
      <c r="F451" s="30"/>
      <c r="G451" s="5"/>
      <c r="H451" s="5"/>
    </row>
    <row r="452" spans="1:8" ht="12" customHeight="1">
      <c r="A452" s="10" t="s">
        <v>1459</v>
      </c>
      <c r="B452" s="112" t="s">
        <v>1460</v>
      </c>
      <c r="C452" s="82">
        <v>209</v>
      </c>
      <c r="D452" s="43"/>
      <c r="E452" s="29" cm="1">
        <f t="array" ref="E452">_xlfn.IFS(C452=":",":",C452&gt;=N$19,1,C452&gt;=N$20,2,C452&gt;=N$21,3,C452&gt;=N$22,4,C452&gt;=N$23,5,C452&gt;=N$24,6,C452&lt;N$24,7)</f>
        <v>4</v>
      </c>
      <c r="F452" s="30"/>
      <c r="G452" s="5"/>
      <c r="H452" s="5"/>
    </row>
    <row r="453" spans="1:8" ht="12" customHeight="1">
      <c r="A453" s="10" t="s">
        <v>1461</v>
      </c>
      <c r="B453" s="112" t="s">
        <v>1462</v>
      </c>
      <c r="C453" s="82">
        <v>101</v>
      </c>
      <c r="D453" s="43"/>
      <c r="E453" s="29" cm="1">
        <f t="array" ref="E453">_xlfn.IFS(C453=":",":",C453&gt;=N$19,1,C453&gt;=N$20,2,C453&gt;=N$21,3,C453&gt;=N$22,4,C453&gt;=N$23,5,C453&gt;=N$24,6,C453&lt;N$24,7)</f>
        <v>5</v>
      </c>
      <c r="F453" s="30"/>
      <c r="G453" s="5"/>
      <c r="H453" s="5"/>
    </row>
    <row r="454" spans="1:8" ht="12" customHeight="1">
      <c r="A454" s="10" t="s">
        <v>1463</v>
      </c>
      <c r="B454" s="112" t="s">
        <v>1464</v>
      </c>
      <c r="C454" s="82">
        <v>136</v>
      </c>
      <c r="D454" s="43"/>
      <c r="E454" s="29" cm="1">
        <f t="array" ref="E454">_xlfn.IFS(C454=":",":",C454&gt;=N$19,1,C454&gt;=N$20,2,C454&gt;=N$21,3,C454&gt;=N$22,4,C454&gt;=N$23,5,C454&gt;=N$24,6,C454&lt;N$24,7)</f>
        <v>5</v>
      </c>
      <c r="F454" s="30"/>
      <c r="G454" s="5"/>
      <c r="H454" s="5"/>
    </row>
    <row r="455" spans="1:8" ht="12" customHeight="1">
      <c r="A455" s="10" t="s">
        <v>1465</v>
      </c>
      <c r="B455" s="112" t="s">
        <v>2869</v>
      </c>
      <c r="C455" s="82">
        <v>361</v>
      </c>
      <c r="D455" s="43"/>
      <c r="E455" s="29" cm="1">
        <f t="array" ref="E455">_xlfn.IFS(C455=":",":",C455&gt;=N$19,1,C455&gt;=N$20,2,C455&gt;=N$21,3,C455&gt;=N$22,4,C455&gt;=N$23,5,C455&gt;=N$24,6,C455&lt;N$24,7)</f>
        <v>4</v>
      </c>
      <c r="F455" s="30"/>
      <c r="G455" s="5"/>
      <c r="H455" s="5"/>
    </row>
    <row r="456" spans="1:8" ht="12" customHeight="1">
      <c r="A456" s="10" t="s">
        <v>1466</v>
      </c>
      <c r="B456" s="112" t="s">
        <v>1467</v>
      </c>
      <c r="C456" s="82">
        <v>1175</v>
      </c>
      <c r="D456" s="43"/>
      <c r="E456" s="29" cm="1">
        <f t="array" ref="E456">_xlfn.IFS(C456=":",":",C456&gt;=N$19,1,C456&gt;=N$20,2,C456&gt;=N$21,3,C456&gt;=N$22,4,C456&gt;=N$23,5,C456&gt;=N$24,6,C456&lt;N$24,7)</f>
        <v>3</v>
      </c>
      <c r="F456" s="30"/>
      <c r="G456" s="5"/>
      <c r="H456" s="5"/>
    </row>
    <row r="457" spans="1:8" ht="12" customHeight="1">
      <c r="A457" s="10" t="s">
        <v>1468</v>
      </c>
      <c r="B457" s="112" t="s">
        <v>1469</v>
      </c>
      <c r="C457" s="82">
        <v>235</v>
      </c>
      <c r="D457" s="43"/>
      <c r="E457" s="29" cm="1">
        <f t="array" ref="E457">_xlfn.IFS(C457=":",":",C457&gt;=N$19,1,C457&gt;=N$20,2,C457&gt;=N$21,3,C457&gt;=N$22,4,C457&gt;=N$23,5,C457&gt;=N$24,6,C457&lt;N$24,7)</f>
        <v>4</v>
      </c>
      <c r="F457" s="30"/>
      <c r="G457" s="5"/>
      <c r="H457" s="5"/>
    </row>
    <row r="458" spans="1:8" ht="12" customHeight="1">
      <c r="A458" s="10" t="s">
        <v>1470</v>
      </c>
      <c r="B458" s="112" t="s">
        <v>1471</v>
      </c>
      <c r="C458" s="82">
        <v>304</v>
      </c>
      <c r="D458" s="43"/>
      <c r="E458" s="29" cm="1">
        <f t="array" ref="E458">_xlfn.IFS(C458=":",":",C458&gt;=N$19,1,C458&gt;=N$20,2,C458&gt;=N$21,3,C458&gt;=N$22,4,C458&gt;=N$23,5,C458&gt;=N$24,6,C458&lt;N$24,7)</f>
        <v>4</v>
      </c>
      <c r="F458" s="30"/>
      <c r="G458" s="5"/>
      <c r="H458" s="5"/>
    </row>
    <row r="459" spans="1:8" ht="12" customHeight="1">
      <c r="A459" s="10" t="s">
        <v>1472</v>
      </c>
      <c r="B459" s="112" t="s">
        <v>1473</v>
      </c>
      <c r="C459" s="82">
        <v>221</v>
      </c>
      <c r="D459" s="43"/>
      <c r="E459" s="29" cm="1">
        <f t="array" ref="E459">_xlfn.IFS(C459=":",":",C459&gt;=N$19,1,C459&gt;=N$20,2,C459&gt;=N$21,3,C459&gt;=N$22,4,C459&gt;=N$23,5,C459&gt;=N$24,6,C459&lt;N$24,7)</f>
        <v>4</v>
      </c>
      <c r="F459" s="30"/>
      <c r="G459" s="5"/>
      <c r="H459" s="5"/>
    </row>
    <row r="460" spans="1:8" ht="12" customHeight="1">
      <c r="A460" s="10" t="s">
        <v>1474</v>
      </c>
      <c r="B460" s="112" t="s">
        <v>1475</v>
      </c>
      <c r="C460" s="82">
        <v>139</v>
      </c>
      <c r="D460" s="43"/>
      <c r="E460" s="29" cm="1">
        <f t="array" ref="E460">_xlfn.IFS(C460=":",":",C460&gt;=N$19,1,C460&gt;=N$20,2,C460&gt;=N$21,3,C460&gt;=N$22,4,C460&gt;=N$23,5,C460&gt;=N$24,6,C460&lt;N$24,7)</f>
        <v>5</v>
      </c>
      <c r="F460" s="30"/>
      <c r="G460" s="5"/>
      <c r="H460" s="5"/>
    </row>
    <row r="461" spans="1:8" ht="12" customHeight="1">
      <c r="A461" s="10" t="s">
        <v>1476</v>
      </c>
      <c r="B461" s="112" t="s">
        <v>1477</v>
      </c>
      <c r="C461" s="82">
        <v>242</v>
      </c>
      <c r="D461" s="43"/>
      <c r="E461" s="29" cm="1">
        <f t="array" ref="E461">_xlfn.IFS(C461=":",":",C461&gt;=N$19,1,C461&gt;=N$20,2,C461&gt;=N$21,3,C461&gt;=N$22,4,C461&gt;=N$23,5,C461&gt;=N$24,6,C461&lt;N$24,7)</f>
        <v>4</v>
      </c>
      <c r="F461" s="30"/>
      <c r="G461" s="5"/>
      <c r="H461" s="5"/>
    </row>
    <row r="462" spans="1:8" ht="12" customHeight="1">
      <c r="A462" s="10" t="s">
        <v>1478</v>
      </c>
      <c r="B462" s="112" t="s">
        <v>1479</v>
      </c>
      <c r="C462" s="82">
        <v>6687</v>
      </c>
      <c r="D462" s="43"/>
      <c r="E462" s="29" cm="1">
        <f t="array" ref="E462">_xlfn.IFS(C462=":",":",C462&gt;=N$19,1,C462&gt;=N$20,2,C462&gt;=N$21,3,C462&gt;=N$22,4,C462&gt;=N$23,5,C462&gt;=N$24,6,C462&lt;N$24,7)</f>
        <v>1</v>
      </c>
      <c r="F462" s="30"/>
      <c r="G462" s="5"/>
      <c r="H462" s="5"/>
    </row>
    <row r="463" spans="1:8" ht="12" customHeight="1">
      <c r="A463" s="10" t="s">
        <v>1480</v>
      </c>
      <c r="B463" s="112" t="s">
        <v>1481</v>
      </c>
      <c r="C463" s="82">
        <v>9475</v>
      </c>
      <c r="D463" s="43"/>
      <c r="E463" s="29" cm="1">
        <f t="array" ref="E463">_xlfn.IFS(C463=":",":",C463&gt;=N$19,1,C463&gt;=N$20,2,C463&gt;=N$21,3,C463&gt;=N$22,4,C463&gt;=N$23,5,C463&gt;=N$24,6,C463&lt;N$24,7)</f>
        <v>1</v>
      </c>
      <c r="F463" s="30"/>
      <c r="G463" s="5"/>
      <c r="H463" s="5"/>
    </row>
    <row r="464" spans="1:8" ht="12" customHeight="1">
      <c r="A464" s="10" t="s">
        <v>1482</v>
      </c>
      <c r="B464" s="112" t="s">
        <v>1483</v>
      </c>
      <c r="C464" s="82">
        <v>12497</v>
      </c>
      <c r="D464" s="43"/>
      <c r="E464" s="29" cm="1">
        <f t="array" ref="E464">_xlfn.IFS(C464=":",":",C464&gt;=N$19,1,C464&gt;=N$20,2,C464&gt;=N$21,3,C464&gt;=N$22,4,C464&gt;=N$23,5,C464&gt;=N$24,6,C464&lt;N$24,7)</f>
        <v>1</v>
      </c>
      <c r="F464" s="30"/>
      <c r="G464" s="5"/>
      <c r="H464" s="5"/>
    </row>
    <row r="465" spans="1:8" ht="12" customHeight="1">
      <c r="A465" s="10" t="s">
        <v>1484</v>
      </c>
      <c r="B465" s="112" t="s">
        <v>1485</v>
      </c>
      <c r="C465" s="82">
        <v>2923</v>
      </c>
      <c r="D465" s="43"/>
      <c r="E465" s="29" cm="1">
        <f t="array" ref="E465">_xlfn.IFS(C465=":",":",C465&gt;=N$19,1,C465&gt;=N$20,2,C465&gt;=N$21,3,C465&gt;=N$22,4,C465&gt;=N$23,5,C465&gt;=N$24,6,C465&lt;N$24,7)</f>
        <v>2</v>
      </c>
      <c r="F465" s="30"/>
      <c r="G465" s="5"/>
      <c r="H465" s="5"/>
    </row>
    <row r="466" spans="1:8" ht="12" customHeight="1">
      <c r="A466" s="10" t="s">
        <v>1486</v>
      </c>
      <c r="B466" s="112" t="s">
        <v>1487</v>
      </c>
      <c r="C466" s="82">
        <v>1439</v>
      </c>
      <c r="D466" s="43"/>
      <c r="E466" s="29" cm="1">
        <f t="array" ref="E466">_xlfn.IFS(C466=":",":",C466&gt;=N$19,1,C466&gt;=N$20,2,C466&gt;=N$21,3,C466&gt;=N$22,4,C466&gt;=N$23,5,C466&gt;=N$24,6,C466&lt;N$24,7)</f>
        <v>3</v>
      </c>
      <c r="F466" s="30"/>
      <c r="G466" s="5"/>
      <c r="H466" s="5"/>
    </row>
    <row r="467" spans="1:8" ht="12" customHeight="1">
      <c r="A467" s="10" t="s">
        <v>1488</v>
      </c>
      <c r="B467" s="112" t="s">
        <v>1489</v>
      </c>
      <c r="C467" s="82">
        <v>477</v>
      </c>
      <c r="D467" s="43"/>
      <c r="E467" s="29" cm="1">
        <f t="array" ref="E467">_xlfn.IFS(C467=":",":",C467&gt;=N$19,1,C467&gt;=N$20,2,C467&gt;=N$21,3,C467&gt;=N$22,4,C467&gt;=N$23,5,C467&gt;=N$24,6,C467&lt;N$24,7)</f>
        <v>4</v>
      </c>
      <c r="F467" s="30"/>
      <c r="G467" s="5"/>
      <c r="H467" s="5"/>
    </row>
    <row r="468" spans="1:8" ht="12" customHeight="1">
      <c r="A468" s="10" t="s">
        <v>1490</v>
      </c>
      <c r="B468" s="112" t="s">
        <v>1491</v>
      </c>
      <c r="C468" s="82">
        <v>4730</v>
      </c>
      <c r="D468" s="43"/>
      <c r="E468" s="29" cm="1">
        <f t="array" ref="E468">_xlfn.IFS(C468=":",":",C468&gt;=N$19,1,C468&gt;=N$20,2,C468&gt;=N$21,3,C468&gt;=N$22,4,C468&gt;=N$23,5,C468&gt;=N$24,6,C468&lt;N$24,7)</f>
        <v>2</v>
      </c>
      <c r="F468" s="30"/>
      <c r="G468" s="5"/>
      <c r="H468" s="5"/>
    </row>
    <row r="469" spans="1:8" ht="12" customHeight="1">
      <c r="A469" s="10" t="s">
        <v>1492</v>
      </c>
      <c r="B469" s="112" t="s">
        <v>1493</v>
      </c>
      <c r="C469" s="82">
        <v>7799</v>
      </c>
      <c r="D469" s="43"/>
      <c r="E469" s="29" cm="1">
        <f t="array" ref="E469">_xlfn.IFS(C469=":",":",C469&gt;=N$19,1,C469&gt;=N$20,2,C469&gt;=N$21,3,C469&gt;=N$22,4,C469&gt;=N$23,5,C469&gt;=N$24,6,C469&lt;N$24,7)</f>
        <v>1</v>
      </c>
      <c r="F469" s="30"/>
      <c r="G469" s="5"/>
      <c r="H469" s="5"/>
    </row>
    <row r="470" spans="1:8" ht="12" customHeight="1">
      <c r="A470" s="10" t="s">
        <v>1494</v>
      </c>
      <c r="B470" s="112" t="s">
        <v>1495</v>
      </c>
      <c r="C470" s="82">
        <v>1206</v>
      </c>
      <c r="D470" s="43"/>
      <c r="E470" s="29" cm="1">
        <f t="array" ref="E470">_xlfn.IFS(C470=":",":",C470&gt;=N$19,1,C470&gt;=N$20,2,C470&gt;=N$21,3,C470&gt;=N$22,4,C470&gt;=N$23,5,C470&gt;=N$24,6,C470&lt;N$24,7)</f>
        <v>3</v>
      </c>
      <c r="F470" s="30"/>
      <c r="G470" s="5"/>
      <c r="H470" s="5"/>
    </row>
    <row r="471" spans="1:8" ht="12" customHeight="1">
      <c r="A471" s="10" t="s">
        <v>1496</v>
      </c>
      <c r="B471" s="112" t="s">
        <v>1497</v>
      </c>
      <c r="C471" s="82">
        <v>1691</v>
      </c>
      <c r="D471" s="43"/>
      <c r="E471" s="29" cm="1">
        <f t="array" ref="E471">_xlfn.IFS(C471=":",":",C471&gt;=N$19,1,C471&gt;=N$20,2,C471&gt;=N$21,3,C471&gt;=N$22,4,C471&gt;=N$23,5,C471&gt;=N$24,6,C471&lt;N$24,7)</f>
        <v>2</v>
      </c>
      <c r="F471" s="30"/>
      <c r="G471" s="5"/>
      <c r="H471" s="5"/>
    </row>
    <row r="472" spans="1:8" ht="12" customHeight="1">
      <c r="A472" s="10" t="s">
        <v>1498</v>
      </c>
      <c r="B472" s="112" t="s">
        <v>1499</v>
      </c>
      <c r="C472" s="82">
        <v>868</v>
      </c>
      <c r="D472" s="43"/>
      <c r="E472" s="29" cm="1">
        <f t="array" ref="E472">_xlfn.IFS(C472=":",":",C472&gt;=N$19,1,C472&gt;=N$20,2,C472&gt;=N$21,3,C472&gt;=N$22,4,C472&gt;=N$23,5,C472&gt;=N$24,6,C472&lt;N$24,7)</f>
        <v>3</v>
      </c>
      <c r="F472" s="30"/>
      <c r="G472" s="5"/>
      <c r="H472" s="5"/>
    </row>
    <row r="473" spans="1:8" ht="12" customHeight="1">
      <c r="A473" s="10" t="s">
        <v>1500</v>
      </c>
      <c r="B473" s="112" t="s">
        <v>1501</v>
      </c>
      <c r="C473" s="82">
        <v>1057</v>
      </c>
      <c r="D473" s="43"/>
      <c r="E473" s="29" cm="1">
        <f t="array" ref="E473">_xlfn.IFS(C473=":",":",C473&gt;=N$19,1,C473&gt;=N$20,2,C473&gt;=N$21,3,C473&gt;=N$22,4,C473&gt;=N$23,5,C473&gt;=N$24,6,C473&lt;N$24,7)</f>
        <v>3</v>
      </c>
      <c r="F473" s="30"/>
      <c r="G473" s="5"/>
      <c r="H473" s="5"/>
    </row>
    <row r="474" spans="1:8" ht="12" customHeight="1">
      <c r="A474" s="10" t="s">
        <v>1502</v>
      </c>
      <c r="B474" s="112" t="s">
        <v>1503</v>
      </c>
      <c r="C474" s="82">
        <v>416</v>
      </c>
      <c r="D474" s="43"/>
      <c r="E474" s="29" cm="1">
        <f t="array" ref="E474">_xlfn.IFS(C474=":",":",C474&gt;=N$19,1,C474&gt;=N$20,2,C474&gt;=N$21,3,C474&gt;=N$22,4,C474&gt;=N$23,5,C474&gt;=N$24,6,C474&lt;N$24,7)</f>
        <v>4</v>
      </c>
      <c r="F474" s="30"/>
      <c r="G474" s="5"/>
      <c r="H474" s="5"/>
    </row>
    <row r="475" spans="1:8" ht="12" customHeight="1">
      <c r="A475" s="10" t="s">
        <v>1504</v>
      </c>
      <c r="B475" s="112" t="s">
        <v>1505</v>
      </c>
      <c r="C475" s="82">
        <v>174</v>
      </c>
      <c r="D475" s="43"/>
      <c r="E475" s="29" cm="1">
        <f t="array" ref="E475">_xlfn.IFS(C475=":",":",C475&gt;=N$19,1,C475&gt;=N$20,2,C475&gt;=N$21,3,C475&gt;=N$22,4,C475&gt;=N$23,5,C475&gt;=N$24,6,C475&lt;N$24,7)</f>
        <v>5</v>
      </c>
      <c r="F475" s="30"/>
      <c r="G475" s="5"/>
      <c r="H475" s="5"/>
    </row>
    <row r="476" spans="1:8" ht="12" customHeight="1">
      <c r="A476" s="10" t="s">
        <v>1506</v>
      </c>
      <c r="B476" s="112" t="s">
        <v>1507</v>
      </c>
      <c r="C476" s="82">
        <v>483</v>
      </c>
      <c r="D476" s="43"/>
      <c r="E476" s="29" cm="1">
        <f t="array" ref="E476">_xlfn.IFS(C476=":",":",C476&gt;=N$19,1,C476&gt;=N$20,2,C476&gt;=N$21,3,C476&gt;=N$22,4,C476&gt;=N$23,5,C476&gt;=N$24,6,C476&lt;N$24,7)</f>
        <v>4</v>
      </c>
      <c r="F476" s="30"/>
      <c r="G476" s="5"/>
      <c r="H476" s="5"/>
    </row>
    <row r="477" spans="1:8" ht="12" customHeight="1">
      <c r="A477" s="10" t="s">
        <v>1508</v>
      </c>
      <c r="B477" s="112" t="s">
        <v>1509</v>
      </c>
      <c r="C477" s="82">
        <v>3999</v>
      </c>
      <c r="D477" s="43"/>
      <c r="E477" s="29" cm="1">
        <f t="array" ref="E477">_xlfn.IFS(C477=":",":",C477&gt;=N$19,1,C477&gt;=N$20,2,C477&gt;=N$21,3,C477&gt;=N$22,4,C477&gt;=N$23,5,C477&gt;=N$24,6,C477&lt;N$24,7)</f>
        <v>2</v>
      </c>
      <c r="F477" s="30"/>
      <c r="G477" s="5"/>
      <c r="H477" s="5"/>
    </row>
    <row r="478" spans="1:8" ht="12" customHeight="1">
      <c r="A478" s="10" t="s">
        <v>1510</v>
      </c>
      <c r="B478" s="112" t="s">
        <v>1511</v>
      </c>
      <c r="C478" s="82">
        <v>877</v>
      </c>
      <c r="D478" s="43"/>
      <c r="E478" s="29" cm="1">
        <f t="array" ref="E478">_xlfn.IFS(C478=":",":",C478&gt;=N$19,1,C478&gt;=N$20,2,C478&gt;=N$21,3,C478&gt;=N$22,4,C478&gt;=N$23,5,C478&gt;=N$24,6,C478&lt;N$24,7)</f>
        <v>3</v>
      </c>
      <c r="F478" s="30"/>
      <c r="G478" s="5"/>
      <c r="H478" s="5"/>
    </row>
    <row r="479" spans="1:8" ht="12" customHeight="1">
      <c r="A479" s="10" t="s">
        <v>1512</v>
      </c>
      <c r="B479" s="112" t="s">
        <v>1513</v>
      </c>
      <c r="C479" s="82">
        <v>3337</v>
      </c>
      <c r="D479" s="43"/>
      <c r="E479" s="29" cm="1">
        <f t="array" ref="E479">_xlfn.IFS(C479=":",":",C479&gt;=N$19,1,C479&gt;=N$20,2,C479&gt;=N$21,3,C479&gt;=N$22,4,C479&gt;=N$23,5,C479&gt;=N$24,6,C479&lt;N$24,7)</f>
        <v>2</v>
      </c>
      <c r="F479" s="30"/>
      <c r="G479" s="5"/>
      <c r="H479" s="5"/>
    </row>
    <row r="480" spans="1:8" ht="12" customHeight="1">
      <c r="A480" s="10" t="s">
        <v>1515</v>
      </c>
      <c r="B480" s="112" t="s">
        <v>1516</v>
      </c>
      <c r="C480" s="82">
        <v>9025</v>
      </c>
      <c r="D480" s="43"/>
      <c r="E480" s="29" cm="1">
        <f t="array" ref="E480">_xlfn.IFS(C480=":",":",C480&gt;=N$19,1,C480&gt;=N$20,2,C480&gt;=N$21,3,C480&gt;=N$22,4,C480&gt;=N$23,5,C480&gt;=N$24,6,C480&lt;N$24,7)</f>
        <v>1</v>
      </c>
      <c r="F480" s="30"/>
      <c r="G480" s="5"/>
      <c r="H480" s="5"/>
    </row>
    <row r="481" spans="1:8" ht="12" customHeight="1">
      <c r="A481" s="10" t="s">
        <v>1517</v>
      </c>
      <c r="B481" s="112" t="s">
        <v>1518</v>
      </c>
      <c r="C481" s="82">
        <v>266</v>
      </c>
      <c r="D481" s="43"/>
      <c r="E481" s="29" cm="1">
        <f t="array" ref="E481">_xlfn.IFS(C481=":",":",C481&gt;=N$19,1,C481&gt;=N$20,2,C481&gt;=N$21,3,C481&gt;=N$22,4,C481&gt;=N$23,5,C481&gt;=N$24,6,C481&lt;N$24,7)</f>
        <v>4</v>
      </c>
      <c r="F481" s="30"/>
      <c r="G481" s="5"/>
      <c r="H481" s="5"/>
    </row>
    <row r="482" spans="1:8" ht="12" customHeight="1">
      <c r="A482" s="10" t="s">
        <v>1519</v>
      </c>
      <c r="B482" s="112" t="s">
        <v>1520</v>
      </c>
      <c r="C482" s="82">
        <v>244</v>
      </c>
      <c r="D482" s="43"/>
      <c r="E482" s="29" cm="1">
        <f t="array" ref="E482">_xlfn.IFS(C482=":",":",C482&gt;=N$19,1,C482&gt;=N$20,2,C482&gt;=N$21,3,C482&gt;=N$22,4,C482&gt;=N$23,5,C482&gt;=N$24,6,C482&lt;N$24,7)</f>
        <v>4</v>
      </c>
      <c r="F482" s="30"/>
      <c r="G482" s="5"/>
      <c r="H482" s="5"/>
    </row>
    <row r="483" spans="1:8" ht="12" customHeight="1">
      <c r="A483" s="10" t="s">
        <v>1521</v>
      </c>
      <c r="B483" s="112" t="s">
        <v>1522</v>
      </c>
      <c r="C483" s="82">
        <v>274</v>
      </c>
      <c r="D483" s="43"/>
      <c r="E483" s="29" cm="1">
        <f t="array" ref="E483">_xlfn.IFS(C483=":",":",C483&gt;=N$19,1,C483&gt;=N$20,2,C483&gt;=N$21,3,C483&gt;=N$22,4,C483&gt;=N$23,5,C483&gt;=N$24,6,C483&lt;N$24,7)</f>
        <v>4</v>
      </c>
      <c r="F483" s="30"/>
      <c r="G483" s="5"/>
      <c r="H483" s="5"/>
    </row>
    <row r="484" spans="1:8" ht="12" customHeight="1">
      <c r="A484" s="10" t="s">
        <v>1523</v>
      </c>
      <c r="B484" s="112" t="s">
        <v>1524</v>
      </c>
      <c r="C484" s="82">
        <v>202</v>
      </c>
      <c r="D484" s="43"/>
      <c r="E484" s="29" cm="1">
        <f t="array" ref="E484">_xlfn.IFS(C484=":",":",C484&gt;=N$19,1,C484&gt;=N$20,2,C484&gt;=N$21,3,C484&gt;=N$22,4,C484&gt;=N$23,5,C484&gt;=N$24,6,C484&lt;N$24,7)</f>
        <v>4</v>
      </c>
      <c r="F484" s="30"/>
      <c r="G484" s="5"/>
      <c r="H484" s="5"/>
    </row>
    <row r="485" spans="1:8" ht="12" customHeight="1">
      <c r="A485" s="10" t="s">
        <v>1526</v>
      </c>
      <c r="B485" s="112" t="s">
        <v>1527</v>
      </c>
      <c r="C485" s="82">
        <v>904</v>
      </c>
      <c r="D485" s="43"/>
      <c r="E485" s="29" cm="1">
        <f t="array" ref="E485">_xlfn.IFS(C485=":",":",C485&gt;=N$19,1,C485&gt;=N$20,2,C485&gt;=N$21,3,C485&gt;=N$22,4,C485&gt;=N$23,5,C485&gt;=N$24,6,C485&lt;N$24,7)</f>
        <v>3</v>
      </c>
      <c r="F485" s="30"/>
      <c r="G485" s="5"/>
      <c r="H485" s="5"/>
    </row>
    <row r="486" spans="1:8" ht="12" customHeight="1">
      <c r="A486" s="10" t="s">
        <v>1528</v>
      </c>
      <c r="B486" s="112" t="s">
        <v>1529</v>
      </c>
      <c r="C486" s="82">
        <v>115</v>
      </c>
      <c r="D486" s="43"/>
      <c r="E486" s="29" cm="1">
        <f t="array" ref="E486">_xlfn.IFS(C486=":",":",C486&gt;=N$19,1,C486&gt;=N$20,2,C486&gt;=N$21,3,C486&gt;=N$22,4,C486&gt;=N$23,5,C486&gt;=N$24,6,C486&lt;N$24,7)</f>
        <v>5</v>
      </c>
      <c r="F486" s="30"/>
      <c r="G486" s="5"/>
      <c r="H486" s="5"/>
    </row>
    <row r="487" spans="1:8" ht="12" customHeight="1">
      <c r="A487" s="10" t="s">
        <v>1530</v>
      </c>
      <c r="B487" s="112" t="s">
        <v>1531</v>
      </c>
      <c r="C487" s="82">
        <v>281</v>
      </c>
      <c r="D487" s="43"/>
      <c r="E487" s="29" cm="1">
        <f t="array" ref="E487">_xlfn.IFS(C487=":",":",C487&gt;=N$19,1,C487&gt;=N$20,2,C487&gt;=N$21,3,C487&gt;=N$22,4,C487&gt;=N$23,5,C487&gt;=N$24,6,C487&lt;N$24,7)</f>
        <v>4</v>
      </c>
      <c r="F487" s="30"/>
      <c r="G487" s="5"/>
      <c r="H487" s="5"/>
    </row>
    <row r="488" spans="1:8" ht="12" customHeight="1">
      <c r="A488" s="10" t="s">
        <v>1533</v>
      </c>
      <c r="B488" s="112" t="s">
        <v>1534</v>
      </c>
      <c r="C488" s="82">
        <v>387</v>
      </c>
      <c r="D488" s="43"/>
      <c r="E488" s="29" cm="1">
        <f t="array" ref="E488">_xlfn.IFS(C488=":",":",C488&gt;=N$19,1,C488&gt;=N$20,2,C488&gt;=N$21,3,C488&gt;=N$22,4,C488&gt;=N$23,5,C488&gt;=N$24,6,C488&lt;N$24,7)</f>
        <v>4</v>
      </c>
      <c r="F488" s="30"/>
      <c r="G488" s="5"/>
      <c r="H488" s="5"/>
    </row>
    <row r="489" spans="1:8" ht="12" customHeight="1">
      <c r="A489" s="10" t="s">
        <v>1537</v>
      </c>
      <c r="B489" s="112" t="s">
        <v>1538</v>
      </c>
      <c r="C489" s="82">
        <v>227</v>
      </c>
      <c r="D489" s="43"/>
      <c r="E489" s="29" cm="1">
        <f t="array" ref="E489">_xlfn.IFS(C489=":",":",C489&gt;=N$19,1,C489&gt;=N$20,2,C489&gt;=N$21,3,C489&gt;=N$22,4,C489&gt;=N$23,5,C489&gt;=N$24,6,C489&lt;N$24,7)</f>
        <v>4</v>
      </c>
      <c r="F489" s="30"/>
      <c r="G489" s="5"/>
      <c r="H489" s="5"/>
    </row>
    <row r="490" spans="1:8" ht="12" customHeight="1">
      <c r="A490" s="10" t="s">
        <v>1539</v>
      </c>
      <c r="B490" s="112" t="s">
        <v>1540</v>
      </c>
      <c r="C490" s="82">
        <v>373</v>
      </c>
      <c r="D490" s="43"/>
      <c r="E490" s="29" cm="1">
        <f t="array" ref="E490">_xlfn.IFS(C490=":",":",C490&gt;=N$19,1,C490&gt;=N$20,2,C490&gt;=N$21,3,C490&gt;=N$22,4,C490&gt;=N$23,5,C490&gt;=N$24,6,C490&lt;N$24,7)</f>
        <v>4</v>
      </c>
      <c r="F490" s="30"/>
      <c r="G490" s="5"/>
      <c r="H490" s="5"/>
    </row>
    <row r="491" spans="1:8" ht="12" customHeight="1">
      <c r="A491" s="10" t="s">
        <v>1541</v>
      </c>
      <c r="B491" s="112" t="s">
        <v>1542</v>
      </c>
      <c r="C491" s="82">
        <v>193</v>
      </c>
      <c r="D491" s="43"/>
      <c r="E491" s="29" cm="1">
        <f t="array" ref="E491">_xlfn.IFS(C491=":",":",C491&gt;=N$19,1,C491&gt;=N$20,2,C491&gt;=N$21,3,C491&gt;=N$22,4,C491&gt;=N$23,5,C491&gt;=N$24,6,C491&lt;N$24,7)</f>
        <v>5</v>
      </c>
      <c r="F491" s="30"/>
      <c r="G491" s="5"/>
      <c r="H491" s="5"/>
    </row>
    <row r="492" spans="1:8" ht="12" customHeight="1">
      <c r="A492" s="10" t="s">
        <v>1543</v>
      </c>
      <c r="B492" s="112" t="s">
        <v>1544</v>
      </c>
      <c r="C492" s="82">
        <v>276</v>
      </c>
      <c r="D492" s="43"/>
      <c r="E492" s="29" cm="1">
        <f t="array" ref="E492">_xlfn.IFS(C492=":",":",C492&gt;=N$19,1,C492&gt;=N$20,2,C492&gt;=N$21,3,C492&gt;=N$22,4,C492&gt;=N$23,5,C492&gt;=N$24,6,C492&lt;N$24,7)</f>
        <v>4</v>
      </c>
      <c r="F492" s="30"/>
      <c r="G492" s="5"/>
      <c r="H492" s="5"/>
    </row>
    <row r="493" spans="1:8" ht="12" customHeight="1">
      <c r="A493" s="16" t="s">
        <v>3044</v>
      </c>
      <c r="B493" s="11" t="s">
        <v>1525</v>
      </c>
      <c r="C493" s="82">
        <v>596</v>
      </c>
      <c r="D493" s="43"/>
      <c r="E493" s="29" cm="1">
        <f t="array" ref="E493">_xlfn.IFS(C493=":",":",C493&gt;=N$19,1,C493&gt;=N$20,2,C493&gt;=N$21,3,C493&gt;=N$22,4,C493&gt;=N$23,5,C493&gt;=N$24,6,C493&lt;N$24,7)</f>
        <v>3</v>
      </c>
      <c r="F493" s="30"/>
      <c r="G493" s="5"/>
      <c r="H493" s="5"/>
    </row>
    <row r="494" spans="1:8" ht="12" customHeight="1">
      <c r="A494" s="16" t="s">
        <v>3045</v>
      </c>
      <c r="B494" s="11" t="s">
        <v>1545</v>
      </c>
      <c r="C494" s="82">
        <v>502</v>
      </c>
      <c r="D494" s="43"/>
      <c r="E494" s="29" cm="1">
        <f t="array" ref="E494">_xlfn.IFS(C494=":",":",C494&gt;=N$19,1,C494&gt;=N$20,2,C494&gt;=N$21,3,C494&gt;=N$22,4,C494&gt;=N$23,5,C494&gt;=N$24,6,C494&lt;N$24,7)</f>
        <v>3</v>
      </c>
      <c r="F494" s="30"/>
      <c r="G494" s="5"/>
      <c r="H494" s="5"/>
    </row>
    <row r="495" spans="1:8" ht="12" customHeight="1">
      <c r="A495" s="16" t="s">
        <v>3046</v>
      </c>
      <c r="B495" s="11" t="s">
        <v>1514</v>
      </c>
      <c r="C495" s="82">
        <v>1337</v>
      </c>
      <c r="D495" s="43"/>
      <c r="E495" s="29" cm="1">
        <f t="array" ref="E495">_xlfn.IFS(C495=":",":",C495&gt;=N$19,1,C495&gt;=N$20,2,C495&gt;=N$21,3,C495&gt;=N$22,4,C495&gt;=N$23,5,C495&gt;=N$24,6,C495&lt;N$24,7)</f>
        <v>3</v>
      </c>
      <c r="F495" s="30"/>
      <c r="G495" s="5"/>
      <c r="H495" s="5"/>
    </row>
    <row r="496" spans="1:8" ht="12" customHeight="1">
      <c r="A496" s="16" t="s">
        <v>3047</v>
      </c>
      <c r="B496" s="11" t="s">
        <v>1532</v>
      </c>
      <c r="C496" s="82">
        <v>463</v>
      </c>
      <c r="D496" s="43"/>
      <c r="E496" s="29" cm="1">
        <f t="array" ref="E496">_xlfn.IFS(C496=":",":",C496&gt;=N$19,1,C496&gt;=N$20,2,C496&gt;=N$21,3,C496&gt;=N$22,4,C496&gt;=N$23,5,C496&gt;=N$24,6,C496&lt;N$24,7)</f>
        <v>4</v>
      </c>
      <c r="F496" s="30"/>
      <c r="G496" s="5"/>
      <c r="H496" s="5"/>
    </row>
    <row r="497" spans="1:8" ht="12" customHeight="1">
      <c r="A497" s="16" t="s">
        <v>3048</v>
      </c>
      <c r="B497" s="11" t="s">
        <v>1536</v>
      </c>
      <c r="C497" s="82">
        <v>344</v>
      </c>
      <c r="D497" s="43"/>
      <c r="E497" s="29" cm="1">
        <f t="array" ref="E497">_xlfn.IFS(C497=":",":",C497&gt;=N$19,1,C497&gt;=N$20,2,C497&gt;=N$21,3,C497&gt;=N$22,4,C497&gt;=N$23,5,C497&gt;=N$24,6,C497&lt;N$24,7)</f>
        <v>4</v>
      </c>
      <c r="F497" s="30"/>
      <c r="G497" s="5"/>
      <c r="H497" s="5"/>
    </row>
    <row r="498" spans="1:8" ht="12" customHeight="1">
      <c r="A498" s="16" t="s">
        <v>3049</v>
      </c>
      <c r="B498" s="11" t="s">
        <v>1535</v>
      </c>
      <c r="C498" s="82">
        <v>270</v>
      </c>
      <c r="D498" s="43"/>
      <c r="E498" s="29" cm="1">
        <f t="array" ref="E498">_xlfn.IFS(C498=":",":",C498&gt;=N$19,1,C498&gt;=N$20,2,C498&gt;=N$21,3,C498&gt;=N$22,4,C498&gt;=N$23,5,C498&gt;=N$24,6,C498&lt;N$24,7)</f>
        <v>4</v>
      </c>
      <c r="F498" s="30"/>
      <c r="G498" s="5"/>
      <c r="H498" s="5"/>
    </row>
    <row r="499" spans="1:8" ht="12" customHeight="1">
      <c r="A499" s="10" t="s">
        <v>1546</v>
      </c>
      <c r="B499" s="112" t="s">
        <v>1547</v>
      </c>
      <c r="C499" s="82">
        <v>837</v>
      </c>
      <c r="D499" s="43"/>
      <c r="E499" s="29" cm="1">
        <f t="array" ref="E499">_xlfn.IFS(C499=":",":",C499&gt;=N$19,1,C499&gt;=N$20,2,C499&gt;=N$21,3,C499&gt;=N$22,4,C499&gt;=N$23,5,C499&gt;=N$24,6,C499&lt;N$24,7)</f>
        <v>3</v>
      </c>
      <c r="F499" s="30"/>
      <c r="G499" s="5"/>
      <c r="H499" s="5"/>
    </row>
    <row r="500" spans="1:8" ht="12" customHeight="1">
      <c r="A500" s="10" t="s">
        <v>1548</v>
      </c>
      <c r="B500" s="112" t="s">
        <v>1549</v>
      </c>
      <c r="C500" s="82">
        <v>124</v>
      </c>
      <c r="D500" s="43"/>
      <c r="E500" s="29" cm="1">
        <f t="array" ref="E500">_xlfn.IFS(C500=":",":",C500&gt;=N$19,1,C500&gt;=N$20,2,C500&gt;=N$21,3,C500&gt;=N$22,4,C500&gt;=N$23,5,C500&gt;=N$24,6,C500&lt;N$24,7)</f>
        <v>5</v>
      </c>
      <c r="F500" s="30"/>
      <c r="G500" s="5"/>
      <c r="H500" s="5"/>
    </row>
    <row r="501" spans="1:8" ht="12" customHeight="1">
      <c r="A501" s="10" t="s">
        <v>1550</v>
      </c>
      <c r="B501" s="112" t="s">
        <v>1551</v>
      </c>
      <c r="C501" s="82">
        <v>65</v>
      </c>
      <c r="D501" s="43"/>
      <c r="E501" s="29" cm="1">
        <f t="array" ref="E501">_xlfn.IFS(C501=":",":",C501&gt;=N$19,1,C501&gt;=N$20,2,C501&gt;=N$21,3,C501&gt;=N$22,4,C501&gt;=N$23,5,C501&gt;=N$24,6,C501&lt;N$24,7)</f>
        <v>6</v>
      </c>
      <c r="F501" s="30"/>
      <c r="G501" s="5"/>
      <c r="H501" s="5"/>
    </row>
    <row r="502" spans="1:8" ht="12" customHeight="1">
      <c r="A502" s="10" t="s">
        <v>1552</v>
      </c>
      <c r="B502" s="112" t="s">
        <v>1553</v>
      </c>
      <c r="C502" s="82">
        <v>32</v>
      </c>
      <c r="D502" s="43"/>
      <c r="E502" s="29" cm="1">
        <f t="array" ref="E502">_xlfn.IFS(C502=":",":",C502&gt;=N$19,1,C502&gt;=N$20,2,C502&gt;=N$21,3,C502&gt;=N$22,4,C502&gt;=N$23,5,C502&gt;=N$24,6,C502&lt;N$24,7)</f>
        <v>6</v>
      </c>
      <c r="F502" s="30"/>
      <c r="G502" s="5"/>
      <c r="H502" s="5"/>
    </row>
    <row r="503" spans="1:8" ht="12" customHeight="1">
      <c r="A503" s="10" t="s">
        <v>1554</v>
      </c>
      <c r="B503" s="112" t="s">
        <v>1555</v>
      </c>
      <c r="C503" s="82">
        <v>129</v>
      </c>
      <c r="D503" s="43"/>
      <c r="E503" s="29" cm="1">
        <f t="array" ref="E503">_xlfn.IFS(C503=":",":",C503&gt;=N$19,1,C503&gt;=N$20,2,C503&gt;=N$21,3,C503&gt;=N$22,4,C503&gt;=N$23,5,C503&gt;=N$24,6,C503&lt;N$24,7)</f>
        <v>5</v>
      </c>
      <c r="F503" s="30"/>
      <c r="G503" s="5"/>
      <c r="H503" s="5"/>
    </row>
    <row r="504" spans="1:8" ht="12" customHeight="1">
      <c r="A504" s="10" t="s">
        <v>1556</v>
      </c>
      <c r="B504" s="112" t="s">
        <v>1557</v>
      </c>
      <c r="C504" s="82">
        <v>583</v>
      </c>
      <c r="D504" s="43"/>
      <c r="E504" s="29" cm="1">
        <f t="array" ref="E504">_xlfn.IFS(C504=":",":",C504&gt;=N$19,1,C504&gt;=N$20,2,C504&gt;=N$21,3,C504&gt;=N$22,4,C504&gt;=N$23,5,C504&gt;=N$24,6,C504&lt;N$24,7)</f>
        <v>3</v>
      </c>
      <c r="F504" s="30"/>
      <c r="G504" s="5"/>
      <c r="H504" s="5"/>
    </row>
    <row r="505" spans="1:8" ht="12" customHeight="1">
      <c r="A505" s="10" t="s">
        <v>1558</v>
      </c>
      <c r="B505" s="112" t="s">
        <v>1559</v>
      </c>
      <c r="C505" s="82">
        <v>415</v>
      </c>
      <c r="D505" s="43"/>
      <c r="E505" s="29" cm="1">
        <f t="array" ref="E505">_xlfn.IFS(C505=":",":",C505&gt;=N$19,1,C505&gt;=N$20,2,C505&gt;=N$21,3,C505&gt;=N$22,4,C505&gt;=N$23,5,C505&gt;=N$24,6,C505&lt;N$24,7)</f>
        <v>4</v>
      </c>
      <c r="F505" s="30"/>
      <c r="G505" s="5"/>
      <c r="H505" s="5"/>
    </row>
    <row r="506" spans="1:8" ht="12" customHeight="1">
      <c r="A506" s="10" t="s">
        <v>1560</v>
      </c>
      <c r="B506" s="112" t="s">
        <v>2820</v>
      </c>
      <c r="C506" s="82">
        <v>329</v>
      </c>
      <c r="D506" s="43"/>
      <c r="E506" s="29" cm="1">
        <f t="array" ref="E506">_xlfn.IFS(C506=":",":",C506&gt;=N$19,1,C506&gt;=N$20,2,C506&gt;=N$21,3,C506&gt;=N$22,4,C506&gt;=N$23,5,C506&gt;=N$24,6,C506&lt;N$24,7)</f>
        <v>4</v>
      </c>
      <c r="F506" s="30"/>
      <c r="G506" s="5"/>
      <c r="H506" s="5"/>
    </row>
    <row r="507" spans="1:8" ht="12" customHeight="1">
      <c r="A507" s="10" t="s">
        <v>1561</v>
      </c>
      <c r="B507" s="112" t="s">
        <v>2870</v>
      </c>
      <c r="C507" s="82">
        <v>484</v>
      </c>
      <c r="D507" s="43"/>
      <c r="E507" s="29" cm="1">
        <f t="array" ref="E507">_xlfn.IFS(C507=":",":",C507&gt;=N$19,1,C507&gt;=N$20,2,C507&gt;=N$21,3,C507&gt;=N$22,4,C507&gt;=N$23,5,C507&gt;=N$24,6,C507&lt;N$24,7)</f>
        <v>4</v>
      </c>
      <c r="F507" s="30"/>
      <c r="G507" s="5"/>
      <c r="H507" s="5"/>
    </row>
    <row r="508" spans="1:8" ht="12" customHeight="1">
      <c r="A508" s="10" t="s">
        <v>1562</v>
      </c>
      <c r="B508" s="112" t="s">
        <v>2871</v>
      </c>
      <c r="C508" s="82">
        <v>617</v>
      </c>
      <c r="D508" s="43"/>
      <c r="E508" s="29" cm="1">
        <f t="array" ref="E508">_xlfn.IFS(C508=":",":",C508&gt;=N$19,1,C508&gt;=N$20,2,C508&gt;=N$21,3,C508&gt;=N$22,4,C508&gt;=N$23,5,C508&gt;=N$24,6,C508&lt;N$24,7)</f>
        <v>3</v>
      </c>
      <c r="F508" s="30"/>
      <c r="G508" s="5"/>
      <c r="H508" s="5"/>
    </row>
    <row r="509" spans="1:8" ht="12" customHeight="1">
      <c r="A509" s="10" t="s">
        <v>1563</v>
      </c>
      <c r="B509" s="112" t="s">
        <v>1564</v>
      </c>
      <c r="C509" s="82">
        <v>11749</v>
      </c>
      <c r="D509" s="43"/>
      <c r="E509" s="29" cm="1">
        <f t="array" ref="E509">_xlfn.IFS(C509=":",":",C509&gt;=N$19,1,C509&gt;=N$20,2,C509&gt;=N$21,3,C509&gt;=N$22,4,C509&gt;=N$23,5,C509&gt;=N$24,6,C509&lt;N$24,7)</f>
        <v>1</v>
      </c>
      <c r="F509" s="30"/>
      <c r="G509" s="5"/>
      <c r="H509" s="5"/>
    </row>
    <row r="510" spans="1:8" ht="12" customHeight="1">
      <c r="A510" s="10" t="s">
        <v>1565</v>
      </c>
      <c r="B510" s="112" t="s">
        <v>1566</v>
      </c>
      <c r="C510" s="82">
        <v>372</v>
      </c>
      <c r="D510" s="43"/>
      <c r="E510" s="29" cm="1">
        <f t="array" ref="E510">_xlfn.IFS(C510=":",":",C510&gt;=N$19,1,C510&gt;=N$20,2,C510&gt;=N$21,3,C510&gt;=N$22,4,C510&gt;=N$23,5,C510&gt;=N$24,6,C510&lt;N$24,7)</f>
        <v>4</v>
      </c>
      <c r="F510" s="30"/>
      <c r="G510" s="5"/>
      <c r="H510" s="5"/>
    </row>
    <row r="511" spans="1:8" ht="12" customHeight="1">
      <c r="A511" s="10" t="s">
        <v>1567</v>
      </c>
      <c r="B511" s="112" t="s">
        <v>1568</v>
      </c>
      <c r="C511" s="82">
        <v>267</v>
      </c>
      <c r="D511" s="43"/>
      <c r="E511" s="29" cm="1">
        <f t="array" ref="E511">_xlfn.IFS(C511=":",":",C511&gt;=N$19,1,C511&gt;=N$20,2,C511&gt;=N$21,3,C511&gt;=N$22,4,C511&gt;=N$23,5,C511&gt;=N$24,6,C511&lt;N$24,7)</f>
        <v>4</v>
      </c>
      <c r="F511" s="30"/>
      <c r="G511" s="5"/>
      <c r="H511" s="5"/>
    </row>
    <row r="512" spans="1:8" ht="12" customHeight="1">
      <c r="A512" s="10" t="s">
        <v>1569</v>
      </c>
      <c r="B512" s="114" t="s">
        <v>1570</v>
      </c>
      <c r="C512" s="82">
        <v>3146</v>
      </c>
      <c r="D512" s="43"/>
      <c r="E512" s="29" cm="1">
        <f t="array" ref="E512">_xlfn.IFS(C512=":",":",C512&gt;=N$19,1,C512&gt;=N$20,2,C512&gt;=N$21,3,C512&gt;=N$22,4,C512&gt;=N$23,5,C512&gt;=N$24,6,C512&lt;N$24,7)</f>
        <v>2</v>
      </c>
      <c r="F512" s="30"/>
      <c r="G512" s="5"/>
      <c r="H512" s="5"/>
    </row>
    <row r="513" spans="1:8" ht="12" customHeight="1">
      <c r="A513" s="10" t="s">
        <v>1571</v>
      </c>
      <c r="B513" s="114" t="s">
        <v>1572</v>
      </c>
      <c r="C513" s="82">
        <v>520</v>
      </c>
      <c r="D513" s="43"/>
      <c r="E513" s="29" cm="1">
        <f t="array" ref="E513">_xlfn.IFS(C513=":",":",C513&gt;=N$19,1,C513&gt;=N$20,2,C513&gt;=N$21,3,C513&gt;=N$22,4,C513&gt;=N$23,5,C513&gt;=N$24,6,C513&lt;N$24,7)</f>
        <v>3</v>
      </c>
      <c r="F513" s="30"/>
      <c r="G513" s="5"/>
      <c r="H513" s="5"/>
    </row>
    <row r="514" spans="1:8" ht="12" customHeight="1">
      <c r="A514" s="10" t="s">
        <v>1573</v>
      </c>
      <c r="B514" s="114" t="s">
        <v>1574</v>
      </c>
      <c r="C514" s="82">
        <v>90883</v>
      </c>
      <c r="D514" s="43"/>
      <c r="E514" s="29" cm="1">
        <f t="array" ref="E514">_xlfn.IFS(C514=":",":",C514&gt;=N$19,1,C514&gt;=N$20,2,C514&gt;=N$21,3,C514&gt;=N$22,4,C514&gt;=N$23,5,C514&gt;=N$24,6,C514&lt;N$24,7)</f>
        <v>1</v>
      </c>
      <c r="F514" s="30"/>
      <c r="G514" s="5"/>
      <c r="H514" s="5"/>
    </row>
    <row r="515" spans="1:8" ht="12" customHeight="1">
      <c r="A515" s="10" t="s">
        <v>1575</v>
      </c>
      <c r="B515" s="114" t="s">
        <v>1576</v>
      </c>
      <c r="C515" s="82">
        <v>12527</v>
      </c>
      <c r="D515" s="43"/>
      <c r="E515" s="29" cm="1">
        <f t="array" ref="E515">_xlfn.IFS(C515=":",":",C515&gt;=N$19,1,C515&gt;=N$20,2,C515&gt;=N$21,3,C515&gt;=N$22,4,C515&gt;=N$23,5,C515&gt;=N$24,6,C515&lt;N$24,7)</f>
        <v>1</v>
      </c>
      <c r="F515" s="30"/>
      <c r="G515" s="5"/>
      <c r="H515" s="5"/>
    </row>
    <row r="516" spans="1:8" ht="12" customHeight="1">
      <c r="A516" s="10" t="s">
        <v>1577</v>
      </c>
      <c r="B516" s="114" t="s">
        <v>1578</v>
      </c>
      <c r="C516" s="82">
        <v>1018</v>
      </c>
      <c r="D516" s="43"/>
      <c r="E516" s="29" cm="1">
        <f t="array" ref="E516">_xlfn.IFS(C516=":",":",C516&gt;=N$19,1,C516&gt;=N$20,2,C516&gt;=N$21,3,C516&gt;=N$22,4,C516&gt;=N$23,5,C516&gt;=N$24,6,C516&lt;N$24,7)</f>
        <v>3</v>
      </c>
      <c r="F516" s="30"/>
      <c r="G516" s="5"/>
      <c r="H516" s="5"/>
    </row>
    <row r="517" spans="1:8" ht="12" customHeight="1">
      <c r="A517" s="10" t="s">
        <v>1579</v>
      </c>
      <c r="B517" s="114" t="s">
        <v>1580</v>
      </c>
      <c r="C517" s="82">
        <v>149</v>
      </c>
      <c r="D517" s="43"/>
      <c r="E517" s="29" cm="1">
        <f t="array" ref="E517">_xlfn.IFS(C517=":",":",C517&gt;=N$19,1,C517&gt;=N$20,2,C517&gt;=N$21,3,C517&gt;=N$22,4,C517&gt;=N$23,5,C517&gt;=N$24,6,C517&lt;N$24,7)</f>
        <v>5</v>
      </c>
      <c r="F517" s="30"/>
      <c r="G517" s="5"/>
      <c r="H517" s="5"/>
    </row>
    <row r="518" spans="1:8" ht="12" customHeight="1">
      <c r="A518" s="10" t="s">
        <v>1581</v>
      </c>
      <c r="B518" s="114" t="s">
        <v>1582</v>
      </c>
      <c r="C518" s="82">
        <v>1883</v>
      </c>
      <c r="D518" s="43"/>
      <c r="E518" s="29" cm="1">
        <f t="array" ref="E518">_xlfn.IFS(C518=":",":",C518&gt;=N$19,1,C518&gt;=N$20,2,C518&gt;=N$21,3,C518&gt;=N$22,4,C518&gt;=N$23,5,C518&gt;=N$24,6,C518&lt;N$24,7)</f>
        <v>2</v>
      </c>
      <c r="F518" s="30"/>
      <c r="G518" s="5"/>
      <c r="H518" s="5"/>
    </row>
    <row r="519" spans="1:8" ht="12" customHeight="1">
      <c r="A519" s="10" t="s">
        <v>1583</v>
      </c>
      <c r="B519" s="114" t="s">
        <v>1584</v>
      </c>
      <c r="C519" s="82">
        <v>592</v>
      </c>
      <c r="D519" s="43"/>
      <c r="E519" s="29" cm="1">
        <f t="array" ref="E519">_xlfn.IFS(C519=":",":",C519&gt;=N$19,1,C519&gt;=N$20,2,C519&gt;=N$21,3,C519&gt;=N$22,4,C519&gt;=N$23,5,C519&gt;=N$24,6,C519&lt;N$24,7)</f>
        <v>3</v>
      </c>
      <c r="F519" s="30"/>
      <c r="G519" s="5"/>
      <c r="H519" s="5"/>
    </row>
    <row r="520" spans="1:8" ht="12" customHeight="1">
      <c r="A520" s="10" t="s">
        <v>1585</v>
      </c>
      <c r="B520" s="114" t="s">
        <v>1586</v>
      </c>
      <c r="C520" s="82">
        <v>1789</v>
      </c>
      <c r="D520" s="43"/>
      <c r="E520" s="29" cm="1">
        <f t="array" ref="E520">_xlfn.IFS(C520=":",":",C520&gt;=N$19,1,C520&gt;=N$20,2,C520&gt;=N$21,3,C520&gt;=N$22,4,C520&gt;=N$23,5,C520&gt;=N$24,6,C520&lt;N$24,7)</f>
        <v>2</v>
      </c>
      <c r="F520" s="30"/>
      <c r="G520" s="5"/>
      <c r="H520" s="5"/>
    </row>
    <row r="521" spans="1:8" ht="12" customHeight="1">
      <c r="A521" s="10" t="s">
        <v>1587</v>
      </c>
      <c r="B521" s="114" t="s">
        <v>1588</v>
      </c>
      <c r="C521" s="82">
        <v>384</v>
      </c>
      <c r="D521" s="43"/>
      <c r="E521" s="29" cm="1">
        <f t="array" ref="E521">_xlfn.IFS(C521=":",":",C521&gt;=N$19,1,C521&gt;=N$20,2,C521&gt;=N$21,3,C521&gt;=N$22,4,C521&gt;=N$23,5,C521&gt;=N$24,6,C521&lt;N$24,7)</f>
        <v>4</v>
      </c>
      <c r="F521" s="30"/>
      <c r="G521" s="5"/>
      <c r="H521" s="5"/>
    </row>
    <row r="522" spans="1:8" ht="12" customHeight="1">
      <c r="A522" s="10" t="s">
        <v>1589</v>
      </c>
      <c r="B522" s="114" t="s">
        <v>3021</v>
      </c>
      <c r="C522" s="82">
        <v>10758</v>
      </c>
      <c r="D522" s="43"/>
      <c r="E522" s="29" cm="1">
        <f t="array" ref="E522">_xlfn.IFS(C522=":",":",C522&gt;=N$19,1,C522&gt;=N$20,2,C522&gt;=N$21,3,C522&gt;=N$22,4,C522&gt;=N$23,5,C522&gt;=N$24,6,C522&lt;N$24,7)</f>
        <v>1</v>
      </c>
      <c r="F522" s="30"/>
      <c r="G522" s="5"/>
      <c r="H522" s="5"/>
    </row>
    <row r="523" spans="1:8" ht="12" customHeight="1">
      <c r="A523" s="10" t="s">
        <v>1590</v>
      </c>
      <c r="B523" s="114" t="s">
        <v>2821</v>
      </c>
      <c r="C523" s="82">
        <v>4985</v>
      </c>
      <c r="D523" s="43"/>
      <c r="E523" s="29" cm="1">
        <f t="array" ref="E523">_xlfn.IFS(C523=":",":",C523&gt;=N$19,1,C523&gt;=N$20,2,C523&gt;=N$21,3,C523&gt;=N$22,4,C523&gt;=N$23,5,C523&gt;=N$24,6,C523&lt;N$24,7)</f>
        <v>2</v>
      </c>
      <c r="F523" s="30"/>
      <c r="G523" s="5"/>
      <c r="H523" s="5"/>
    </row>
    <row r="524" spans="1:8" ht="12" customHeight="1">
      <c r="A524" s="10" t="s">
        <v>1591</v>
      </c>
      <c r="B524" s="114" t="s">
        <v>1592</v>
      </c>
      <c r="C524" s="82">
        <v>5337</v>
      </c>
      <c r="D524" s="43"/>
      <c r="E524" s="29" cm="1">
        <f t="array" ref="E524">_xlfn.IFS(C524=":",":",C524&gt;=N$19,1,C524&gt;=N$20,2,C524&gt;=N$21,3,C524&gt;=N$22,4,C524&gt;=N$23,5,C524&gt;=N$24,6,C524&lt;N$24,7)</f>
        <v>1</v>
      </c>
      <c r="F524" s="30"/>
      <c r="G524" s="5"/>
      <c r="H524" s="5"/>
    </row>
    <row r="525" spans="1:8" ht="12" customHeight="1">
      <c r="A525" s="10" t="s">
        <v>1593</v>
      </c>
      <c r="B525" s="114" t="s">
        <v>1594</v>
      </c>
      <c r="C525" s="82">
        <v>2258</v>
      </c>
      <c r="D525" s="43"/>
      <c r="E525" s="29" cm="1">
        <f t="array" ref="E525">_xlfn.IFS(C525=":",":",C525&gt;=N$19,1,C525&gt;=N$20,2,C525&gt;=N$21,3,C525&gt;=N$22,4,C525&gt;=N$23,5,C525&gt;=N$24,6,C525&lt;N$24,7)</f>
        <v>2</v>
      </c>
      <c r="F525" s="30"/>
      <c r="G525" s="5"/>
      <c r="H525" s="5"/>
    </row>
    <row r="526" spans="1:8" ht="12" customHeight="1">
      <c r="A526" s="10" t="s">
        <v>1595</v>
      </c>
      <c r="B526" s="114" t="s">
        <v>1596</v>
      </c>
      <c r="C526" s="82">
        <v>4489</v>
      </c>
      <c r="D526" s="43"/>
      <c r="E526" s="29" cm="1">
        <f t="array" ref="E526">_xlfn.IFS(C526=":",":",C526&gt;=N$19,1,C526&gt;=N$20,2,C526&gt;=N$21,3,C526&gt;=N$22,4,C526&gt;=N$23,5,C526&gt;=N$24,6,C526&lt;N$24,7)</f>
        <v>2</v>
      </c>
      <c r="F526" s="30"/>
      <c r="G526" s="5"/>
      <c r="H526" s="5"/>
    </row>
    <row r="527" spans="1:8" ht="12" customHeight="1">
      <c r="A527" s="10" t="s">
        <v>1597</v>
      </c>
      <c r="B527" s="114" t="s">
        <v>1598</v>
      </c>
      <c r="C527" s="82">
        <v>4099</v>
      </c>
      <c r="D527" s="43"/>
      <c r="E527" s="29" cm="1">
        <f t="array" ref="E527">_xlfn.IFS(C527=":",":",C527&gt;=N$19,1,C527&gt;=N$20,2,C527&gt;=N$21,3,C527&gt;=N$22,4,C527&gt;=N$23,5,C527&gt;=N$24,6,C527&lt;N$24,7)</f>
        <v>2</v>
      </c>
      <c r="F527" s="30"/>
      <c r="G527" s="5"/>
      <c r="H527" s="5"/>
    </row>
    <row r="528" spans="1:8" ht="12" customHeight="1">
      <c r="A528" s="10" t="s">
        <v>1599</v>
      </c>
      <c r="B528" s="114" t="s">
        <v>1600</v>
      </c>
      <c r="C528" s="82">
        <v>141</v>
      </c>
      <c r="D528" s="43"/>
      <c r="E528" s="29" cm="1">
        <f t="array" ref="E528">_xlfn.IFS(C528=":",":",C528&gt;=N$19,1,C528&gt;=N$20,2,C528&gt;=N$21,3,C528&gt;=N$22,4,C528&gt;=N$23,5,C528&gt;=N$24,6,C528&lt;N$24,7)</f>
        <v>5</v>
      </c>
      <c r="F528" s="30"/>
      <c r="G528" s="5"/>
      <c r="H528" s="5"/>
    </row>
    <row r="529" spans="1:8" ht="12" customHeight="1">
      <c r="A529" s="10" t="s">
        <v>1601</v>
      </c>
      <c r="B529" s="114" t="s">
        <v>1602</v>
      </c>
      <c r="C529" s="82">
        <v>99</v>
      </c>
      <c r="D529" s="43"/>
      <c r="E529" s="29" cm="1">
        <f t="array" ref="E529">_xlfn.IFS(C529=":",":",C529&gt;=N$19,1,C529&gt;=N$20,2,C529&gt;=N$21,3,C529&gt;=N$22,4,C529&gt;=N$23,5,C529&gt;=N$24,6,C529&lt;N$24,7)</f>
        <v>5</v>
      </c>
      <c r="F529" s="30"/>
      <c r="G529" s="5"/>
      <c r="H529" s="5"/>
    </row>
    <row r="530" spans="1:8" ht="12" customHeight="1">
      <c r="A530" s="10" t="s">
        <v>1603</v>
      </c>
      <c r="B530" s="114" t="s">
        <v>1604</v>
      </c>
      <c r="C530" s="82">
        <v>79</v>
      </c>
      <c r="D530" s="43"/>
      <c r="E530" s="29" cm="1">
        <f t="array" ref="E530">_xlfn.IFS(C530=":",":",C530&gt;=N$19,1,C530&gt;=N$20,2,C530&gt;=N$21,3,C530&gt;=N$22,4,C530&gt;=N$23,5,C530&gt;=N$24,6,C530&lt;N$24,7)</f>
        <v>5</v>
      </c>
      <c r="F530" s="30"/>
      <c r="G530" s="5"/>
      <c r="H530" s="5"/>
    </row>
    <row r="531" spans="1:8" ht="12" customHeight="1">
      <c r="A531" s="10" t="s">
        <v>1605</v>
      </c>
      <c r="B531" s="114" t="s">
        <v>1606</v>
      </c>
      <c r="C531" s="82">
        <v>27</v>
      </c>
      <c r="D531" s="43"/>
      <c r="E531" s="29" cm="1">
        <f t="array" ref="E531">_xlfn.IFS(C531=":",":",C531&gt;=N$19,1,C531&gt;=N$20,2,C531&gt;=N$21,3,C531&gt;=N$22,4,C531&gt;=N$23,5,C531&gt;=N$24,6,C531&lt;N$24,7)</f>
        <v>6</v>
      </c>
      <c r="F531" s="30"/>
      <c r="G531" s="5"/>
      <c r="H531" s="5"/>
    </row>
    <row r="532" spans="1:8" ht="12" customHeight="1">
      <c r="A532" s="10" t="s">
        <v>1607</v>
      </c>
      <c r="B532" s="114" t="s">
        <v>1608</v>
      </c>
      <c r="C532" s="82">
        <v>1336</v>
      </c>
      <c r="D532" s="43"/>
      <c r="E532" s="29" cm="1">
        <f t="array" ref="E532">_xlfn.IFS(C532=":",":",C532&gt;=N$19,1,C532&gt;=N$20,2,C532&gt;=N$21,3,C532&gt;=N$22,4,C532&gt;=N$23,5,C532&gt;=N$24,6,C532&lt;N$24,7)</f>
        <v>3</v>
      </c>
      <c r="F532" s="30"/>
      <c r="G532" s="5"/>
      <c r="H532" s="5"/>
    </row>
    <row r="533" spans="1:8" ht="12" customHeight="1">
      <c r="A533" s="10" t="s">
        <v>1609</v>
      </c>
      <c r="B533" s="114" t="s">
        <v>1610</v>
      </c>
      <c r="C533" s="82">
        <v>92</v>
      </c>
      <c r="D533" s="43"/>
      <c r="E533" s="29" cm="1">
        <f t="array" ref="E533">_xlfn.IFS(C533=":",":",C533&gt;=N$19,1,C533&gt;=N$20,2,C533&gt;=N$21,3,C533&gt;=N$22,4,C533&gt;=N$23,5,C533&gt;=N$24,6,C533&lt;N$24,7)</f>
        <v>5</v>
      </c>
      <c r="F533" s="30"/>
      <c r="G533" s="5"/>
      <c r="H533" s="5"/>
    </row>
    <row r="534" spans="1:8" ht="12" customHeight="1">
      <c r="A534" s="10" t="s">
        <v>1611</v>
      </c>
      <c r="B534" s="114" t="s">
        <v>1612</v>
      </c>
      <c r="C534" s="82">
        <v>1069</v>
      </c>
      <c r="D534" s="43"/>
      <c r="E534" s="29" cm="1">
        <f t="array" ref="E534">_xlfn.IFS(C534=":",":",C534&gt;=N$19,1,C534&gt;=N$20,2,C534&gt;=N$21,3,C534&gt;=N$22,4,C534&gt;=N$23,5,C534&gt;=N$24,6,C534&lt;N$24,7)</f>
        <v>3</v>
      </c>
      <c r="F534" s="30"/>
      <c r="G534" s="5"/>
      <c r="H534" s="5"/>
    </row>
    <row r="535" spans="1:8" ht="12" customHeight="1">
      <c r="A535" s="10" t="s">
        <v>1613</v>
      </c>
      <c r="B535" s="114" t="s">
        <v>1614</v>
      </c>
      <c r="C535" s="82">
        <v>53</v>
      </c>
      <c r="D535" s="43"/>
      <c r="E535" s="29" cm="1">
        <f t="array" ref="E535">_xlfn.IFS(C535=":",":",C535&gt;=N$19,1,C535&gt;=N$20,2,C535&gt;=N$21,3,C535&gt;=N$22,4,C535&gt;=N$23,5,C535&gt;=N$24,6,C535&lt;N$24,7)</f>
        <v>6</v>
      </c>
      <c r="F535" s="30"/>
      <c r="G535" s="5"/>
      <c r="H535" s="5"/>
    </row>
    <row r="536" spans="1:8" ht="12" customHeight="1">
      <c r="A536" s="10" t="s">
        <v>1615</v>
      </c>
      <c r="B536" s="114" t="s">
        <v>1616</v>
      </c>
      <c r="C536" s="82">
        <v>94</v>
      </c>
      <c r="D536" s="43"/>
      <c r="E536" s="29" cm="1">
        <f t="array" ref="E536">_xlfn.IFS(C536=":",":",C536&gt;=N$19,1,C536&gt;=N$20,2,C536&gt;=N$21,3,C536&gt;=N$22,4,C536&gt;=N$23,5,C536&gt;=N$24,6,C536&lt;N$24,7)</f>
        <v>5</v>
      </c>
      <c r="F536" s="30"/>
      <c r="G536" s="5"/>
      <c r="H536" s="5"/>
    </row>
    <row r="537" spans="1:8" ht="12" customHeight="1">
      <c r="A537" s="10" t="s">
        <v>1617</v>
      </c>
      <c r="B537" s="114" t="s">
        <v>1618</v>
      </c>
      <c r="C537" s="82">
        <v>2781</v>
      </c>
      <c r="D537" s="43"/>
      <c r="E537" s="29" cm="1">
        <f t="array" ref="E537">_xlfn.IFS(C537=":",":",C537&gt;=N$19,1,C537&gt;=N$20,2,C537&gt;=N$21,3,C537&gt;=N$22,4,C537&gt;=N$23,5,C537&gt;=N$24,6,C537&lt;N$24,7)</f>
        <v>2</v>
      </c>
      <c r="F537" s="30"/>
      <c r="G537" s="5"/>
      <c r="H537" s="5"/>
    </row>
    <row r="538" spans="1:8" ht="12" customHeight="1">
      <c r="A538" s="10" t="s">
        <v>1619</v>
      </c>
      <c r="B538" s="114" t="s">
        <v>1620</v>
      </c>
      <c r="C538" s="82">
        <v>85</v>
      </c>
      <c r="D538" s="43"/>
      <c r="E538" s="29" cm="1">
        <f t="array" ref="E538">_xlfn.IFS(C538=":",":",C538&gt;=N$19,1,C538&gt;=N$20,2,C538&gt;=N$21,3,C538&gt;=N$22,4,C538&gt;=N$23,5,C538&gt;=N$24,6,C538&lt;N$24,7)</f>
        <v>5</v>
      </c>
      <c r="F538" s="30"/>
      <c r="G538" s="5"/>
      <c r="H538" s="5"/>
    </row>
    <row r="539" spans="1:8" ht="12" customHeight="1">
      <c r="A539" s="10" t="s">
        <v>1621</v>
      </c>
      <c r="B539" s="114" t="s">
        <v>1622</v>
      </c>
      <c r="C539" s="82">
        <v>3174</v>
      </c>
      <c r="D539" s="43"/>
      <c r="E539" s="29" cm="1">
        <f t="array" ref="E539">_xlfn.IFS(C539=":",":",C539&gt;=N$19,1,C539&gt;=N$20,2,C539&gt;=N$21,3,C539&gt;=N$22,4,C539&gt;=N$23,5,C539&gt;=N$24,6,C539&lt;N$24,7)</f>
        <v>2</v>
      </c>
      <c r="F539" s="30"/>
      <c r="G539" s="5"/>
      <c r="H539" s="5"/>
    </row>
    <row r="540" spans="1:8" ht="12" customHeight="1">
      <c r="A540" s="10" t="s">
        <v>1623</v>
      </c>
      <c r="B540" s="114" t="s">
        <v>1624</v>
      </c>
      <c r="C540" s="82">
        <v>27</v>
      </c>
      <c r="D540" s="43"/>
      <c r="E540" s="29" cm="1">
        <f t="array" ref="E540">_xlfn.IFS(C540=":",":",C540&gt;=N$19,1,C540&gt;=N$20,2,C540&gt;=N$21,3,C540&gt;=N$22,4,C540&gt;=N$23,5,C540&gt;=N$24,6,C540&lt;N$24,7)</f>
        <v>6</v>
      </c>
      <c r="F540" s="30"/>
      <c r="G540" s="5"/>
      <c r="H540" s="5"/>
    </row>
    <row r="541" spans="1:8" ht="12" customHeight="1">
      <c r="A541" s="10" t="s">
        <v>1625</v>
      </c>
      <c r="B541" s="114" t="s">
        <v>1626</v>
      </c>
      <c r="C541" s="82">
        <v>75</v>
      </c>
      <c r="D541" s="43"/>
      <c r="E541" s="29" cm="1">
        <f t="array" ref="E541">_xlfn.IFS(C541=":",":",C541&gt;=N$19,1,C541&gt;=N$20,2,C541&gt;=N$21,3,C541&gt;=N$22,4,C541&gt;=N$23,5,C541&gt;=N$24,6,C541&lt;N$24,7)</f>
        <v>5</v>
      </c>
      <c r="F541" s="30"/>
      <c r="G541" s="5"/>
      <c r="H541" s="5"/>
    </row>
    <row r="542" spans="1:8" ht="12" customHeight="1">
      <c r="A542" s="10" t="s">
        <v>1627</v>
      </c>
      <c r="B542" s="114" t="s">
        <v>1628</v>
      </c>
      <c r="C542" s="82">
        <v>34</v>
      </c>
      <c r="D542" s="43"/>
      <c r="E542" s="29" cm="1">
        <f t="array" ref="E542">_xlfn.IFS(C542=":",":",C542&gt;=N$19,1,C542&gt;=N$20,2,C542&gt;=N$21,3,C542&gt;=N$22,4,C542&gt;=N$23,5,C542&gt;=N$24,6,C542&lt;N$24,7)</f>
        <v>6</v>
      </c>
      <c r="F542" s="30"/>
      <c r="G542" s="5"/>
      <c r="H542" s="5"/>
    </row>
    <row r="543" spans="1:8" ht="12" customHeight="1">
      <c r="A543" s="10" t="s">
        <v>1629</v>
      </c>
      <c r="B543" s="114" t="s">
        <v>1630</v>
      </c>
      <c r="C543" s="82">
        <v>548</v>
      </c>
      <c r="D543" s="43"/>
      <c r="E543" s="29" cm="1">
        <f t="array" ref="E543">_xlfn.IFS(C543=":",":",C543&gt;=N$19,1,C543&gt;=N$20,2,C543&gt;=N$21,3,C543&gt;=N$22,4,C543&gt;=N$23,5,C543&gt;=N$24,6,C543&lt;N$24,7)</f>
        <v>3</v>
      </c>
      <c r="F543" s="30"/>
      <c r="G543" s="5"/>
      <c r="H543" s="5"/>
    </row>
    <row r="544" spans="1:8" ht="12" customHeight="1">
      <c r="A544" s="10" t="s">
        <v>1631</v>
      </c>
      <c r="B544" s="114" t="s">
        <v>1632</v>
      </c>
      <c r="C544" s="82">
        <v>402</v>
      </c>
      <c r="D544" s="43"/>
      <c r="E544" s="29" cm="1">
        <f t="array" ref="E544">_xlfn.IFS(C544=":",":",C544&gt;=N$19,1,C544&gt;=N$20,2,C544&gt;=N$21,3,C544&gt;=N$22,4,C544&gt;=N$23,5,C544&gt;=N$24,6,C544&lt;N$24,7)</f>
        <v>4</v>
      </c>
      <c r="F544" s="30"/>
      <c r="G544" s="5"/>
      <c r="H544" s="5"/>
    </row>
    <row r="545" spans="1:8" ht="12" customHeight="1">
      <c r="A545" s="10" t="s">
        <v>1633</v>
      </c>
      <c r="B545" s="114" t="s">
        <v>1634</v>
      </c>
      <c r="C545" s="82">
        <v>207</v>
      </c>
      <c r="D545" s="43"/>
      <c r="E545" s="29" cm="1">
        <f t="array" ref="E545">_xlfn.IFS(C545=":",":",C545&gt;=N$19,1,C545&gt;=N$20,2,C545&gt;=N$21,3,C545&gt;=N$22,4,C545&gt;=N$23,5,C545&gt;=N$24,6,C545&lt;N$24,7)</f>
        <v>4</v>
      </c>
      <c r="F545" s="30"/>
      <c r="G545" s="5"/>
      <c r="H545" s="5"/>
    </row>
    <row r="546" spans="1:8" ht="12" customHeight="1">
      <c r="A546" s="10" t="s">
        <v>1635</v>
      </c>
      <c r="B546" s="114" t="s">
        <v>1636</v>
      </c>
      <c r="C546" s="82">
        <v>129</v>
      </c>
      <c r="D546" s="43"/>
      <c r="E546" s="29" cm="1">
        <f t="array" ref="E546">_xlfn.IFS(C546=":",":",C546&gt;=N$19,1,C546&gt;=N$20,2,C546&gt;=N$21,3,C546&gt;=N$22,4,C546&gt;=N$23,5,C546&gt;=N$24,6,C546&lt;N$24,7)</f>
        <v>5</v>
      </c>
      <c r="F546" s="30"/>
      <c r="G546" s="5"/>
      <c r="H546" s="5"/>
    </row>
    <row r="547" spans="1:8" ht="12" customHeight="1">
      <c r="A547" s="10" t="s">
        <v>1637</v>
      </c>
      <c r="B547" s="114" t="s">
        <v>1638</v>
      </c>
      <c r="C547" s="82">
        <v>73</v>
      </c>
      <c r="D547" s="43"/>
      <c r="E547" s="29" cm="1">
        <f t="array" ref="E547">_xlfn.IFS(C547=":",":",C547&gt;=N$19,1,C547&gt;=N$20,2,C547&gt;=N$21,3,C547&gt;=N$22,4,C547&gt;=N$23,5,C547&gt;=N$24,6,C547&lt;N$24,7)</f>
        <v>6</v>
      </c>
      <c r="F547" s="30"/>
      <c r="G547" s="5"/>
      <c r="H547" s="5"/>
    </row>
    <row r="548" spans="1:8" ht="12" customHeight="1">
      <c r="A548" s="10" t="s">
        <v>1639</v>
      </c>
      <c r="B548" s="114" t="s">
        <v>2872</v>
      </c>
      <c r="C548" s="82">
        <v>1128</v>
      </c>
      <c r="D548" s="43"/>
      <c r="E548" s="29" cm="1">
        <f t="array" ref="E548">_xlfn.IFS(C548=":",":",C548&gt;=N$19,1,C548&gt;=N$20,2,C548&gt;=N$21,3,C548&gt;=N$22,4,C548&gt;=N$23,5,C548&gt;=N$24,6,C548&lt;N$24,7)</f>
        <v>3</v>
      </c>
      <c r="F548" s="30"/>
      <c r="G548" s="5"/>
      <c r="H548" s="5"/>
    </row>
    <row r="549" spans="1:8" ht="12" customHeight="1">
      <c r="A549" s="10" t="s">
        <v>1640</v>
      </c>
      <c r="B549" s="114" t="s">
        <v>1641</v>
      </c>
      <c r="C549" s="82">
        <v>15897</v>
      </c>
      <c r="D549" s="43"/>
      <c r="E549" s="29" cm="1">
        <f t="array" ref="E549">_xlfn.IFS(C549=":",":",C549&gt;=N$19,1,C549&gt;=N$20,2,C549&gt;=N$21,3,C549&gt;=N$22,4,C549&gt;=N$23,5,C549&gt;=N$24,6,C549&lt;N$24,7)</f>
        <v>1</v>
      </c>
      <c r="F549" s="30"/>
      <c r="G549" s="5"/>
      <c r="H549" s="5"/>
    </row>
    <row r="550" spans="1:8" ht="12" customHeight="1">
      <c r="A550" s="10" t="s">
        <v>1642</v>
      </c>
      <c r="B550" s="114" t="s">
        <v>1643</v>
      </c>
      <c r="C550" s="82">
        <v>16542</v>
      </c>
      <c r="D550" s="43"/>
      <c r="E550" s="29" cm="1">
        <f t="array" ref="E550">_xlfn.IFS(C550=":",":",C550&gt;=N$19,1,C550&gt;=N$20,2,C550&gt;=N$21,3,C550&gt;=N$22,4,C550&gt;=N$23,5,C550&gt;=N$24,6,C550&lt;N$24,7)</f>
        <v>1</v>
      </c>
      <c r="F550" s="30"/>
      <c r="G550" s="5"/>
      <c r="H550" s="5"/>
    </row>
    <row r="551" spans="1:8" ht="12" customHeight="1">
      <c r="A551" s="10" t="s">
        <v>1644</v>
      </c>
      <c r="B551" s="114" t="s">
        <v>1645</v>
      </c>
      <c r="C551" s="82">
        <v>2311</v>
      </c>
      <c r="D551" s="43"/>
      <c r="E551" s="29" cm="1">
        <f t="array" ref="E551">_xlfn.IFS(C551=":",":",C551&gt;=N$19,1,C551&gt;=N$20,2,C551&gt;=N$21,3,C551&gt;=N$22,4,C551&gt;=N$23,5,C551&gt;=N$24,6,C551&lt;N$24,7)</f>
        <v>2</v>
      </c>
      <c r="F551" s="30"/>
      <c r="G551" s="5"/>
      <c r="H551" s="5"/>
    </row>
    <row r="552" spans="1:8" ht="12" customHeight="1">
      <c r="A552" s="10" t="s">
        <v>1646</v>
      </c>
      <c r="B552" s="114" t="s">
        <v>1647</v>
      </c>
      <c r="C552" s="82">
        <v>4792</v>
      </c>
      <c r="D552" s="43"/>
      <c r="E552" s="29" cm="1">
        <f t="array" ref="E552">_xlfn.IFS(C552=":",":",C552&gt;=N$19,1,C552&gt;=N$20,2,C552&gt;=N$21,3,C552&gt;=N$22,4,C552&gt;=N$23,5,C552&gt;=N$24,6,C552&lt;N$24,7)</f>
        <v>2</v>
      </c>
      <c r="F552" s="30"/>
      <c r="G552" s="5"/>
      <c r="H552" s="5"/>
    </row>
    <row r="553" spans="1:8" ht="12" customHeight="1">
      <c r="A553" s="10" t="s">
        <v>1648</v>
      </c>
      <c r="B553" s="114" t="s">
        <v>1649</v>
      </c>
      <c r="C553" s="82">
        <v>87</v>
      </c>
      <c r="D553" s="43"/>
      <c r="E553" s="29" cm="1">
        <f t="array" ref="E553">_xlfn.IFS(C553=":",":",C553&gt;=N$19,1,C553&gt;=N$20,2,C553&gt;=N$21,3,C553&gt;=N$22,4,C553&gt;=N$23,5,C553&gt;=N$24,6,C553&lt;N$24,7)</f>
        <v>5</v>
      </c>
      <c r="F553" s="30"/>
      <c r="G553" s="5"/>
      <c r="H553" s="5"/>
    </row>
    <row r="554" spans="1:8" ht="12" customHeight="1">
      <c r="A554" s="10" t="s">
        <v>1650</v>
      </c>
      <c r="B554" s="114" t="s">
        <v>1651</v>
      </c>
      <c r="C554" s="82">
        <v>297</v>
      </c>
      <c r="D554" s="43"/>
      <c r="E554" s="29" cm="1">
        <f t="array" ref="E554">_xlfn.IFS(C554=":",":",C554&gt;=N$19,1,C554&gt;=N$20,2,C554&gt;=N$21,3,C554&gt;=N$22,4,C554&gt;=N$23,5,C554&gt;=N$24,6,C554&lt;N$24,7)</f>
        <v>4</v>
      </c>
      <c r="F554" s="30"/>
      <c r="G554" s="5"/>
      <c r="H554" s="5"/>
    </row>
    <row r="555" spans="1:8" ht="12" customHeight="1">
      <c r="A555" s="10" t="s">
        <v>1652</v>
      </c>
      <c r="B555" s="114" t="s">
        <v>1653</v>
      </c>
      <c r="C555" s="82">
        <v>359</v>
      </c>
      <c r="D555" s="43"/>
      <c r="E555" s="29" cm="1">
        <f t="array" ref="E555">_xlfn.IFS(C555=":",":",C555&gt;=N$19,1,C555&gt;=N$20,2,C555&gt;=N$21,3,C555&gt;=N$22,4,C555&gt;=N$23,5,C555&gt;=N$24,6,C555&lt;N$24,7)</f>
        <v>4</v>
      </c>
      <c r="F555" s="30"/>
      <c r="G555" s="5"/>
      <c r="H555" s="5"/>
    </row>
    <row r="556" spans="1:8" ht="12" customHeight="1">
      <c r="A556" s="10" t="s">
        <v>1654</v>
      </c>
      <c r="B556" s="114" t="s">
        <v>1655</v>
      </c>
      <c r="C556" s="82">
        <v>85</v>
      </c>
      <c r="D556" s="43"/>
      <c r="E556" s="29" cm="1">
        <f t="array" ref="E556">_xlfn.IFS(C556=":",":",C556&gt;=N$19,1,C556&gt;=N$20,2,C556&gt;=N$21,3,C556&gt;=N$22,4,C556&gt;=N$23,5,C556&gt;=N$24,6,C556&lt;N$24,7)</f>
        <v>5</v>
      </c>
      <c r="F556" s="30"/>
      <c r="G556" s="5"/>
      <c r="H556" s="5"/>
    </row>
    <row r="557" spans="1:8" ht="12" customHeight="1">
      <c r="A557" s="10" t="s">
        <v>1656</v>
      </c>
      <c r="B557" s="114" t="s">
        <v>1657</v>
      </c>
      <c r="C557" s="82">
        <v>416</v>
      </c>
      <c r="D557" s="43"/>
      <c r="E557" s="29" cm="1">
        <f t="array" ref="E557">_xlfn.IFS(C557=":",":",C557&gt;=N$19,1,C557&gt;=N$20,2,C557&gt;=N$21,3,C557&gt;=N$22,4,C557&gt;=N$23,5,C557&gt;=N$24,6,C557&lt;N$24,7)</f>
        <v>4</v>
      </c>
      <c r="F557" s="30"/>
      <c r="G557" s="5"/>
      <c r="H557" s="5"/>
    </row>
    <row r="558" spans="1:8" ht="12" customHeight="1">
      <c r="A558" s="10" t="s">
        <v>1658</v>
      </c>
      <c r="B558" s="114" t="s">
        <v>1659</v>
      </c>
      <c r="C558" s="82">
        <v>68</v>
      </c>
      <c r="D558" s="43"/>
      <c r="E558" s="29" cm="1">
        <f t="array" ref="E558">_xlfn.IFS(C558=":",":",C558&gt;=N$19,1,C558&gt;=N$20,2,C558&gt;=N$21,3,C558&gt;=N$22,4,C558&gt;=N$23,5,C558&gt;=N$24,6,C558&lt;N$24,7)</f>
        <v>6</v>
      </c>
      <c r="F558" s="30"/>
      <c r="G558" s="5"/>
      <c r="H558" s="5"/>
    </row>
    <row r="559" spans="1:8" ht="12" customHeight="1">
      <c r="A559" s="10" t="s">
        <v>1660</v>
      </c>
      <c r="B559" s="114" t="s">
        <v>1661</v>
      </c>
      <c r="C559" s="82">
        <v>77</v>
      </c>
      <c r="D559" s="43"/>
      <c r="E559" s="29" cm="1">
        <f t="array" ref="E559">_xlfn.IFS(C559=":",":",C559&gt;=N$19,1,C559&gt;=N$20,2,C559&gt;=N$21,3,C559&gt;=N$22,4,C559&gt;=N$23,5,C559&gt;=N$24,6,C559&lt;N$24,7)</f>
        <v>5</v>
      </c>
      <c r="F559" s="30"/>
      <c r="G559" s="5"/>
      <c r="H559" s="5"/>
    </row>
    <row r="560" spans="1:8" ht="12" customHeight="1">
      <c r="A560" s="10" t="s">
        <v>1662</v>
      </c>
      <c r="B560" s="114" t="s">
        <v>1663</v>
      </c>
      <c r="C560" s="82">
        <v>242</v>
      </c>
      <c r="D560" s="43"/>
      <c r="E560" s="29" cm="1">
        <f t="array" ref="E560">_xlfn.IFS(C560=":",":",C560&gt;=N$19,1,C560&gt;=N$20,2,C560&gt;=N$21,3,C560&gt;=N$22,4,C560&gt;=N$23,5,C560&gt;=N$24,6,C560&lt;N$24,7)</f>
        <v>4</v>
      </c>
      <c r="F560" s="30"/>
      <c r="G560" s="5"/>
      <c r="H560" s="5"/>
    </row>
    <row r="561" spans="1:8" ht="12" customHeight="1">
      <c r="A561" s="10" t="s">
        <v>1664</v>
      </c>
      <c r="B561" s="114" t="s">
        <v>1665</v>
      </c>
      <c r="C561" s="82">
        <v>262</v>
      </c>
      <c r="D561" s="43"/>
      <c r="E561" s="29" cm="1">
        <f t="array" ref="E561">_xlfn.IFS(C561=":",":",C561&gt;=N$19,1,C561&gt;=N$20,2,C561&gt;=N$21,3,C561&gt;=N$22,4,C561&gt;=N$23,5,C561&gt;=N$24,6,C561&lt;N$24,7)</f>
        <v>4</v>
      </c>
      <c r="F561" s="30"/>
      <c r="G561" s="5"/>
      <c r="H561" s="5"/>
    </row>
    <row r="562" spans="1:8" ht="12" customHeight="1">
      <c r="A562" s="10" t="s">
        <v>1666</v>
      </c>
      <c r="B562" s="114" t="s">
        <v>1667</v>
      </c>
      <c r="C562" s="82">
        <v>413</v>
      </c>
      <c r="D562" s="43"/>
      <c r="E562" s="29" cm="1">
        <f t="array" ref="E562">_xlfn.IFS(C562=":",":",C562&gt;=N$19,1,C562&gt;=N$20,2,C562&gt;=N$21,3,C562&gt;=N$22,4,C562&gt;=N$23,5,C562&gt;=N$24,6,C562&lt;N$24,7)</f>
        <v>4</v>
      </c>
      <c r="F562" s="30"/>
      <c r="G562" s="5"/>
      <c r="H562" s="5"/>
    </row>
    <row r="563" spans="1:8" ht="12" customHeight="1">
      <c r="A563" s="10" t="s">
        <v>1668</v>
      </c>
      <c r="B563" s="114" t="s">
        <v>1669</v>
      </c>
      <c r="C563" s="82">
        <v>491</v>
      </c>
      <c r="D563" s="43"/>
      <c r="E563" s="29" cm="1">
        <f t="array" ref="E563">_xlfn.IFS(C563=":",":",C563&gt;=N$19,1,C563&gt;=N$20,2,C563&gt;=N$21,3,C563&gt;=N$22,4,C563&gt;=N$23,5,C563&gt;=N$24,6,C563&lt;N$24,7)</f>
        <v>4</v>
      </c>
      <c r="F563" s="30"/>
      <c r="G563" s="5"/>
      <c r="H563" s="5"/>
    </row>
    <row r="564" spans="1:8" ht="12" customHeight="1">
      <c r="A564" s="10" t="s">
        <v>1670</v>
      </c>
      <c r="B564" s="112" t="s">
        <v>1671</v>
      </c>
      <c r="C564" s="82">
        <v>705</v>
      </c>
      <c r="D564" s="43"/>
      <c r="E564" s="29" cm="1">
        <f t="array" ref="E564">_xlfn.IFS(C564=":",":",C564&gt;=N$19,1,C564&gt;=N$20,2,C564&gt;=N$21,3,C564&gt;=N$22,4,C564&gt;=N$23,5,C564&gt;=N$24,6,C564&lt;N$24,7)</f>
        <v>3</v>
      </c>
      <c r="F564" s="30"/>
      <c r="G564" s="5"/>
      <c r="H564" s="5"/>
    </row>
    <row r="565" spans="1:8" ht="12" customHeight="1">
      <c r="A565" s="10" t="s">
        <v>1672</v>
      </c>
      <c r="B565" s="112" t="s">
        <v>1673</v>
      </c>
      <c r="C565" s="82">
        <v>192</v>
      </c>
      <c r="D565" s="43"/>
      <c r="E565" s="29" cm="1">
        <f t="array" ref="E565">_xlfn.IFS(C565=":",":",C565&gt;=N$19,1,C565&gt;=N$20,2,C565&gt;=N$21,3,C565&gt;=N$22,4,C565&gt;=N$23,5,C565&gt;=N$24,6,C565&lt;N$24,7)</f>
        <v>5</v>
      </c>
      <c r="F565" s="30"/>
      <c r="G565" s="5"/>
      <c r="H565" s="5"/>
    </row>
    <row r="566" spans="1:8" ht="12" customHeight="1">
      <c r="A566" s="10" t="s">
        <v>1674</v>
      </c>
      <c r="B566" s="112" t="s">
        <v>1675</v>
      </c>
      <c r="C566" s="82">
        <v>125</v>
      </c>
      <c r="D566" s="43"/>
      <c r="E566" s="29" cm="1">
        <f t="array" ref="E566">_xlfn.IFS(C566=":",":",C566&gt;=N$19,1,C566&gt;=N$20,2,C566&gt;=N$21,3,C566&gt;=N$22,4,C566&gt;=N$23,5,C566&gt;=N$24,6,C566&lt;N$24,7)</f>
        <v>5</v>
      </c>
      <c r="F566" s="30"/>
      <c r="G566" s="5"/>
      <c r="H566" s="5"/>
    </row>
    <row r="567" spans="1:8" ht="12" customHeight="1">
      <c r="A567" s="10" t="s">
        <v>1676</v>
      </c>
      <c r="B567" s="112" t="s">
        <v>1677</v>
      </c>
      <c r="C567" s="82">
        <v>1111</v>
      </c>
      <c r="D567" s="43"/>
      <c r="E567" s="29" cm="1">
        <f t="array" ref="E567">_xlfn.IFS(C567=":",":",C567&gt;=N$19,1,C567&gt;=N$20,2,C567&gt;=N$21,3,C567&gt;=N$22,4,C567&gt;=N$23,5,C567&gt;=N$24,6,C567&lt;N$24,7)</f>
        <v>3</v>
      </c>
      <c r="F567" s="30"/>
      <c r="G567" s="5"/>
      <c r="H567" s="5"/>
    </row>
    <row r="568" spans="1:8" ht="12" customHeight="1">
      <c r="A568" s="10" t="s">
        <v>1678</v>
      </c>
      <c r="B568" s="112" t="s">
        <v>1679</v>
      </c>
      <c r="C568" s="82">
        <v>633</v>
      </c>
      <c r="D568" s="43"/>
      <c r="E568" s="29" cm="1">
        <f t="array" ref="E568">_xlfn.IFS(C568=":",":",C568&gt;=N$19,1,C568&gt;=N$20,2,C568&gt;=N$21,3,C568&gt;=N$22,4,C568&gt;=N$23,5,C568&gt;=N$24,6,C568&lt;N$24,7)</f>
        <v>3</v>
      </c>
      <c r="F568" s="30"/>
      <c r="G568" s="5"/>
      <c r="H568" s="5"/>
    </row>
    <row r="569" spans="1:8" ht="12" customHeight="1">
      <c r="A569" s="10" t="s">
        <v>1680</v>
      </c>
      <c r="B569" s="112" t="s">
        <v>14</v>
      </c>
      <c r="C569" s="82">
        <v>1161</v>
      </c>
      <c r="D569" s="43"/>
      <c r="E569" s="29" cm="1">
        <f t="array" ref="E569">_xlfn.IFS(C569=":",":",C569&gt;=N$19,1,C569&gt;=N$20,2,C569&gt;=N$21,3,C569&gt;=N$22,4,C569&gt;=N$23,5,C569&gt;=N$24,6,C569&lt;N$24,7)</f>
        <v>3</v>
      </c>
      <c r="F569" s="30"/>
      <c r="G569" s="5"/>
      <c r="H569" s="5"/>
    </row>
    <row r="570" spans="1:8" ht="12" customHeight="1">
      <c r="A570" s="10" t="s">
        <v>1681</v>
      </c>
      <c r="B570" s="112" t="s">
        <v>1682</v>
      </c>
      <c r="C570" s="82">
        <v>481</v>
      </c>
      <c r="D570" s="43"/>
      <c r="E570" s="29" cm="1">
        <f t="array" ref="E570">_xlfn.IFS(C570=":",":",C570&gt;=N$19,1,C570&gt;=N$20,2,C570&gt;=N$21,3,C570&gt;=N$22,4,C570&gt;=N$23,5,C570&gt;=N$24,6,C570&lt;N$24,7)</f>
        <v>4</v>
      </c>
      <c r="F570" s="30"/>
      <c r="G570" s="5"/>
      <c r="H570" s="5"/>
    </row>
    <row r="571" spans="1:8" ht="12" customHeight="1">
      <c r="A571" s="10" t="s">
        <v>1683</v>
      </c>
      <c r="B571" s="112" t="s">
        <v>1684</v>
      </c>
      <c r="C571" s="82">
        <v>2294</v>
      </c>
      <c r="D571" s="43"/>
      <c r="E571" s="29" cm="1">
        <f t="array" ref="E571">_xlfn.IFS(C571=":",":",C571&gt;=N$19,1,C571&gt;=N$20,2,C571&gt;=N$21,3,C571&gt;=N$22,4,C571&gt;=N$23,5,C571&gt;=N$24,6,C571&lt;N$24,7)</f>
        <v>2</v>
      </c>
      <c r="F571" s="30"/>
      <c r="G571" s="5"/>
      <c r="H571" s="5"/>
    </row>
    <row r="572" spans="1:8" ht="12" customHeight="1">
      <c r="A572" s="10" t="s">
        <v>1685</v>
      </c>
      <c r="B572" s="112" t="s">
        <v>1686</v>
      </c>
      <c r="C572" s="82">
        <v>1941</v>
      </c>
      <c r="D572" s="43"/>
      <c r="E572" s="29" cm="1">
        <f t="array" ref="E572">_xlfn.IFS(C572=":",":",C572&gt;=N$19,1,C572&gt;=N$20,2,C572&gt;=N$21,3,C572&gt;=N$22,4,C572&gt;=N$23,5,C572&gt;=N$24,6,C572&lt;N$24,7)</f>
        <v>2</v>
      </c>
      <c r="F572" s="30"/>
      <c r="G572" s="5"/>
      <c r="H572" s="5"/>
    </row>
    <row r="573" spans="1:8" ht="12" customHeight="1">
      <c r="A573" s="10" t="s">
        <v>1687</v>
      </c>
      <c r="B573" s="112" t="s">
        <v>1688</v>
      </c>
      <c r="C573" s="82">
        <v>395</v>
      </c>
      <c r="D573" s="43"/>
      <c r="E573" s="29" cm="1">
        <f t="array" ref="E573">_xlfn.IFS(C573=":",":",C573&gt;=N$19,1,C573&gt;=N$20,2,C573&gt;=N$21,3,C573&gt;=N$22,4,C573&gt;=N$23,5,C573&gt;=N$24,6,C573&lt;N$24,7)</f>
        <v>4</v>
      </c>
      <c r="F573" s="30"/>
      <c r="G573" s="5"/>
      <c r="H573" s="5"/>
    </row>
    <row r="574" spans="1:8" ht="12" customHeight="1">
      <c r="A574" s="10" t="s">
        <v>1689</v>
      </c>
      <c r="B574" s="112" t="s">
        <v>191</v>
      </c>
      <c r="C574" s="82">
        <v>333</v>
      </c>
      <c r="D574" s="43"/>
      <c r="E574" s="29" cm="1">
        <f t="array" ref="E574">_xlfn.IFS(C574=":",":",C574&gt;=N$19,1,C574&gt;=N$20,2,C574&gt;=N$21,3,C574&gt;=N$22,4,C574&gt;=N$23,5,C574&gt;=N$24,6,C574&lt;N$24,7)</f>
        <v>4</v>
      </c>
      <c r="F574" s="30"/>
      <c r="G574" s="5"/>
      <c r="H574" s="5"/>
    </row>
    <row r="575" spans="1:8" ht="12" customHeight="1">
      <c r="A575" s="10" t="s">
        <v>1690</v>
      </c>
      <c r="B575" s="112" t="s">
        <v>1691</v>
      </c>
      <c r="C575" s="82">
        <v>247</v>
      </c>
      <c r="D575" s="43"/>
      <c r="E575" s="29" cm="1">
        <f t="array" ref="E575">_xlfn.IFS(C575=":",":",C575&gt;=N$19,1,C575&gt;=N$20,2,C575&gt;=N$21,3,C575&gt;=N$22,4,C575&gt;=N$23,5,C575&gt;=N$24,6,C575&lt;N$24,7)</f>
        <v>4</v>
      </c>
      <c r="F575" s="30"/>
      <c r="G575" s="5"/>
      <c r="H575" s="5"/>
    </row>
    <row r="576" spans="1:8" ht="12" customHeight="1">
      <c r="A576" s="10" t="s">
        <v>1692</v>
      </c>
      <c r="B576" s="112" t="s">
        <v>1693</v>
      </c>
      <c r="C576" s="82">
        <v>96</v>
      </c>
      <c r="D576" s="43"/>
      <c r="E576" s="29" cm="1">
        <f t="array" ref="E576">_xlfn.IFS(C576=":",":",C576&gt;=N$19,1,C576&gt;=N$20,2,C576&gt;=N$21,3,C576&gt;=N$22,4,C576&gt;=N$23,5,C576&gt;=N$24,6,C576&lt;N$24,7)</f>
        <v>5</v>
      </c>
      <c r="F576" s="30"/>
      <c r="G576" s="5"/>
      <c r="H576" s="5"/>
    </row>
    <row r="577" spans="1:8" ht="12" customHeight="1">
      <c r="A577" s="10" t="s">
        <v>1694</v>
      </c>
      <c r="B577" s="112" t="s">
        <v>1695</v>
      </c>
      <c r="C577" s="82">
        <v>199</v>
      </c>
      <c r="D577" s="43"/>
      <c r="E577" s="29" cm="1">
        <f t="array" ref="E577">_xlfn.IFS(C577=":",":",C577&gt;=N$19,1,C577&gt;=N$20,2,C577&gt;=N$21,3,C577&gt;=N$22,4,C577&gt;=N$23,5,C577&gt;=N$24,6,C577&lt;N$24,7)</f>
        <v>5</v>
      </c>
      <c r="F577" s="30"/>
      <c r="G577" s="5"/>
      <c r="H577" s="5"/>
    </row>
    <row r="578" spans="1:8" ht="12" customHeight="1">
      <c r="A578" s="10" t="s">
        <v>1696</v>
      </c>
      <c r="B578" s="112" t="s">
        <v>1697</v>
      </c>
      <c r="C578" s="82">
        <v>4054</v>
      </c>
      <c r="D578" s="43"/>
      <c r="E578" s="29" cm="1">
        <f t="array" ref="E578">_xlfn.IFS(C578=":",":",C578&gt;=N$19,1,C578&gt;=N$20,2,C578&gt;=N$21,3,C578&gt;=N$22,4,C578&gt;=N$23,5,C578&gt;=N$24,6,C578&lt;N$24,7)</f>
        <v>2</v>
      </c>
      <c r="F578" s="30"/>
      <c r="G578" s="5"/>
      <c r="H578" s="5"/>
    </row>
    <row r="579" spans="1:8" ht="12" customHeight="1">
      <c r="A579" s="10" t="s">
        <v>1698</v>
      </c>
      <c r="B579" s="112" t="s">
        <v>1699</v>
      </c>
      <c r="C579" s="82">
        <v>168</v>
      </c>
      <c r="D579" s="43"/>
      <c r="E579" s="29" cm="1">
        <f t="array" ref="E579">_xlfn.IFS(C579=":",":",C579&gt;=N$19,1,C579&gt;=N$20,2,C579&gt;=N$21,3,C579&gt;=N$22,4,C579&gt;=N$23,5,C579&gt;=N$24,6,C579&lt;N$24,7)</f>
        <v>5</v>
      </c>
      <c r="F579" s="30"/>
      <c r="G579" s="5"/>
      <c r="H579" s="5"/>
    </row>
    <row r="580" spans="1:8" ht="12" customHeight="1">
      <c r="A580" s="10" t="s">
        <v>1700</v>
      </c>
      <c r="B580" s="112" t="s">
        <v>1701</v>
      </c>
      <c r="C580" s="82">
        <v>147</v>
      </c>
      <c r="D580" s="43"/>
      <c r="E580" s="29" cm="1">
        <f t="array" ref="E580">_xlfn.IFS(C580=":",":",C580&gt;=N$19,1,C580&gt;=N$20,2,C580&gt;=N$21,3,C580&gt;=N$22,4,C580&gt;=N$23,5,C580&gt;=N$24,6,C580&lt;N$24,7)</f>
        <v>5</v>
      </c>
      <c r="F580" s="30"/>
      <c r="G580" s="5"/>
      <c r="H580" s="5"/>
    </row>
    <row r="581" spans="1:8" ht="12" customHeight="1">
      <c r="A581" s="10" t="s">
        <v>1702</v>
      </c>
      <c r="B581" s="112" t="s">
        <v>1703</v>
      </c>
      <c r="C581" s="82">
        <v>129</v>
      </c>
      <c r="D581" s="43"/>
      <c r="E581" s="29" cm="1">
        <f t="array" ref="E581">_xlfn.IFS(C581=":",":",C581&gt;=N$19,1,C581&gt;=N$20,2,C581&gt;=N$21,3,C581&gt;=N$22,4,C581&gt;=N$23,5,C581&gt;=N$24,6,C581&lt;N$24,7)</f>
        <v>5</v>
      </c>
      <c r="F581" s="30"/>
      <c r="G581" s="5"/>
      <c r="H581" s="5"/>
    </row>
    <row r="582" spans="1:8" ht="12" customHeight="1">
      <c r="A582" s="10" t="s">
        <v>1704</v>
      </c>
      <c r="B582" s="112" t="s">
        <v>1705</v>
      </c>
      <c r="C582" s="82">
        <v>95</v>
      </c>
      <c r="D582" s="43"/>
      <c r="E582" s="29" cm="1">
        <f t="array" ref="E582">_xlfn.IFS(C582=":",":",C582&gt;=N$19,1,C582&gt;=N$20,2,C582&gt;=N$21,3,C582&gt;=N$22,4,C582&gt;=N$23,5,C582&gt;=N$24,6,C582&lt;N$24,7)</f>
        <v>5</v>
      </c>
      <c r="F582" s="30"/>
      <c r="G582" s="5"/>
      <c r="H582" s="5"/>
    </row>
    <row r="583" spans="1:8" ht="12" customHeight="1">
      <c r="A583" s="10" t="s">
        <v>1706</v>
      </c>
      <c r="B583" s="112" t="s">
        <v>1707</v>
      </c>
      <c r="C583" s="82">
        <v>196</v>
      </c>
      <c r="D583" s="43"/>
      <c r="E583" s="29" cm="1">
        <f t="array" ref="E583">_xlfn.IFS(C583=":",":",C583&gt;=N$19,1,C583&gt;=N$20,2,C583&gt;=N$21,3,C583&gt;=N$22,4,C583&gt;=N$23,5,C583&gt;=N$24,6,C583&lt;N$24,7)</f>
        <v>5</v>
      </c>
      <c r="F583" s="30"/>
      <c r="G583" s="5"/>
      <c r="H583" s="5"/>
    </row>
    <row r="584" spans="1:8" ht="12" customHeight="1">
      <c r="A584" s="10" t="s">
        <v>1708</v>
      </c>
      <c r="B584" s="112" t="s">
        <v>1709</v>
      </c>
      <c r="C584" s="82">
        <v>203</v>
      </c>
      <c r="D584" s="43"/>
      <c r="E584" s="29" cm="1">
        <f t="array" ref="E584">_xlfn.IFS(C584=":",":",C584&gt;=N$19,1,C584&gt;=N$20,2,C584&gt;=N$21,3,C584&gt;=N$22,4,C584&gt;=N$23,5,C584&gt;=N$24,6,C584&lt;N$24,7)</f>
        <v>4</v>
      </c>
      <c r="F584" s="30"/>
      <c r="G584" s="5"/>
      <c r="H584" s="5"/>
    </row>
    <row r="585" spans="1:8" ht="12" customHeight="1">
      <c r="A585" s="10" t="s">
        <v>1710</v>
      </c>
      <c r="B585" s="112" t="s">
        <v>1711</v>
      </c>
      <c r="C585" s="82">
        <v>86</v>
      </c>
      <c r="D585" s="43"/>
      <c r="E585" s="29" cm="1">
        <f t="array" ref="E585">_xlfn.IFS(C585=":",":",C585&gt;=N$19,1,C585&gt;=N$20,2,C585&gt;=N$21,3,C585&gt;=N$22,4,C585&gt;=N$23,5,C585&gt;=N$24,6,C585&lt;N$24,7)</f>
        <v>5</v>
      </c>
      <c r="F585" s="30"/>
      <c r="G585" s="5"/>
      <c r="H585" s="5"/>
    </row>
    <row r="586" spans="1:8" ht="12" customHeight="1">
      <c r="A586" s="10" t="s">
        <v>1712</v>
      </c>
      <c r="B586" s="112" t="s">
        <v>1713</v>
      </c>
      <c r="C586" s="82">
        <v>193</v>
      </c>
      <c r="D586" s="43"/>
      <c r="E586" s="29" cm="1">
        <f t="array" ref="E586">_xlfn.IFS(C586=":",":",C586&gt;=N$19,1,C586&gt;=N$20,2,C586&gt;=N$21,3,C586&gt;=N$22,4,C586&gt;=N$23,5,C586&gt;=N$24,6,C586&lt;N$24,7)</f>
        <v>5</v>
      </c>
      <c r="F586" s="30"/>
      <c r="G586" s="5"/>
      <c r="H586" s="5"/>
    </row>
    <row r="587" spans="1:8" ht="12" customHeight="1">
      <c r="A587" s="10" t="s">
        <v>1714</v>
      </c>
      <c r="B587" s="112" t="s">
        <v>1715</v>
      </c>
      <c r="C587" s="82">
        <v>59</v>
      </c>
      <c r="D587" s="43"/>
      <c r="E587" s="29" cm="1">
        <f t="array" ref="E587">_xlfn.IFS(C587=":",":",C587&gt;=N$19,1,C587&gt;=N$20,2,C587&gt;=N$21,3,C587&gt;=N$22,4,C587&gt;=N$23,5,C587&gt;=N$24,6,C587&lt;N$24,7)</f>
        <v>6</v>
      </c>
      <c r="F587" s="30"/>
      <c r="G587" s="5"/>
      <c r="H587" s="5"/>
    </row>
    <row r="588" spans="1:8" ht="12" customHeight="1">
      <c r="A588" s="10" t="s">
        <v>1716</v>
      </c>
      <c r="B588" s="112" t="s">
        <v>1717</v>
      </c>
      <c r="C588" s="82">
        <v>88</v>
      </c>
      <c r="D588" s="43"/>
      <c r="E588" s="29" cm="1">
        <f t="array" ref="E588">_xlfn.IFS(C588=":",":",C588&gt;=N$19,1,C588&gt;=N$20,2,C588&gt;=N$21,3,C588&gt;=N$22,4,C588&gt;=N$23,5,C588&gt;=N$24,6,C588&lt;N$24,7)</f>
        <v>5</v>
      </c>
      <c r="F588" s="30"/>
      <c r="G588" s="5"/>
      <c r="H588" s="5"/>
    </row>
    <row r="589" spans="1:8" ht="12" customHeight="1">
      <c r="A589" s="10" t="s">
        <v>1718</v>
      </c>
      <c r="B589" s="112" t="s">
        <v>1719</v>
      </c>
      <c r="C589" s="82">
        <v>47</v>
      </c>
      <c r="D589" s="43"/>
      <c r="E589" s="29" cm="1">
        <f t="array" ref="E589">_xlfn.IFS(C589=":",":",C589&gt;=N$19,1,C589&gt;=N$20,2,C589&gt;=N$21,3,C589&gt;=N$22,4,C589&gt;=N$23,5,C589&gt;=N$24,6,C589&lt;N$24,7)</f>
        <v>6</v>
      </c>
      <c r="F589" s="30"/>
      <c r="G589" s="5"/>
      <c r="H589" s="5"/>
    </row>
    <row r="590" spans="1:8" ht="12" customHeight="1">
      <c r="A590" s="10" t="s">
        <v>1720</v>
      </c>
      <c r="B590" s="112" t="s">
        <v>1721</v>
      </c>
      <c r="C590" s="82">
        <v>57</v>
      </c>
      <c r="D590" s="43"/>
      <c r="E590" s="29" cm="1">
        <f t="array" ref="E590">_xlfn.IFS(C590=":",":",C590&gt;=N$19,1,C590&gt;=N$20,2,C590&gt;=N$21,3,C590&gt;=N$22,4,C590&gt;=N$23,5,C590&gt;=N$24,6,C590&lt;N$24,7)</f>
        <v>6</v>
      </c>
      <c r="F590" s="30"/>
      <c r="G590" s="5"/>
      <c r="H590" s="5"/>
    </row>
    <row r="591" spans="1:8" ht="12" customHeight="1">
      <c r="A591" s="10" t="s">
        <v>1722</v>
      </c>
      <c r="B591" s="112" t="s">
        <v>1723</v>
      </c>
      <c r="C591" s="82">
        <v>63</v>
      </c>
      <c r="D591" s="43"/>
      <c r="E591" s="29" cm="1">
        <f t="array" ref="E591">_xlfn.IFS(C591=":",":",C591&gt;=N$19,1,C591&gt;=N$20,2,C591&gt;=N$21,3,C591&gt;=N$22,4,C591&gt;=N$23,5,C591&gt;=N$24,6,C591&lt;N$24,7)</f>
        <v>6</v>
      </c>
      <c r="F591" s="30"/>
      <c r="G591" s="5"/>
      <c r="H591" s="5"/>
    </row>
    <row r="592" spans="1:8" ht="12" customHeight="1">
      <c r="A592" s="10" t="s">
        <v>1724</v>
      </c>
      <c r="B592" s="112" t="s">
        <v>1725</v>
      </c>
      <c r="C592" s="82">
        <v>129</v>
      </c>
      <c r="D592" s="43"/>
      <c r="E592" s="29" cm="1">
        <f t="array" ref="E592">_xlfn.IFS(C592=":",":",C592&gt;=N$19,1,C592&gt;=N$20,2,C592&gt;=N$21,3,C592&gt;=N$22,4,C592&gt;=N$23,5,C592&gt;=N$24,6,C592&lt;N$24,7)</f>
        <v>5</v>
      </c>
      <c r="F592" s="30"/>
      <c r="G592" s="5"/>
      <c r="H592" s="5"/>
    </row>
    <row r="593" spans="1:8" ht="12" customHeight="1">
      <c r="A593" s="10" t="s">
        <v>1726</v>
      </c>
      <c r="B593" s="112" t="s">
        <v>1727</v>
      </c>
      <c r="C593" s="82">
        <v>77</v>
      </c>
      <c r="D593" s="43"/>
      <c r="E593" s="29" cm="1">
        <f t="array" ref="E593">_xlfn.IFS(C593=":",":",C593&gt;=N$19,1,C593&gt;=N$20,2,C593&gt;=N$21,3,C593&gt;=N$22,4,C593&gt;=N$23,5,C593&gt;=N$24,6,C593&lt;N$24,7)</f>
        <v>5</v>
      </c>
      <c r="F593" s="30"/>
      <c r="G593" s="5"/>
      <c r="H593" s="5"/>
    </row>
    <row r="594" spans="1:8" ht="12" customHeight="1">
      <c r="A594" s="10" t="s">
        <v>1728</v>
      </c>
      <c r="B594" s="112" t="s">
        <v>1729</v>
      </c>
      <c r="C594" s="82">
        <v>124</v>
      </c>
      <c r="D594" s="43"/>
      <c r="E594" s="29" cm="1">
        <f t="array" ref="E594">_xlfn.IFS(C594=":",":",C594&gt;=N$19,1,C594&gt;=N$20,2,C594&gt;=N$21,3,C594&gt;=N$22,4,C594&gt;=N$23,5,C594&gt;=N$24,6,C594&lt;N$24,7)</f>
        <v>5</v>
      </c>
      <c r="F594" s="30"/>
      <c r="G594" s="5"/>
      <c r="H594" s="5"/>
    </row>
    <row r="595" spans="1:8" ht="12" customHeight="1">
      <c r="A595" s="10" t="s">
        <v>1730</v>
      </c>
      <c r="B595" s="112" t="s">
        <v>1731</v>
      </c>
      <c r="C595" s="82">
        <v>5343</v>
      </c>
      <c r="D595" s="43"/>
      <c r="E595" s="29" cm="1">
        <f t="array" ref="E595">_xlfn.IFS(C595=":",":",C595&gt;=N$19,1,C595&gt;=N$20,2,C595&gt;=N$21,3,C595&gt;=N$22,4,C595&gt;=N$23,5,C595&gt;=N$24,6,C595&lt;N$24,7)</f>
        <v>1</v>
      </c>
      <c r="F595" s="30"/>
      <c r="G595" s="5"/>
      <c r="H595" s="5"/>
    </row>
    <row r="596" spans="1:8" ht="12" customHeight="1">
      <c r="A596" s="10" t="s">
        <v>1732</v>
      </c>
      <c r="B596" s="112" t="s">
        <v>1733</v>
      </c>
      <c r="C596" s="82">
        <v>4152</v>
      </c>
      <c r="D596" s="43"/>
      <c r="E596" s="29" cm="1">
        <f t="array" ref="E596">_xlfn.IFS(C596=":",":",C596&gt;=N$19,1,C596&gt;=N$20,2,C596&gt;=N$21,3,C596&gt;=N$22,4,C596&gt;=N$23,5,C596&gt;=N$24,6,C596&lt;N$24,7)</f>
        <v>2</v>
      </c>
      <c r="F596" s="30"/>
      <c r="G596" s="5"/>
      <c r="H596" s="5"/>
    </row>
    <row r="597" spans="1:8" ht="12" customHeight="1">
      <c r="A597" s="10" t="s">
        <v>1734</v>
      </c>
      <c r="B597" s="112" t="s">
        <v>1735</v>
      </c>
      <c r="C597" s="82">
        <v>271</v>
      </c>
      <c r="D597" s="43"/>
      <c r="E597" s="29" cm="1">
        <f t="array" ref="E597">_xlfn.IFS(C597=":",":",C597&gt;=N$19,1,C597&gt;=N$20,2,C597&gt;=N$21,3,C597&gt;=N$22,4,C597&gt;=N$23,5,C597&gt;=N$24,6,C597&lt;N$24,7)</f>
        <v>4</v>
      </c>
      <c r="F597" s="30"/>
      <c r="G597" s="5"/>
      <c r="H597" s="5"/>
    </row>
    <row r="598" spans="1:8" ht="12" customHeight="1">
      <c r="A598" s="10" t="s">
        <v>1736</v>
      </c>
      <c r="B598" s="112" t="s">
        <v>1737</v>
      </c>
      <c r="C598" s="82">
        <v>3152</v>
      </c>
      <c r="D598" s="43"/>
      <c r="E598" s="29" cm="1">
        <f t="array" ref="E598">_xlfn.IFS(C598=":",":",C598&gt;=N$19,1,C598&gt;=N$20,2,C598&gt;=N$21,3,C598&gt;=N$22,4,C598&gt;=N$23,5,C598&gt;=N$24,6,C598&lt;N$24,7)</f>
        <v>2</v>
      </c>
      <c r="F598" s="30"/>
      <c r="G598" s="5"/>
      <c r="H598" s="5"/>
    </row>
    <row r="599" spans="1:8" ht="12" customHeight="1">
      <c r="A599" s="10" t="s">
        <v>1738</v>
      </c>
      <c r="B599" s="112" t="s">
        <v>1739</v>
      </c>
      <c r="C599" s="82">
        <v>5649</v>
      </c>
      <c r="D599" s="43"/>
      <c r="E599" s="29" cm="1">
        <f t="array" ref="E599">_xlfn.IFS(C599=":",":",C599&gt;=N$19,1,C599&gt;=N$20,2,C599&gt;=N$21,3,C599&gt;=N$22,4,C599&gt;=N$23,5,C599&gt;=N$24,6,C599&lt;N$24,7)</f>
        <v>1</v>
      </c>
      <c r="F599" s="30"/>
      <c r="G599" s="5"/>
      <c r="H599" s="5"/>
    </row>
    <row r="600" spans="1:8" ht="12" customHeight="1">
      <c r="A600" s="10" t="s">
        <v>1740</v>
      </c>
      <c r="B600" s="112" t="s">
        <v>1741</v>
      </c>
      <c r="C600" s="82">
        <v>1195</v>
      </c>
      <c r="D600" s="43"/>
      <c r="E600" s="29" cm="1">
        <f t="array" ref="E600">_xlfn.IFS(C600=":",":",C600&gt;=N$19,1,C600&gt;=N$20,2,C600&gt;=N$21,3,C600&gt;=N$22,4,C600&gt;=N$23,5,C600&gt;=N$24,6,C600&lt;N$24,7)</f>
        <v>3</v>
      </c>
      <c r="F600" s="30"/>
      <c r="G600" s="5"/>
      <c r="H600" s="5"/>
    </row>
    <row r="601" spans="1:8" ht="12" customHeight="1">
      <c r="A601" s="10" t="s">
        <v>1742</v>
      </c>
      <c r="B601" s="112" t="s">
        <v>1743</v>
      </c>
      <c r="C601" s="82">
        <v>1226</v>
      </c>
      <c r="D601" s="43"/>
      <c r="E601" s="29" cm="1">
        <f t="array" ref="E601">_xlfn.IFS(C601=":",":",C601&gt;=N$19,1,C601&gt;=N$20,2,C601&gt;=N$21,3,C601&gt;=N$22,4,C601&gt;=N$23,5,C601&gt;=N$24,6,C601&lt;N$24,7)</f>
        <v>3</v>
      </c>
      <c r="F601" s="30"/>
      <c r="G601" s="5"/>
      <c r="H601" s="5"/>
    </row>
    <row r="602" spans="1:8" ht="12" customHeight="1">
      <c r="A602" s="10" t="s">
        <v>1744</v>
      </c>
      <c r="B602" s="112" t="s">
        <v>2873</v>
      </c>
      <c r="C602" s="82">
        <v>18302</v>
      </c>
      <c r="D602" s="43"/>
      <c r="E602" s="29" cm="1">
        <f t="array" ref="E602">_xlfn.IFS(C602=":",":",C602&gt;=N$19,1,C602&gt;=N$20,2,C602&gt;=N$21,3,C602&gt;=N$22,4,C602&gt;=N$23,5,C602&gt;=N$24,6,C602&lt;N$24,7)</f>
        <v>1</v>
      </c>
      <c r="F602" s="30"/>
      <c r="G602" s="5"/>
      <c r="H602" s="5"/>
    </row>
    <row r="603" spans="1:8" ht="12" customHeight="1">
      <c r="A603" s="10" t="s">
        <v>1745</v>
      </c>
      <c r="B603" s="112" t="s">
        <v>1746</v>
      </c>
      <c r="C603" s="82">
        <v>15212</v>
      </c>
      <c r="D603" s="43"/>
      <c r="E603" s="29" cm="1">
        <f t="array" ref="E603">_xlfn.IFS(C603=":",":",C603&gt;=N$19,1,C603&gt;=N$20,2,C603&gt;=N$21,3,C603&gt;=N$22,4,C603&gt;=N$23,5,C603&gt;=N$24,6,C603&lt;N$24,7)</f>
        <v>1</v>
      </c>
      <c r="F603" s="30"/>
      <c r="G603" s="5"/>
      <c r="H603" s="5"/>
    </row>
    <row r="604" spans="1:8" ht="12" customHeight="1">
      <c r="A604" s="10" t="s">
        <v>1747</v>
      </c>
      <c r="B604" s="112" t="s">
        <v>1748</v>
      </c>
      <c r="C604" s="82">
        <v>9711</v>
      </c>
      <c r="D604" s="43"/>
      <c r="E604" s="29" cm="1">
        <f t="array" ref="E604">_xlfn.IFS(C604=":",":",C604&gt;=N$19,1,C604&gt;=N$20,2,C604&gt;=N$21,3,C604&gt;=N$22,4,C604&gt;=N$23,5,C604&gt;=N$24,6,C604&lt;N$24,7)</f>
        <v>1</v>
      </c>
      <c r="F604" s="30"/>
      <c r="G604" s="5"/>
      <c r="H604" s="5"/>
    </row>
    <row r="605" spans="1:8" ht="12" customHeight="1">
      <c r="A605" s="10" t="s">
        <v>1749</v>
      </c>
      <c r="B605" s="112" t="s">
        <v>1750</v>
      </c>
      <c r="C605" s="82">
        <v>818</v>
      </c>
      <c r="D605" s="43"/>
      <c r="E605" s="29" cm="1">
        <f t="array" ref="E605">_xlfn.IFS(C605=":",":",C605&gt;=N$19,1,C605&gt;=N$20,2,C605&gt;=N$21,3,C605&gt;=N$22,4,C605&gt;=N$23,5,C605&gt;=N$24,6,C605&lt;N$24,7)</f>
        <v>3</v>
      </c>
      <c r="F605" s="30"/>
      <c r="G605" s="5"/>
      <c r="H605" s="5"/>
    </row>
    <row r="606" spans="1:8" ht="12" customHeight="1">
      <c r="A606" s="10" t="s">
        <v>1751</v>
      </c>
      <c r="B606" s="112" t="s">
        <v>1752</v>
      </c>
      <c r="C606" s="82">
        <v>1523</v>
      </c>
      <c r="D606" s="43"/>
      <c r="E606" s="29" cm="1">
        <f t="array" ref="E606">_xlfn.IFS(C606=":",":",C606&gt;=N$19,1,C606&gt;=N$20,2,C606&gt;=N$21,3,C606&gt;=N$22,4,C606&gt;=N$23,5,C606&gt;=N$24,6,C606&lt;N$24,7)</f>
        <v>2</v>
      </c>
      <c r="F606" s="30"/>
      <c r="G606" s="5"/>
      <c r="H606" s="5"/>
    </row>
    <row r="607" spans="1:8" ht="12" customHeight="1">
      <c r="A607" s="10" t="s">
        <v>1753</v>
      </c>
      <c r="B607" s="112" t="s">
        <v>1754</v>
      </c>
      <c r="C607" s="82">
        <v>174</v>
      </c>
      <c r="D607" s="43"/>
      <c r="E607" s="29" cm="1">
        <f t="array" ref="E607">_xlfn.IFS(C607=":",":",C607&gt;=N$19,1,C607&gt;=N$20,2,C607&gt;=N$21,3,C607&gt;=N$22,4,C607&gt;=N$23,5,C607&gt;=N$24,6,C607&lt;N$24,7)</f>
        <v>5</v>
      </c>
      <c r="F607" s="30"/>
      <c r="G607" s="5"/>
      <c r="H607" s="5"/>
    </row>
    <row r="608" spans="1:8" ht="12" customHeight="1">
      <c r="A608" s="10" t="s">
        <v>1755</v>
      </c>
      <c r="B608" s="112" t="s">
        <v>1756</v>
      </c>
      <c r="C608" s="82">
        <v>622</v>
      </c>
      <c r="D608" s="43"/>
      <c r="E608" s="29" cm="1">
        <f t="array" ref="E608">_xlfn.IFS(C608=":",":",C608&gt;=N$19,1,C608&gt;=N$20,2,C608&gt;=N$21,3,C608&gt;=N$22,4,C608&gt;=N$23,5,C608&gt;=N$24,6,C608&lt;N$24,7)</f>
        <v>3</v>
      </c>
      <c r="F608" s="30"/>
      <c r="G608" s="5"/>
      <c r="H608" s="5"/>
    </row>
    <row r="609" spans="1:8" ht="12" customHeight="1">
      <c r="A609" s="10" t="s">
        <v>1757</v>
      </c>
      <c r="B609" s="112" t="s">
        <v>1758</v>
      </c>
      <c r="C609" s="82">
        <v>630</v>
      </c>
      <c r="D609" s="43"/>
      <c r="E609" s="29" cm="1">
        <f t="array" ref="E609">_xlfn.IFS(C609=":",":",C609&gt;=N$19,1,C609&gt;=N$20,2,C609&gt;=N$21,3,C609&gt;=N$22,4,C609&gt;=N$23,5,C609&gt;=N$24,6,C609&lt;N$24,7)</f>
        <v>3</v>
      </c>
      <c r="F609" s="30"/>
      <c r="G609" s="5"/>
      <c r="H609" s="5"/>
    </row>
    <row r="610" spans="1:8" ht="12" customHeight="1">
      <c r="A610" s="10" t="s">
        <v>1759</v>
      </c>
      <c r="B610" s="112" t="s">
        <v>1760</v>
      </c>
      <c r="C610" s="82">
        <v>135</v>
      </c>
      <c r="D610" s="43"/>
      <c r="E610" s="29" cm="1">
        <f t="array" ref="E610">_xlfn.IFS(C610=":",":",C610&gt;=N$19,1,C610&gt;=N$20,2,C610&gt;=N$21,3,C610&gt;=N$22,4,C610&gt;=N$23,5,C610&gt;=N$24,6,C610&lt;N$24,7)</f>
        <v>5</v>
      </c>
      <c r="F610" s="30"/>
      <c r="G610" s="5"/>
      <c r="H610" s="5"/>
    </row>
    <row r="611" spans="1:8" ht="12" customHeight="1">
      <c r="A611" s="10" t="s">
        <v>1761</v>
      </c>
      <c r="B611" s="112" t="s">
        <v>1762</v>
      </c>
      <c r="C611" s="82">
        <v>4193</v>
      </c>
      <c r="D611" s="43"/>
      <c r="E611" s="29" cm="1">
        <f t="array" ref="E611">_xlfn.IFS(C611=":",":",C611&gt;=N$19,1,C611&gt;=N$20,2,C611&gt;=N$21,3,C611&gt;=N$22,4,C611&gt;=N$23,5,C611&gt;=N$24,6,C611&lt;N$24,7)</f>
        <v>2</v>
      </c>
      <c r="F611" s="30"/>
      <c r="G611" s="5"/>
      <c r="H611" s="5"/>
    </row>
    <row r="612" spans="1:8" ht="12" customHeight="1">
      <c r="A612" s="10" t="s">
        <v>1763</v>
      </c>
      <c r="B612" s="112" t="s">
        <v>1764</v>
      </c>
      <c r="C612" s="82">
        <v>738</v>
      </c>
      <c r="D612" s="43"/>
      <c r="E612" s="29" cm="1">
        <f t="array" ref="E612">_xlfn.IFS(C612=":",":",C612&gt;=N$19,1,C612&gt;=N$20,2,C612&gt;=N$21,3,C612&gt;=N$22,4,C612&gt;=N$23,5,C612&gt;=N$24,6,C612&lt;N$24,7)</f>
        <v>3</v>
      </c>
      <c r="F612" s="30"/>
      <c r="G612" s="5"/>
      <c r="H612" s="5"/>
    </row>
    <row r="613" spans="1:8" ht="12" customHeight="1">
      <c r="A613" s="10" t="s">
        <v>1765</v>
      </c>
      <c r="B613" s="112" t="s">
        <v>1766</v>
      </c>
      <c r="C613" s="82">
        <v>505</v>
      </c>
      <c r="D613" s="43"/>
      <c r="E613" s="29" cm="1">
        <f t="array" ref="E613">_xlfn.IFS(C613=":",":",C613&gt;=N$19,1,C613&gt;=N$20,2,C613&gt;=N$21,3,C613&gt;=N$22,4,C613&gt;=N$23,5,C613&gt;=N$24,6,C613&lt;N$24,7)</f>
        <v>3</v>
      </c>
      <c r="F613" s="30"/>
      <c r="G613" s="5"/>
      <c r="H613" s="5"/>
    </row>
    <row r="614" spans="1:8" ht="12" customHeight="1">
      <c r="A614" s="10" t="s">
        <v>1767</v>
      </c>
      <c r="B614" s="112" t="s">
        <v>1768</v>
      </c>
      <c r="C614" s="82">
        <v>6729</v>
      </c>
      <c r="D614" s="43"/>
      <c r="E614" s="29" cm="1">
        <f t="array" ref="E614">_xlfn.IFS(C614=":",":",C614&gt;=N$19,1,C614&gt;=N$20,2,C614&gt;=N$21,3,C614&gt;=N$22,4,C614&gt;=N$23,5,C614&gt;=N$24,6,C614&lt;N$24,7)</f>
        <v>1</v>
      </c>
      <c r="F614" s="30"/>
      <c r="G614" s="5"/>
      <c r="H614" s="5"/>
    </row>
    <row r="615" spans="1:8" ht="12" customHeight="1">
      <c r="A615" s="10" t="s">
        <v>1769</v>
      </c>
      <c r="B615" s="112" t="s">
        <v>1770</v>
      </c>
      <c r="C615" s="82">
        <v>9559</v>
      </c>
      <c r="D615" s="43"/>
      <c r="E615" s="29" cm="1">
        <f t="array" ref="E615">_xlfn.IFS(C615=":",":",C615&gt;=N$19,1,C615&gt;=N$20,2,C615&gt;=N$21,3,C615&gt;=N$22,4,C615&gt;=N$23,5,C615&gt;=N$24,6,C615&lt;N$24,7)</f>
        <v>1</v>
      </c>
      <c r="F615" s="30"/>
      <c r="G615" s="5"/>
      <c r="H615" s="5"/>
    </row>
    <row r="616" spans="1:8" ht="12" customHeight="1">
      <c r="A616" s="10" t="s">
        <v>1771</v>
      </c>
      <c r="B616" s="112" t="s">
        <v>1772</v>
      </c>
      <c r="C616" s="82">
        <v>567</v>
      </c>
      <c r="D616" s="43"/>
      <c r="E616" s="29" cm="1">
        <f t="array" ref="E616">_xlfn.IFS(C616=":",":",C616&gt;=N$19,1,C616&gt;=N$20,2,C616&gt;=N$21,3,C616&gt;=N$22,4,C616&gt;=N$23,5,C616&gt;=N$24,6,C616&lt;N$24,7)</f>
        <v>3</v>
      </c>
      <c r="F616" s="30"/>
      <c r="G616" s="5"/>
      <c r="H616" s="5"/>
    </row>
    <row r="617" spans="1:8" ht="12" customHeight="1">
      <c r="A617" s="10" t="s">
        <v>1773</v>
      </c>
      <c r="B617" s="112" t="s">
        <v>1774</v>
      </c>
      <c r="C617" s="82">
        <v>9512</v>
      </c>
      <c r="D617" s="43"/>
      <c r="E617" s="29" cm="1">
        <f t="array" ref="E617">_xlfn.IFS(C617=":",":",C617&gt;=N$19,1,C617&gt;=N$20,2,C617&gt;=N$21,3,C617&gt;=N$22,4,C617&gt;=N$23,5,C617&gt;=N$24,6,C617&lt;N$24,7)</f>
        <v>1</v>
      </c>
      <c r="F617" s="30"/>
      <c r="G617" s="5"/>
      <c r="H617" s="5"/>
    </row>
    <row r="618" spans="1:8" ht="12" customHeight="1">
      <c r="A618" s="10" t="s">
        <v>1775</v>
      </c>
      <c r="B618" s="112" t="s">
        <v>1776</v>
      </c>
      <c r="C618" s="82">
        <v>17345</v>
      </c>
      <c r="D618" s="43"/>
      <c r="E618" s="29" cm="1">
        <f t="array" ref="E618">_xlfn.IFS(C618=":",":",C618&gt;=N$19,1,C618&gt;=N$20,2,C618&gt;=N$21,3,C618&gt;=N$22,4,C618&gt;=N$23,5,C618&gt;=N$24,6,C618&lt;N$24,7)</f>
        <v>1</v>
      </c>
      <c r="F618" s="30"/>
      <c r="G618" s="5"/>
      <c r="H618" s="5"/>
    </row>
    <row r="619" spans="1:8" ht="12" customHeight="1">
      <c r="A619" s="10" t="s">
        <v>1777</v>
      </c>
      <c r="B619" s="112" t="s">
        <v>1778</v>
      </c>
      <c r="C619" s="82">
        <v>2401</v>
      </c>
      <c r="D619" s="43"/>
      <c r="E619" s="29" cm="1">
        <f t="array" ref="E619">_xlfn.IFS(C619=":",":",C619&gt;=N$19,1,C619&gt;=N$20,2,C619&gt;=N$21,3,C619&gt;=N$22,4,C619&gt;=N$23,5,C619&gt;=N$24,6,C619&lt;N$24,7)</f>
        <v>2</v>
      </c>
      <c r="F619" s="30"/>
      <c r="G619" s="5"/>
      <c r="H619" s="5"/>
    </row>
    <row r="620" spans="1:8" ht="12" customHeight="1">
      <c r="A620" s="10" t="s">
        <v>1779</v>
      </c>
      <c r="B620" s="112" t="s">
        <v>1780</v>
      </c>
      <c r="C620" s="82">
        <v>1769</v>
      </c>
      <c r="D620" s="43"/>
      <c r="E620" s="29" cm="1">
        <f t="array" ref="E620">_xlfn.IFS(C620=":",":",C620&gt;=N$19,1,C620&gt;=N$20,2,C620&gt;=N$21,3,C620&gt;=N$22,4,C620&gt;=N$23,5,C620&gt;=N$24,6,C620&lt;N$24,7)</f>
        <v>2</v>
      </c>
      <c r="F620" s="30"/>
      <c r="G620" s="5"/>
      <c r="H620" s="5"/>
    </row>
    <row r="621" spans="1:8" ht="12" customHeight="1">
      <c r="A621" s="10" t="s">
        <v>1781</v>
      </c>
      <c r="B621" s="112" t="s">
        <v>1782</v>
      </c>
      <c r="C621" s="82">
        <v>22212</v>
      </c>
      <c r="D621" s="43"/>
      <c r="E621" s="29" cm="1">
        <f t="array" ref="E621">_xlfn.IFS(C621=":",":",C621&gt;=N$19,1,C621&gt;=N$20,2,C621&gt;=N$21,3,C621&gt;=N$22,4,C621&gt;=N$23,5,C621&gt;=N$24,6,C621&lt;N$24,7)</f>
        <v>1</v>
      </c>
      <c r="F621" s="30"/>
      <c r="G621" s="5"/>
      <c r="H621" s="5"/>
    </row>
    <row r="622" spans="1:8" ht="12" customHeight="1">
      <c r="A622" s="10" t="s">
        <v>1783</v>
      </c>
      <c r="B622" s="112" t="s">
        <v>1784</v>
      </c>
      <c r="C622" s="82">
        <v>17623</v>
      </c>
      <c r="D622" s="43"/>
      <c r="E622" s="29" cm="1">
        <f t="array" ref="E622">_xlfn.IFS(C622=":",":",C622&gt;=N$19,1,C622&gt;=N$20,2,C622&gt;=N$21,3,C622&gt;=N$22,4,C622&gt;=N$23,5,C622&gt;=N$24,6,C622&lt;N$24,7)</f>
        <v>1</v>
      </c>
      <c r="F622" s="30"/>
      <c r="G622" s="5"/>
      <c r="H622" s="5"/>
    </row>
    <row r="623" spans="1:8" ht="12" customHeight="1">
      <c r="A623" s="10" t="s">
        <v>1785</v>
      </c>
      <c r="B623" s="112" t="s">
        <v>1786</v>
      </c>
      <c r="C623" s="82">
        <v>419049</v>
      </c>
      <c r="D623" s="43"/>
      <c r="E623" s="29" cm="1">
        <f t="array" ref="E623">_xlfn.IFS(C623=":",":",C623&gt;=N$19,1,C623&gt;=N$20,2,C623&gt;=N$21,3,C623&gt;=N$22,4,C623&gt;=N$23,5,C623&gt;=N$24,6,C623&lt;N$24,7)</f>
        <v>1</v>
      </c>
      <c r="F623" s="30"/>
      <c r="G623" s="5"/>
      <c r="H623" s="5"/>
    </row>
    <row r="624" spans="1:8" ht="12" customHeight="1">
      <c r="A624" s="10" t="s">
        <v>1787</v>
      </c>
      <c r="B624" s="112" t="s">
        <v>2822</v>
      </c>
      <c r="C624" s="82">
        <v>2284</v>
      </c>
      <c r="D624" s="43"/>
      <c r="E624" s="29" cm="1">
        <f t="array" ref="E624">_xlfn.IFS(C624=":",":",C624&gt;=N$19,1,C624&gt;=N$20,2,C624&gt;=N$21,3,C624&gt;=N$22,4,C624&gt;=N$23,5,C624&gt;=N$24,6,C624&lt;N$24,7)</f>
        <v>2</v>
      </c>
      <c r="F624" s="30"/>
      <c r="G624" s="5"/>
      <c r="H624" s="5"/>
    </row>
    <row r="625" spans="1:8" ht="12" customHeight="1">
      <c r="A625" s="10" t="s">
        <v>1788</v>
      </c>
      <c r="B625" s="112" t="s">
        <v>2823</v>
      </c>
      <c r="C625" s="82">
        <v>1313</v>
      </c>
      <c r="D625" s="43"/>
      <c r="E625" s="29" cm="1">
        <f t="array" ref="E625">_xlfn.IFS(C625=":",":",C625&gt;=N$19,1,C625&gt;=N$20,2,C625&gt;=N$21,3,C625&gt;=N$22,4,C625&gt;=N$23,5,C625&gt;=N$24,6,C625&lt;N$24,7)</f>
        <v>3</v>
      </c>
      <c r="F625" s="30"/>
      <c r="G625" s="5"/>
      <c r="H625" s="5"/>
    </row>
    <row r="626" spans="1:8" ht="12" customHeight="1">
      <c r="A626" s="10" t="s">
        <v>1789</v>
      </c>
      <c r="B626" s="112" t="s">
        <v>1790</v>
      </c>
      <c r="C626" s="82">
        <v>1527</v>
      </c>
      <c r="D626" s="43"/>
      <c r="E626" s="29" cm="1">
        <f t="array" ref="E626">_xlfn.IFS(C626=":",":",C626&gt;=N$19,1,C626&gt;=N$20,2,C626&gt;=N$21,3,C626&gt;=N$22,4,C626&gt;=N$23,5,C626&gt;=N$24,6,C626&lt;N$24,7)</f>
        <v>2</v>
      </c>
      <c r="F626" s="30"/>
      <c r="G626" s="5"/>
      <c r="H626" s="5"/>
    </row>
    <row r="627" spans="1:8" ht="12" customHeight="1">
      <c r="A627" s="10" t="s">
        <v>1791</v>
      </c>
      <c r="B627" s="112" t="s">
        <v>2824</v>
      </c>
      <c r="C627" s="82">
        <v>47214</v>
      </c>
      <c r="D627" s="43"/>
      <c r="E627" s="29" cm="1">
        <f t="array" ref="E627">_xlfn.IFS(C627=":",":",C627&gt;=N$19,1,C627&gt;=N$20,2,C627&gt;=N$21,3,C627&gt;=N$22,4,C627&gt;=N$23,5,C627&gt;=N$24,6,C627&lt;N$24,7)</f>
        <v>1</v>
      </c>
      <c r="F627" s="30"/>
      <c r="G627" s="5"/>
      <c r="H627" s="5"/>
    </row>
    <row r="628" spans="1:8" ht="12" customHeight="1">
      <c r="A628" s="10" t="s">
        <v>1792</v>
      </c>
      <c r="B628" s="112" t="s">
        <v>2825</v>
      </c>
      <c r="C628" s="82">
        <v>19768</v>
      </c>
      <c r="D628" s="43"/>
      <c r="E628" s="29" cm="1">
        <f t="array" ref="E628">_xlfn.IFS(C628=":",":",C628&gt;=N$19,1,C628&gt;=N$20,2,C628&gt;=N$21,3,C628&gt;=N$22,4,C628&gt;=N$23,5,C628&gt;=N$24,6,C628&lt;N$24,7)</f>
        <v>1</v>
      </c>
      <c r="F628" s="30"/>
      <c r="G628" s="5"/>
      <c r="H628" s="5"/>
    </row>
    <row r="629" spans="1:8" ht="12" customHeight="1">
      <c r="A629" s="10" t="s">
        <v>1793</v>
      </c>
      <c r="B629" s="112" t="s">
        <v>1794</v>
      </c>
      <c r="C629" s="82">
        <v>17295</v>
      </c>
      <c r="D629" s="43"/>
      <c r="E629" s="29" cm="1">
        <f t="array" ref="E629">_xlfn.IFS(C629=":",":",C629&gt;=N$19,1,C629&gt;=N$20,2,C629&gt;=N$21,3,C629&gt;=N$22,4,C629&gt;=N$23,5,C629&gt;=N$24,6,C629&lt;N$24,7)</f>
        <v>1</v>
      </c>
      <c r="F629" s="30"/>
      <c r="G629" s="5"/>
      <c r="H629" s="5"/>
    </row>
    <row r="630" spans="1:8" ht="12" customHeight="1">
      <c r="A630" s="10" t="s">
        <v>1795</v>
      </c>
      <c r="B630" s="112" t="s">
        <v>2874</v>
      </c>
      <c r="C630" s="82">
        <v>3525</v>
      </c>
      <c r="D630" s="43"/>
      <c r="E630" s="29" cm="1">
        <f t="array" ref="E630">_xlfn.IFS(C630=":",":",C630&gt;=N$19,1,C630&gt;=N$20,2,C630&gt;=N$21,3,C630&gt;=N$22,4,C630&gt;=N$23,5,C630&gt;=N$24,6,C630&lt;N$24,7)</f>
        <v>2</v>
      </c>
      <c r="F630" s="30"/>
      <c r="G630" s="5"/>
      <c r="H630" s="5"/>
    </row>
    <row r="631" spans="1:8" ht="12" customHeight="1">
      <c r="A631" s="10" t="s">
        <v>1796</v>
      </c>
      <c r="B631" s="112" t="s">
        <v>1797</v>
      </c>
      <c r="C631" s="82">
        <v>117</v>
      </c>
      <c r="D631" s="43"/>
      <c r="E631" s="29" cm="1">
        <f t="array" ref="E631">_xlfn.IFS(C631=":",":",C631&gt;=N$19,1,C631&gt;=N$20,2,C631&gt;=N$21,3,C631&gt;=N$22,4,C631&gt;=N$23,5,C631&gt;=N$24,6,C631&lt;N$24,7)</f>
        <v>5</v>
      </c>
      <c r="F631" s="30"/>
      <c r="G631" s="5"/>
      <c r="H631" s="5"/>
    </row>
    <row r="632" spans="1:8" ht="12" customHeight="1">
      <c r="A632" s="10" t="s">
        <v>1798</v>
      </c>
      <c r="B632" s="112" t="s">
        <v>1799</v>
      </c>
      <c r="C632" s="82">
        <v>156</v>
      </c>
      <c r="D632" s="43"/>
      <c r="E632" s="29" cm="1">
        <f t="array" ref="E632">_xlfn.IFS(C632=":",":",C632&gt;=N$19,1,C632&gt;=N$20,2,C632&gt;=N$21,3,C632&gt;=N$22,4,C632&gt;=N$23,5,C632&gt;=N$24,6,C632&lt;N$24,7)</f>
        <v>5</v>
      </c>
      <c r="F632" s="30"/>
      <c r="G632" s="5"/>
      <c r="H632" s="5"/>
    </row>
    <row r="633" spans="1:8" ht="12" customHeight="1">
      <c r="A633" s="10" t="s">
        <v>1800</v>
      </c>
      <c r="B633" s="112" t="s">
        <v>1801</v>
      </c>
      <c r="C633" s="82">
        <v>87</v>
      </c>
      <c r="D633" s="43"/>
      <c r="E633" s="29" cm="1">
        <f t="array" ref="E633">_xlfn.IFS(C633=":",":",C633&gt;=N$19,1,C633&gt;=N$20,2,C633&gt;=N$21,3,C633&gt;=N$22,4,C633&gt;=N$23,5,C633&gt;=N$24,6,C633&lt;N$24,7)</f>
        <v>5</v>
      </c>
      <c r="F633" s="30"/>
      <c r="G633" s="5"/>
      <c r="H633" s="5"/>
    </row>
    <row r="634" spans="1:8" ht="12" customHeight="1">
      <c r="A634" s="10" t="s">
        <v>1802</v>
      </c>
      <c r="B634" s="112" t="s">
        <v>1803</v>
      </c>
      <c r="C634" s="82">
        <v>504</v>
      </c>
      <c r="D634" s="43"/>
      <c r="E634" s="29" cm="1">
        <f t="array" ref="E634">_xlfn.IFS(C634=":",":",C634&gt;=N$19,1,C634&gt;=N$20,2,C634&gt;=N$21,3,C634&gt;=N$22,4,C634&gt;=N$23,5,C634&gt;=N$24,6,C634&lt;N$24,7)</f>
        <v>3</v>
      </c>
      <c r="F634" s="30"/>
      <c r="G634" s="5"/>
      <c r="H634" s="5"/>
    </row>
    <row r="635" spans="1:8" ht="12" customHeight="1">
      <c r="A635" s="10" t="s">
        <v>1804</v>
      </c>
      <c r="B635" s="112" t="s">
        <v>1805</v>
      </c>
      <c r="C635" s="82">
        <v>471</v>
      </c>
      <c r="D635" s="43"/>
      <c r="E635" s="29" cm="1">
        <f t="array" ref="E635">_xlfn.IFS(C635=":",":",C635&gt;=N$19,1,C635&gt;=N$20,2,C635&gt;=N$21,3,C635&gt;=N$22,4,C635&gt;=N$23,5,C635&gt;=N$24,6,C635&lt;N$24,7)</f>
        <v>4</v>
      </c>
      <c r="F635" s="30"/>
      <c r="G635" s="5"/>
      <c r="H635" s="5"/>
    </row>
    <row r="636" spans="1:8" ht="12" customHeight="1">
      <c r="A636" s="10" t="s">
        <v>1806</v>
      </c>
      <c r="B636" s="112" t="s">
        <v>1807</v>
      </c>
      <c r="C636" s="82">
        <v>265</v>
      </c>
      <c r="D636" s="43"/>
      <c r="E636" s="29" cm="1">
        <f t="array" ref="E636">_xlfn.IFS(C636=":",":",C636&gt;=N$19,1,C636&gt;=N$20,2,C636&gt;=N$21,3,C636&gt;=N$22,4,C636&gt;=N$23,5,C636&gt;=N$24,6,C636&lt;N$24,7)</f>
        <v>4</v>
      </c>
      <c r="F636" s="30"/>
      <c r="G636" s="5"/>
      <c r="H636" s="5"/>
    </row>
    <row r="637" spans="1:8" ht="12" customHeight="1">
      <c r="A637" s="10" t="s">
        <v>1808</v>
      </c>
      <c r="B637" s="112" t="s">
        <v>2875</v>
      </c>
      <c r="C637" s="82">
        <v>389</v>
      </c>
      <c r="D637" s="43"/>
      <c r="E637" s="29" cm="1">
        <f t="array" ref="E637">_xlfn.IFS(C637=":",":",C637&gt;=N$19,1,C637&gt;=N$20,2,C637&gt;=N$21,3,C637&gt;=N$22,4,C637&gt;=N$23,5,C637&gt;=N$24,6,C637&lt;N$24,7)</f>
        <v>4</v>
      </c>
      <c r="F637" s="30"/>
      <c r="G637" s="5"/>
      <c r="H637" s="5"/>
    </row>
    <row r="638" spans="1:8" ht="12" customHeight="1">
      <c r="A638" s="10" t="s">
        <v>1809</v>
      </c>
      <c r="B638" s="112" t="s">
        <v>1810</v>
      </c>
      <c r="C638" s="82">
        <v>105</v>
      </c>
      <c r="D638" s="43"/>
      <c r="E638" s="29" cm="1">
        <f t="array" ref="E638">_xlfn.IFS(C638=":",":",C638&gt;=N$19,1,C638&gt;=N$20,2,C638&gt;=N$21,3,C638&gt;=N$22,4,C638&gt;=N$23,5,C638&gt;=N$24,6,C638&lt;N$24,7)</f>
        <v>5</v>
      </c>
      <c r="F638" s="30"/>
      <c r="G638" s="5"/>
      <c r="H638" s="5"/>
    </row>
    <row r="639" spans="1:8" ht="12" customHeight="1">
      <c r="A639" s="10" t="s">
        <v>1811</v>
      </c>
      <c r="B639" s="112" t="s">
        <v>1812</v>
      </c>
      <c r="C639" s="82">
        <v>244</v>
      </c>
      <c r="D639" s="43"/>
      <c r="E639" s="29" cm="1">
        <f t="array" ref="E639">_xlfn.IFS(C639=":",":",C639&gt;=N$19,1,C639&gt;=N$20,2,C639&gt;=N$21,3,C639&gt;=N$22,4,C639&gt;=N$23,5,C639&gt;=N$24,6,C639&lt;N$24,7)</f>
        <v>4</v>
      </c>
      <c r="F639" s="30"/>
      <c r="G639" s="5"/>
      <c r="H639" s="5"/>
    </row>
    <row r="640" spans="1:8" ht="12" customHeight="1">
      <c r="A640" s="10" t="s">
        <v>1813</v>
      </c>
      <c r="B640" s="112" t="s">
        <v>1814</v>
      </c>
      <c r="C640" s="82">
        <v>125</v>
      </c>
      <c r="D640" s="43"/>
      <c r="E640" s="29" cm="1">
        <f t="array" ref="E640">_xlfn.IFS(C640=":",":",C640&gt;=N$19,1,C640&gt;=N$20,2,C640&gt;=N$21,3,C640&gt;=N$22,4,C640&gt;=N$23,5,C640&gt;=N$24,6,C640&lt;N$24,7)</f>
        <v>5</v>
      </c>
      <c r="F640" s="30"/>
      <c r="G640" s="5"/>
      <c r="H640" s="5"/>
    </row>
    <row r="641" spans="1:8" ht="12" customHeight="1">
      <c r="A641" s="10" t="s">
        <v>1815</v>
      </c>
      <c r="B641" s="112" t="s">
        <v>1816</v>
      </c>
      <c r="C641" s="82">
        <v>318</v>
      </c>
      <c r="D641" s="43"/>
      <c r="E641" s="29" cm="1">
        <f t="array" ref="E641">_xlfn.IFS(C641=":",":",C641&gt;=N$19,1,C641&gt;=N$20,2,C641&gt;=N$21,3,C641&gt;=N$22,4,C641&gt;=N$23,5,C641&gt;=N$24,6,C641&lt;N$24,7)</f>
        <v>4</v>
      </c>
      <c r="F641" s="30"/>
      <c r="G641" s="5"/>
      <c r="H641" s="5"/>
    </row>
    <row r="642" spans="1:8" ht="12" customHeight="1">
      <c r="A642" s="10" t="s">
        <v>1817</v>
      </c>
      <c r="B642" s="112" t="s">
        <v>1818</v>
      </c>
      <c r="C642" s="82">
        <v>396</v>
      </c>
      <c r="D642" s="43"/>
      <c r="E642" s="29" cm="1">
        <f t="array" ref="E642">_xlfn.IFS(C642=":",":",C642&gt;=N$19,1,C642&gt;=N$20,2,C642&gt;=N$21,3,C642&gt;=N$22,4,C642&gt;=N$23,5,C642&gt;=N$24,6,C642&lt;N$24,7)</f>
        <v>4</v>
      </c>
      <c r="F642" s="30"/>
      <c r="G642" s="5"/>
      <c r="H642" s="5"/>
    </row>
    <row r="643" spans="1:8" ht="12" customHeight="1">
      <c r="A643" s="10" t="s">
        <v>1819</v>
      </c>
      <c r="B643" s="112" t="s">
        <v>1820</v>
      </c>
      <c r="C643" s="82">
        <v>64</v>
      </c>
      <c r="D643" s="43"/>
      <c r="E643" s="29" cm="1">
        <f t="array" ref="E643">_xlfn.IFS(C643=":",":",C643&gt;=N$19,1,C643&gt;=N$20,2,C643&gt;=N$21,3,C643&gt;=N$22,4,C643&gt;=N$23,5,C643&gt;=N$24,6,C643&lt;N$24,7)</f>
        <v>6</v>
      </c>
      <c r="F643" s="30"/>
      <c r="G643" s="5"/>
      <c r="H643" s="5"/>
    </row>
    <row r="644" spans="1:8" ht="12" customHeight="1">
      <c r="A644" s="10" t="s">
        <v>1821</v>
      </c>
      <c r="B644" s="112" t="s">
        <v>1822</v>
      </c>
      <c r="C644" s="82">
        <v>575</v>
      </c>
      <c r="D644" s="43"/>
      <c r="E644" s="29" cm="1">
        <f t="array" ref="E644">_xlfn.IFS(C644=":",":",C644&gt;=N$19,1,C644&gt;=N$20,2,C644&gt;=N$21,3,C644&gt;=N$22,4,C644&gt;=N$23,5,C644&gt;=N$24,6,C644&lt;N$24,7)</f>
        <v>3</v>
      </c>
      <c r="F644" s="30"/>
      <c r="G644" s="5"/>
      <c r="H644" s="5"/>
    </row>
    <row r="645" spans="1:8" ht="12" customHeight="1">
      <c r="A645" s="15" t="s">
        <v>1823</v>
      </c>
      <c r="B645" s="11" t="s">
        <v>2826</v>
      </c>
      <c r="C645" s="82">
        <v>1308</v>
      </c>
      <c r="D645" s="43"/>
      <c r="E645" s="29" cm="1">
        <f t="array" ref="E645">_xlfn.IFS(C645=":",":",C645&gt;=N$19,1,C645&gt;=N$20,2,C645&gt;=N$21,3,C645&gt;=N$22,4,C645&gt;=N$23,5,C645&gt;=N$24,6,C645&lt;N$24,7)</f>
        <v>3</v>
      </c>
      <c r="F645" s="30"/>
      <c r="G645" s="5"/>
      <c r="H645" s="5"/>
    </row>
    <row r="646" spans="1:8" ht="12" customHeight="1">
      <c r="A646" s="15" t="s">
        <v>1824</v>
      </c>
      <c r="B646" s="11" t="s">
        <v>2827</v>
      </c>
      <c r="C646" s="82">
        <v>514</v>
      </c>
      <c r="D646" s="43"/>
      <c r="E646" s="29" cm="1">
        <f t="array" ref="E646">_xlfn.IFS(C646=":",":",C646&gt;=N$19,1,C646&gt;=N$20,2,C646&gt;=N$21,3,C646&gt;=N$22,4,C646&gt;=N$23,5,C646&gt;=N$24,6,C646&lt;N$24,7)</f>
        <v>3</v>
      </c>
      <c r="F646" s="30"/>
      <c r="G646" s="5"/>
      <c r="H646" s="5"/>
    </row>
    <row r="647" spans="1:8" ht="12" customHeight="1">
      <c r="A647" s="15" t="s">
        <v>1825</v>
      </c>
      <c r="B647" s="11" t="s">
        <v>1826</v>
      </c>
      <c r="C647" s="82">
        <v>90</v>
      </c>
      <c r="D647" s="43"/>
      <c r="E647" s="29" cm="1">
        <f t="array" ref="E647">_xlfn.IFS(C647=":",":",C647&gt;=N$19,1,C647&gt;=N$20,2,C647&gt;=N$21,3,C647&gt;=N$22,4,C647&gt;=N$23,5,C647&gt;=N$24,6,C647&lt;N$24,7)</f>
        <v>5</v>
      </c>
      <c r="F647" s="30"/>
      <c r="G647" s="5"/>
      <c r="H647" s="5"/>
    </row>
    <row r="648" spans="1:8" ht="12" customHeight="1">
      <c r="A648" s="15" t="s">
        <v>1827</v>
      </c>
      <c r="B648" s="11" t="s">
        <v>1828</v>
      </c>
      <c r="C648" s="82">
        <v>284</v>
      </c>
      <c r="D648" s="43"/>
      <c r="E648" s="29" cm="1">
        <f t="array" ref="E648">_xlfn.IFS(C648=":",":",C648&gt;=N$19,1,C648&gt;=N$20,2,C648&gt;=N$21,3,C648&gt;=N$22,4,C648&gt;=N$23,5,C648&gt;=N$24,6,C648&lt;N$24,7)</f>
        <v>4</v>
      </c>
      <c r="F648" s="30"/>
      <c r="G648" s="5"/>
      <c r="H648" s="5"/>
    </row>
    <row r="649" spans="1:8" ht="12" customHeight="1">
      <c r="A649" s="15" t="s">
        <v>1829</v>
      </c>
      <c r="B649" s="11" t="s">
        <v>1830</v>
      </c>
      <c r="C649" s="82">
        <v>594</v>
      </c>
      <c r="D649" s="43"/>
      <c r="E649" s="29" cm="1">
        <f t="array" ref="E649">_xlfn.IFS(C649=":",":",C649&gt;=N$19,1,C649&gt;=N$20,2,C649&gt;=N$21,3,C649&gt;=N$22,4,C649&gt;=N$23,5,C649&gt;=N$24,6,C649&lt;N$24,7)</f>
        <v>3</v>
      </c>
      <c r="F649" s="30"/>
      <c r="G649" s="5"/>
      <c r="H649" s="5"/>
    </row>
    <row r="650" spans="1:8" ht="12" customHeight="1">
      <c r="A650" s="10" t="s">
        <v>1831</v>
      </c>
      <c r="B650" s="112" t="s">
        <v>1832</v>
      </c>
      <c r="C650" s="82">
        <v>878</v>
      </c>
      <c r="D650" s="43"/>
      <c r="E650" s="29" cm="1">
        <f t="array" ref="E650">_xlfn.IFS(C650=":",":",C650&gt;=N$19,1,C650&gt;=N$20,2,C650&gt;=N$21,3,C650&gt;=N$22,4,C650&gt;=N$23,5,C650&gt;=N$24,6,C650&lt;N$24,7)</f>
        <v>3</v>
      </c>
      <c r="F650" s="30"/>
      <c r="G650" s="5"/>
      <c r="H650" s="5"/>
    </row>
    <row r="651" spans="1:8" ht="12" customHeight="1">
      <c r="A651" s="10" t="s">
        <v>1833</v>
      </c>
      <c r="B651" s="112" t="s">
        <v>1834</v>
      </c>
      <c r="C651" s="82">
        <v>613</v>
      </c>
      <c r="D651" s="43"/>
      <c r="E651" s="29" cm="1">
        <f t="array" ref="E651">_xlfn.IFS(C651=":",":",C651&gt;=N$19,1,C651&gt;=N$20,2,C651&gt;=N$21,3,C651&gt;=N$22,4,C651&gt;=N$23,5,C651&gt;=N$24,6,C651&lt;N$24,7)</f>
        <v>3</v>
      </c>
      <c r="F651" s="30"/>
      <c r="G651" s="5"/>
      <c r="H651" s="5"/>
    </row>
    <row r="652" spans="1:8" ht="12" customHeight="1">
      <c r="A652" s="10" t="s">
        <v>1835</v>
      </c>
      <c r="B652" s="112" t="s">
        <v>1836</v>
      </c>
      <c r="C652" s="82">
        <v>235</v>
      </c>
      <c r="D652" s="43"/>
      <c r="E652" s="29" cm="1">
        <f t="array" ref="E652">_xlfn.IFS(C652=":",":",C652&gt;=N$19,1,C652&gt;=N$20,2,C652&gt;=N$21,3,C652&gt;=N$22,4,C652&gt;=N$23,5,C652&gt;=N$24,6,C652&lt;N$24,7)</f>
        <v>4</v>
      </c>
      <c r="F652" s="30"/>
      <c r="G652" s="5"/>
      <c r="H652" s="5"/>
    </row>
    <row r="653" spans="1:8" ht="12" customHeight="1">
      <c r="A653" s="10" t="s">
        <v>1837</v>
      </c>
      <c r="B653" s="112" t="s">
        <v>1838</v>
      </c>
      <c r="C653" s="82">
        <v>283</v>
      </c>
      <c r="D653" s="43"/>
      <c r="E653" s="29" cm="1">
        <f t="array" ref="E653">_xlfn.IFS(C653=":",":",C653&gt;=N$19,1,C653&gt;=N$20,2,C653&gt;=N$21,3,C653&gt;=N$22,4,C653&gt;=N$23,5,C653&gt;=N$24,6,C653&lt;N$24,7)</f>
        <v>4</v>
      </c>
      <c r="F653" s="30"/>
      <c r="G653" s="5"/>
      <c r="H653" s="5"/>
    </row>
    <row r="654" spans="1:8" ht="12" customHeight="1">
      <c r="A654" s="10" t="s">
        <v>1839</v>
      </c>
      <c r="B654" s="112" t="s">
        <v>1840</v>
      </c>
      <c r="C654" s="82">
        <v>493</v>
      </c>
      <c r="D654" s="43"/>
      <c r="E654" s="29" cm="1">
        <f t="array" ref="E654">_xlfn.IFS(C654=":",":",C654&gt;=N$19,1,C654&gt;=N$20,2,C654&gt;=N$21,3,C654&gt;=N$22,4,C654&gt;=N$23,5,C654&gt;=N$24,6,C654&lt;N$24,7)</f>
        <v>4</v>
      </c>
      <c r="F654" s="30"/>
      <c r="G654" s="5"/>
      <c r="H654" s="5"/>
    </row>
    <row r="655" spans="1:8" ht="12" customHeight="1">
      <c r="A655" s="10" t="s">
        <v>1841</v>
      </c>
      <c r="B655" s="112" t="s">
        <v>1842</v>
      </c>
      <c r="C655" s="82">
        <v>1319</v>
      </c>
      <c r="D655" s="43"/>
      <c r="E655" s="29" cm="1">
        <f t="array" ref="E655">_xlfn.IFS(C655=":",":",C655&gt;=N$19,1,C655&gt;=N$20,2,C655&gt;=N$21,3,C655&gt;=N$22,4,C655&gt;=N$23,5,C655&gt;=N$24,6,C655&lt;N$24,7)</f>
        <v>3</v>
      </c>
      <c r="F655" s="30"/>
      <c r="G655" s="5"/>
      <c r="H655" s="5"/>
    </row>
    <row r="656" spans="1:8" ht="12" customHeight="1">
      <c r="A656" s="10" t="s">
        <v>1843</v>
      </c>
      <c r="B656" s="112" t="s">
        <v>1844</v>
      </c>
      <c r="C656" s="82">
        <v>1362</v>
      </c>
      <c r="D656" s="43"/>
      <c r="E656" s="29" cm="1">
        <f t="array" ref="E656">_xlfn.IFS(C656=":",":",C656&gt;=N$19,1,C656&gt;=N$20,2,C656&gt;=N$21,3,C656&gt;=N$22,4,C656&gt;=N$23,5,C656&gt;=N$24,6,C656&lt;N$24,7)</f>
        <v>3</v>
      </c>
      <c r="F656" s="30"/>
      <c r="G656" s="5"/>
      <c r="H656" s="5"/>
    </row>
    <row r="657" spans="1:8" ht="12" customHeight="1">
      <c r="A657" s="10" t="s">
        <v>1845</v>
      </c>
      <c r="B657" s="112" t="s">
        <v>1846</v>
      </c>
      <c r="C657" s="82">
        <v>89</v>
      </c>
      <c r="D657" s="43"/>
      <c r="E657" s="29" cm="1">
        <f t="array" ref="E657">_xlfn.IFS(C657=":",":",C657&gt;=N$19,1,C657&gt;=N$20,2,C657&gt;=N$21,3,C657&gt;=N$22,4,C657&gt;=N$23,5,C657&gt;=N$24,6,C657&lt;N$24,7)</f>
        <v>5</v>
      </c>
      <c r="F657" s="30"/>
      <c r="G657" s="5"/>
      <c r="H657" s="5"/>
    </row>
    <row r="658" spans="1:8" ht="12" customHeight="1">
      <c r="A658" s="10" t="s">
        <v>1847</v>
      </c>
      <c r="B658" s="112" t="s">
        <v>1848</v>
      </c>
      <c r="C658" s="82">
        <v>185</v>
      </c>
      <c r="D658" s="43"/>
      <c r="E658" s="29" cm="1">
        <f t="array" ref="E658">_xlfn.IFS(C658=":",":",C658&gt;=N$19,1,C658&gt;=N$20,2,C658&gt;=N$21,3,C658&gt;=N$22,4,C658&gt;=N$23,5,C658&gt;=N$24,6,C658&lt;N$24,7)</f>
        <v>5</v>
      </c>
      <c r="F658" s="30"/>
      <c r="G658" s="5"/>
      <c r="H658" s="5"/>
    </row>
    <row r="659" spans="1:8" ht="12" customHeight="1">
      <c r="A659" s="10" t="s">
        <v>1849</v>
      </c>
      <c r="B659" s="112" t="s">
        <v>1850</v>
      </c>
      <c r="C659" s="82">
        <v>268</v>
      </c>
      <c r="D659" s="43"/>
      <c r="E659" s="29" cm="1">
        <f t="array" ref="E659">_xlfn.IFS(C659=":",":",C659&gt;=N$19,1,C659&gt;=N$20,2,C659&gt;=N$21,3,C659&gt;=N$22,4,C659&gt;=N$23,5,C659&gt;=N$24,6,C659&lt;N$24,7)</f>
        <v>4</v>
      </c>
      <c r="F659" s="30"/>
      <c r="G659" s="5"/>
      <c r="H659" s="5"/>
    </row>
    <row r="660" spans="1:8" ht="12" customHeight="1">
      <c r="A660" s="10" t="s">
        <v>1851</v>
      </c>
      <c r="B660" s="112" t="s">
        <v>1852</v>
      </c>
      <c r="C660" s="82">
        <v>99</v>
      </c>
      <c r="D660" s="43"/>
      <c r="E660" s="29" cm="1">
        <f t="array" ref="E660">_xlfn.IFS(C660=":",":",C660&gt;=N$19,1,C660&gt;=N$20,2,C660&gt;=N$21,3,C660&gt;=N$22,4,C660&gt;=N$23,5,C660&gt;=N$24,6,C660&lt;N$24,7)</f>
        <v>5</v>
      </c>
      <c r="F660" s="30"/>
      <c r="G660" s="5"/>
      <c r="H660" s="5"/>
    </row>
    <row r="661" spans="1:8" ht="12" customHeight="1">
      <c r="A661" s="10" t="s">
        <v>1853</v>
      </c>
      <c r="B661" s="112" t="s">
        <v>2828</v>
      </c>
      <c r="C661" s="82">
        <v>265</v>
      </c>
      <c r="D661" s="43"/>
      <c r="E661" s="29" cm="1">
        <f t="array" ref="E661">_xlfn.IFS(C661=":",":",C661&gt;=N$19,1,C661&gt;=N$20,2,C661&gt;=N$21,3,C661&gt;=N$22,4,C661&gt;=N$23,5,C661&gt;=N$24,6,C661&lt;N$24,7)</f>
        <v>4</v>
      </c>
      <c r="F661" s="30"/>
      <c r="G661" s="5"/>
      <c r="H661" s="5"/>
    </row>
    <row r="662" spans="1:8" ht="12" customHeight="1">
      <c r="A662" s="10" t="s">
        <v>1854</v>
      </c>
      <c r="B662" s="112" t="s">
        <v>2829</v>
      </c>
      <c r="C662" s="82">
        <v>47</v>
      </c>
      <c r="D662" s="43"/>
      <c r="E662" s="29" cm="1">
        <f t="array" ref="E662">_xlfn.IFS(C662=":",":",C662&gt;=N$19,1,C662&gt;=N$20,2,C662&gt;=N$21,3,C662&gt;=N$22,4,C662&gt;=N$23,5,C662&gt;=N$24,6,C662&lt;N$24,7)</f>
        <v>6</v>
      </c>
      <c r="F662" s="30"/>
      <c r="G662" s="5"/>
      <c r="H662" s="5"/>
    </row>
    <row r="663" spans="1:8" ht="12" customHeight="1">
      <c r="A663" s="10" t="s">
        <v>1855</v>
      </c>
      <c r="B663" s="112" t="s">
        <v>1856</v>
      </c>
      <c r="C663" s="82">
        <v>592</v>
      </c>
      <c r="D663" s="43"/>
      <c r="E663" s="29" cm="1">
        <f t="array" ref="E663">_xlfn.IFS(C663=":",":",C663&gt;=N$19,1,C663&gt;=N$20,2,C663&gt;=N$21,3,C663&gt;=N$22,4,C663&gt;=N$23,5,C663&gt;=N$24,6,C663&lt;N$24,7)</f>
        <v>3</v>
      </c>
      <c r="F663" s="30"/>
      <c r="G663" s="5"/>
      <c r="H663" s="5"/>
    </row>
    <row r="664" spans="1:8" ht="12" customHeight="1">
      <c r="A664" s="10" t="s">
        <v>1857</v>
      </c>
      <c r="B664" s="112" t="s">
        <v>1858</v>
      </c>
      <c r="C664" s="82">
        <v>343</v>
      </c>
      <c r="D664" s="43"/>
      <c r="E664" s="29" cm="1">
        <f t="array" ref="E664">_xlfn.IFS(C664=":",":",C664&gt;=N$19,1,C664&gt;=N$20,2,C664&gt;=N$21,3,C664&gt;=N$22,4,C664&gt;=N$23,5,C664&gt;=N$24,6,C664&lt;N$24,7)</f>
        <v>4</v>
      </c>
      <c r="F664" s="30"/>
      <c r="G664" s="5"/>
      <c r="H664" s="5"/>
    </row>
    <row r="665" spans="1:8" ht="12" customHeight="1">
      <c r="A665" s="10" t="s">
        <v>1859</v>
      </c>
      <c r="B665" s="112" t="s">
        <v>1860</v>
      </c>
      <c r="C665" s="82">
        <v>1206</v>
      </c>
      <c r="D665" s="43"/>
      <c r="E665" s="29" cm="1">
        <f t="array" ref="E665">_xlfn.IFS(C665=":",":",C665&gt;=N$19,1,C665&gt;=N$20,2,C665&gt;=N$21,3,C665&gt;=N$22,4,C665&gt;=N$23,5,C665&gt;=N$24,6,C665&lt;N$24,7)</f>
        <v>3</v>
      </c>
      <c r="F665" s="30"/>
      <c r="G665" s="5"/>
      <c r="H665" s="5"/>
    </row>
    <row r="666" spans="1:8" ht="12" customHeight="1">
      <c r="A666" s="10" t="s">
        <v>1861</v>
      </c>
      <c r="B666" s="112" t="s">
        <v>1862</v>
      </c>
      <c r="C666" s="82">
        <v>364</v>
      </c>
      <c r="D666" s="43"/>
      <c r="E666" s="29" cm="1">
        <f t="array" ref="E666">_xlfn.IFS(C666=":",":",C666&gt;=N$19,1,C666&gt;=N$20,2,C666&gt;=N$21,3,C666&gt;=N$22,4,C666&gt;=N$23,5,C666&gt;=N$24,6,C666&lt;N$24,7)</f>
        <v>4</v>
      </c>
      <c r="F666" s="30"/>
      <c r="G666" s="5"/>
      <c r="H666" s="5"/>
    </row>
    <row r="667" spans="1:8" ht="12" customHeight="1">
      <c r="A667" s="10" t="s">
        <v>1863</v>
      </c>
      <c r="B667" s="112" t="s">
        <v>1864</v>
      </c>
      <c r="C667" s="82">
        <v>92</v>
      </c>
      <c r="D667" s="43"/>
      <c r="E667" s="29" cm="1">
        <f t="array" ref="E667">_xlfn.IFS(C667=":",":",C667&gt;=N$19,1,C667&gt;=N$20,2,C667&gt;=N$21,3,C667&gt;=N$22,4,C667&gt;=N$23,5,C667&gt;=N$24,6,C667&lt;N$24,7)</f>
        <v>5</v>
      </c>
      <c r="F667" s="30"/>
      <c r="G667" s="5"/>
      <c r="H667" s="5"/>
    </row>
    <row r="668" spans="1:8" ht="12" customHeight="1">
      <c r="A668" s="10" t="s">
        <v>1865</v>
      </c>
      <c r="B668" s="112" t="s">
        <v>1866</v>
      </c>
      <c r="C668" s="82">
        <v>221</v>
      </c>
      <c r="D668" s="43"/>
      <c r="E668" s="29" cm="1">
        <f t="array" ref="E668">_xlfn.IFS(C668=":",":",C668&gt;=N$19,1,C668&gt;=N$20,2,C668&gt;=N$21,3,C668&gt;=N$22,4,C668&gt;=N$23,5,C668&gt;=N$24,6,C668&lt;N$24,7)</f>
        <v>4</v>
      </c>
      <c r="F668" s="30"/>
      <c r="G668" s="5"/>
      <c r="H668" s="5"/>
    </row>
    <row r="669" spans="1:8" ht="12" customHeight="1">
      <c r="A669" s="10" t="s">
        <v>1867</v>
      </c>
      <c r="B669" s="112" t="s">
        <v>1868</v>
      </c>
      <c r="C669" s="82">
        <v>1842</v>
      </c>
      <c r="D669" s="43"/>
      <c r="E669" s="29" cm="1">
        <f t="array" ref="E669">_xlfn.IFS(C669=":",":",C669&gt;=N$19,1,C669&gt;=N$20,2,C669&gt;=N$21,3,C669&gt;=N$22,4,C669&gt;=N$23,5,C669&gt;=N$24,6,C669&lt;N$24,7)</f>
        <v>2</v>
      </c>
      <c r="F669" s="30"/>
      <c r="G669" s="5"/>
      <c r="H669" s="5"/>
    </row>
    <row r="670" spans="1:8" ht="12" customHeight="1">
      <c r="A670" s="10" t="s">
        <v>1869</v>
      </c>
      <c r="B670" s="112" t="s">
        <v>2876</v>
      </c>
      <c r="C670" s="82">
        <v>597</v>
      </c>
      <c r="D670" s="43"/>
      <c r="E670" s="29" cm="1">
        <f t="array" ref="E670">_xlfn.IFS(C670=":",":",C670&gt;=N$19,1,C670&gt;=N$20,2,C670&gt;=N$21,3,C670&gt;=N$22,4,C670&gt;=N$23,5,C670&gt;=N$24,6,C670&lt;N$24,7)</f>
        <v>3</v>
      </c>
      <c r="F670" s="30"/>
      <c r="G670" s="5"/>
      <c r="H670" s="5"/>
    </row>
    <row r="671" spans="1:8" ht="12" customHeight="1">
      <c r="A671" s="10" t="s">
        <v>1870</v>
      </c>
      <c r="B671" s="112" t="s">
        <v>1871</v>
      </c>
      <c r="C671" s="82">
        <v>1224</v>
      </c>
      <c r="D671" s="43"/>
      <c r="E671" s="29" cm="1">
        <f t="array" ref="E671">_xlfn.IFS(C671=":",":",C671&gt;=N$19,1,C671&gt;=N$20,2,C671&gt;=N$21,3,C671&gt;=N$22,4,C671&gt;=N$23,5,C671&gt;=N$24,6,C671&lt;N$24,7)</f>
        <v>3</v>
      </c>
      <c r="F671" s="30"/>
      <c r="G671" s="5"/>
      <c r="H671" s="5"/>
    </row>
    <row r="672" spans="1:8" ht="12" customHeight="1">
      <c r="A672" s="10" t="s">
        <v>1872</v>
      </c>
      <c r="B672" s="112" t="s">
        <v>1873</v>
      </c>
      <c r="C672" s="82">
        <v>807</v>
      </c>
      <c r="D672" s="43"/>
      <c r="E672" s="29" cm="1">
        <f t="array" ref="E672">_xlfn.IFS(C672=":",":",C672&gt;=N$19,1,C672&gt;=N$20,2,C672&gt;=N$21,3,C672&gt;=N$22,4,C672&gt;=N$23,5,C672&gt;=N$24,6,C672&lt;N$24,7)</f>
        <v>3</v>
      </c>
      <c r="F672" s="30"/>
      <c r="G672" s="5"/>
      <c r="H672" s="5"/>
    </row>
    <row r="673" spans="1:8" ht="12" customHeight="1">
      <c r="A673" s="10" t="s">
        <v>1874</v>
      </c>
      <c r="B673" s="112" t="s">
        <v>1875</v>
      </c>
      <c r="C673" s="82">
        <v>1108</v>
      </c>
      <c r="D673" s="43"/>
      <c r="E673" s="29" cm="1">
        <f t="array" ref="E673">_xlfn.IFS(C673=":",":",C673&gt;=N$19,1,C673&gt;=N$20,2,C673&gt;=N$21,3,C673&gt;=N$22,4,C673&gt;=N$23,5,C673&gt;=N$24,6,C673&lt;N$24,7)</f>
        <v>3</v>
      </c>
      <c r="F673" s="30"/>
      <c r="G673" s="5"/>
      <c r="H673" s="5"/>
    </row>
    <row r="674" spans="1:8" ht="12" customHeight="1">
      <c r="A674" s="10" t="s">
        <v>1876</v>
      </c>
      <c r="B674" s="112" t="s">
        <v>1877</v>
      </c>
      <c r="C674" s="82">
        <v>558</v>
      </c>
      <c r="D674" s="43"/>
      <c r="E674" s="29" cm="1">
        <f t="array" ref="E674">_xlfn.IFS(C674=":",":",C674&gt;=N$19,1,C674&gt;=N$20,2,C674&gt;=N$21,3,C674&gt;=N$22,4,C674&gt;=N$23,5,C674&gt;=N$24,6,C674&lt;N$24,7)</f>
        <v>3</v>
      </c>
      <c r="F674" s="30"/>
      <c r="G674" s="5"/>
      <c r="H674" s="5"/>
    </row>
    <row r="675" spans="1:8" ht="12" customHeight="1">
      <c r="A675" s="10" t="s">
        <v>1878</v>
      </c>
      <c r="B675" s="112" t="s">
        <v>1879</v>
      </c>
      <c r="C675" s="82">
        <v>1335</v>
      </c>
      <c r="D675" s="43"/>
      <c r="E675" s="29" cm="1">
        <f t="array" ref="E675">_xlfn.IFS(C675=":",":",C675&gt;=N$19,1,C675&gt;=N$20,2,C675&gt;=N$21,3,C675&gt;=N$22,4,C675&gt;=N$23,5,C675&gt;=N$24,6,C675&lt;N$24,7)</f>
        <v>3</v>
      </c>
      <c r="F675" s="30"/>
      <c r="G675" s="5"/>
      <c r="H675" s="5"/>
    </row>
    <row r="676" spans="1:8" ht="12" customHeight="1">
      <c r="A676" s="10" t="s">
        <v>1880</v>
      </c>
      <c r="B676" s="112" t="s">
        <v>1881</v>
      </c>
      <c r="C676" s="82">
        <v>1111</v>
      </c>
      <c r="D676" s="43"/>
      <c r="E676" s="29" cm="1">
        <f t="array" ref="E676">_xlfn.IFS(C676=":",":",C676&gt;=N$19,1,C676&gt;=N$20,2,C676&gt;=N$21,3,C676&gt;=N$22,4,C676&gt;=N$23,5,C676&gt;=N$24,6,C676&lt;N$24,7)</f>
        <v>3</v>
      </c>
      <c r="F676" s="30"/>
      <c r="G676" s="5"/>
      <c r="H676" s="5"/>
    </row>
    <row r="677" spans="1:8" ht="12" customHeight="1">
      <c r="A677" s="10" t="s">
        <v>1882</v>
      </c>
      <c r="B677" s="112" t="s">
        <v>1883</v>
      </c>
      <c r="C677" s="82">
        <v>285</v>
      </c>
      <c r="D677" s="43"/>
      <c r="E677" s="29" cm="1">
        <f t="array" ref="E677">_xlfn.IFS(C677=":",":",C677&gt;=N$19,1,C677&gt;=N$20,2,C677&gt;=N$21,3,C677&gt;=N$22,4,C677&gt;=N$23,5,C677&gt;=N$24,6,C677&lt;N$24,7)</f>
        <v>4</v>
      </c>
      <c r="F677" s="30"/>
      <c r="G677" s="5"/>
      <c r="H677" s="5"/>
    </row>
    <row r="678" spans="1:8" ht="12" customHeight="1">
      <c r="A678" s="10" t="s">
        <v>1884</v>
      </c>
      <c r="B678" s="112" t="s">
        <v>1885</v>
      </c>
      <c r="C678" s="82">
        <v>921</v>
      </c>
      <c r="D678" s="43"/>
      <c r="E678" s="29" cm="1">
        <f t="array" ref="E678">_xlfn.IFS(C678=":",":",C678&gt;=N$19,1,C678&gt;=N$20,2,C678&gt;=N$21,3,C678&gt;=N$22,4,C678&gt;=N$23,5,C678&gt;=N$24,6,C678&lt;N$24,7)</f>
        <v>3</v>
      </c>
      <c r="F678" s="30"/>
      <c r="G678" s="5"/>
      <c r="H678" s="5"/>
    </row>
    <row r="679" spans="1:8" ht="12" customHeight="1">
      <c r="A679" s="10" t="s">
        <v>1886</v>
      </c>
      <c r="B679" s="112" t="s">
        <v>1887</v>
      </c>
      <c r="C679" s="82">
        <v>221</v>
      </c>
      <c r="D679" s="43"/>
      <c r="E679" s="29" cm="1">
        <f t="array" ref="E679">_xlfn.IFS(C679=":",":",C679&gt;=N$19,1,C679&gt;=N$20,2,C679&gt;=N$21,3,C679&gt;=N$22,4,C679&gt;=N$23,5,C679&gt;=N$24,6,C679&lt;N$24,7)</f>
        <v>4</v>
      </c>
      <c r="F679" s="30"/>
      <c r="G679" s="5"/>
      <c r="H679" s="5"/>
    </row>
    <row r="680" spans="1:8" ht="12" customHeight="1">
      <c r="A680" s="10" t="s">
        <v>1888</v>
      </c>
      <c r="B680" s="112" t="s">
        <v>1889</v>
      </c>
      <c r="C680" s="82">
        <v>59</v>
      </c>
      <c r="D680" s="43"/>
      <c r="E680" s="29" cm="1">
        <f t="array" ref="E680">_xlfn.IFS(C680=":",":",C680&gt;=N$19,1,C680&gt;=N$20,2,C680&gt;=N$21,3,C680&gt;=N$22,4,C680&gt;=N$23,5,C680&gt;=N$24,6,C680&lt;N$24,7)</f>
        <v>6</v>
      </c>
      <c r="F680" s="30"/>
      <c r="G680" s="5"/>
      <c r="H680" s="5"/>
    </row>
    <row r="681" spans="1:8" ht="12" customHeight="1">
      <c r="A681" s="10" t="s">
        <v>1890</v>
      </c>
      <c r="B681" s="112" t="s">
        <v>1891</v>
      </c>
      <c r="C681" s="82">
        <v>170</v>
      </c>
      <c r="D681" s="43"/>
      <c r="E681" s="29" cm="1">
        <f t="array" ref="E681">_xlfn.IFS(C681=":",":",C681&gt;=N$19,1,C681&gt;=N$20,2,C681&gt;=N$21,3,C681&gt;=N$22,4,C681&gt;=N$23,5,C681&gt;=N$24,6,C681&lt;N$24,7)</f>
        <v>5</v>
      </c>
      <c r="F681" s="30"/>
      <c r="G681" s="5"/>
      <c r="H681" s="5"/>
    </row>
    <row r="682" spans="1:8" ht="12" customHeight="1">
      <c r="A682" s="10" t="s">
        <v>1892</v>
      </c>
      <c r="B682" s="112" t="s">
        <v>1893</v>
      </c>
      <c r="C682" s="82">
        <v>117</v>
      </c>
      <c r="D682" s="43"/>
      <c r="E682" s="29" cm="1">
        <f t="array" ref="E682">_xlfn.IFS(C682=":",":",C682&gt;=N$19,1,C682&gt;=N$20,2,C682&gt;=N$21,3,C682&gt;=N$22,4,C682&gt;=N$23,5,C682&gt;=N$24,6,C682&lt;N$24,7)</f>
        <v>5</v>
      </c>
      <c r="F682" s="30"/>
      <c r="G682" s="5"/>
      <c r="H682" s="5"/>
    </row>
    <row r="683" spans="1:8" ht="12" customHeight="1">
      <c r="A683" s="10" t="s">
        <v>1894</v>
      </c>
      <c r="B683" s="112" t="s">
        <v>1895</v>
      </c>
      <c r="C683" s="82">
        <v>1773</v>
      </c>
      <c r="D683" s="43"/>
      <c r="E683" s="29" cm="1">
        <f t="array" ref="E683">_xlfn.IFS(C683=":",":",C683&gt;=N$19,1,C683&gt;=N$20,2,C683&gt;=N$21,3,C683&gt;=N$22,4,C683&gt;=N$23,5,C683&gt;=N$24,6,C683&lt;N$24,7)</f>
        <v>2</v>
      </c>
      <c r="F683" s="30"/>
      <c r="G683" s="5"/>
      <c r="H683" s="5"/>
    </row>
    <row r="684" spans="1:8" ht="12" customHeight="1">
      <c r="A684" s="10" t="s">
        <v>1896</v>
      </c>
      <c r="B684" s="112" t="s">
        <v>1897</v>
      </c>
      <c r="C684" s="82">
        <v>123</v>
      </c>
      <c r="D684" s="43"/>
      <c r="E684" s="29" cm="1">
        <f t="array" ref="E684">_xlfn.IFS(C684=":",":",C684&gt;=N$19,1,C684&gt;=N$20,2,C684&gt;=N$21,3,C684&gt;=N$22,4,C684&gt;=N$23,5,C684&gt;=N$24,6,C684&lt;N$24,7)</f>
        <v>5</v>
      </c>
      <c r="F684" s="30"/>
      <c r="G684" s="5"/>
      <c r="H684" s="5"/>
    </row>
    <row r="685" spans="1:8" ht="12" customHeight="1">
      <c r="A685" s="10" t="s">
        <v>1898</v>
      </c>
      <c r="B685" s="112" t="s">
        <v>1899</v>
      </c>
      <c r="C685" s="82">
        <v>507</v>
      </c>
      <c r="D685" s="43"/>
      <c r="E685" s="29" cm="1">
        <f t="array" ref="E685">_xlfn.IFS(C685=":",":",C685&gt;=N$19,1,C685&gt;=N$20,2,C685&gt;=N$21,3,C685&gt;=N$22,4,C685&gt;=N$23,5,C685&gt;=N$24,6,C685&lt;N$24,7)</f>
        <v>3</v>
      </c>
      <c r="F685" s="30"/>
      <c r="G685" s="5"/>
      <c r="H685" s="5"/>
    </row>
    <row r="686" spans="1:8" ht="12" customHeight="1">
      <c r="A686" s="10" t="s">
        <v>1900</v>
      </c>
      <c r="B686" s="112" t="s">
        <v>1901</v>
      </c>
      <c r="C686" s="82">
        <v>584</v>
      </c>
      <c r="D686" s="43"/>
      <c r="E686" s="29" cm="1">
        <f t="array" ref="E686">_xlfn.IFS(C686=":",":",C686&gt;=N$19,1,C686&gt;=N$20,2,C686&gt;=N$21,3,C686&gt;=N$22,4,C686&gt;=N$23,5,C686&gt;=N$24,6,C686&lt;N$24,7)</f>
        <v>3</v>
      </c>
      <c r="F686" s="30"/>
      <c r="G686" s="5"/>
      <c r="H686" s="5"/>
    </row>
    <row r="687" spans="1:8" ht="12" customHeight="1">
      <c r="A687" s="10" t="s">
        <v>1902</v>
      </c>
      <c r="B687" s="112" t="s">
        <v>1903</v>
      </c>
      <c r="C687" s="82">
        <v>1011</v>
      </c>
      <c r="D687" s="43"/>
      <c r="E687" s="29" cm="1">
        <f t="array" ref="E687">_xlfn.IFS(C687=":",":",C687&gt;=N$19,1,C687&gt;=N$20,2,C687&gt;=N$21,3,C687&gt;=N$22,4,C687&gt;=N$23,5,C687&gt;=N$24,6,C687&lt;N$24,7)</f>
        <v>3</v>
      </c>
      <c r="F687" s="30"/>
      <c r="G687" s="5"/>
      <c r="H687" s="5"/>
    </row>
    <row r="688" spans="1:8" ht="12" customHeight="1">
      <c r="A688" s="10" t="s">
        <v>1904</v>
      </c>
      <c r="B688" s="112" t="s">
        <v>1905</v>
      </c>
      <c r="C688" s="82">
        <v>2721</v>
      </c>
      <c r="D688" s="43"/>
      <c r="E688" s="29" cm="1">
        <f t="array" ref="E688">_xlfn.IFS(C688=":",":",C688&gt;=N$19,1,C688&gt;=N$20,2,C688&gt;=N$21,3,C688&gt;=N$22,4,C688&gt;=N$23,5,C688&gt;=N$24,6,C688&lt;N$24,7)</f>
        <v>2</v>
      </c>
      <c r="F688" s="30"/>
      <c r="G688" s="5"/>
      <c r="H688" s="5"/>
    </row>
    <row r="689" spans="1:8" ht="12" customHeight="1">
      <c r="A689" s="10" t="s">
        <v>1906</v>
      </c>
      <c r="B689" s="112" t="s">
        <v>1907</v>
      </c>
      <c r="C689" s="82">
        <v>250</v>
      </c>
      <c r="D689" s="43"/>
      <c r="E689" s="29" cm="1">
        <f t="array" ref="E689">_xlfn.IFS(C689=":",":",C689&gt;=N$19,1,C689&gt;=N$20,2,C689&gt;=N$21,3,C689&gt;=N$22,4,C689&gt;=N$23,5,C689&gt;=N$24,6,C689&lt;N$24,7)</f>
        <v>4</v>
      </c>
      <c r="F689" s="30"/>
      <c r="G689" s="5"/>
      <c r="H689" s="5"/>
    </row>
    <row r="690" spans="1:8" ht="12" customHeight="1">
      <c r="A690" s="10" t="s">
        <v>1908</v>
      </c>
      <c r="B690" s="112" t="s">
        <v>1909</v>
      </c>
      <c r="C690" s="82">
        <v>2722</v>
      </c>
      <c r="D690" s="43"/>
      <c r="E690" s="29" cm="1">
        <f t="array" ref="E690">_xlfn.IFS(C690=":",":",C690&gt;=N$19,1,C690&gt;=N$20,2,C690&gt;=N$21,3,C690&gt;=N$22,4,C690&gt;=N$23,5,C690&gt;=N$24,6,C690&lt;N$24,7)</f>
        <v>2</v>
      </c>
      <c r="F690" s="30"/>
      <c r="G690" s="5"/>
      <c r="H690" s="5"/>
    </row>
    <row r="691" spans="1:8" ht="12" customHeight="1">
      <c r="A691" s="10" t="s">
        <v>1910</v>
      </c>
      <c r="B691" s="112" t="s">
        <v>1911</v>
      </c>
      <c r="C691" s="82">
        <v>231</v>
      </c>
      <c r="D691" s="43"/>
      <c r="E691" s="29" cm="1">
        <f t="array" ref="E691">_xlfn.IFS(C691=":",":",C691&gt;=N$19,1,C691&gt;=N$20,2,C691&gt;=N$21,3,C691&gt;=N$22,4,C691&gt;=N$23,5,C691&gt;=N$24,6,C691&lt;N$24,7)</f>
        <v>4</v>
      </c>
      <c r="F691" s="30"/>
      <c r="G691" s="5"/>
      <c r="H691" s="5"/>
    </row>
    <row r="692" spans="1:8" ht="12" customHeight="1">
      <c r="A692" s="10" t="s">
        <v>1912</v>
      </c>
      <c r="B692" s="112" t="s">
        <v>1913</v>
      </c>
      <c r="C692" s="82">
        <v>251</v>
      </c>
      <c r="D692" s="43"/>
      <c r="E692" s="29" cm="1">
        <f t="array" ref="E692">_xlfn.IFS(C692=":",":",C692&gt;=N$19,1,C692&gt;=N$20,2,C692&gt;=N$21,3,C692&gt;=N$22,4,C692&gt;=N$23,5,C692&gt;=N$24,6,C692&lt;N$24,7)</f>
        <v>4</v>
      </c>
      <c r="F692" s="30"/>
      <c r="G692" s="5"/>
      <c r="H692" s="5"/>
    </row>
    <row r="693" spans="1:8" ht="12" customHeight="1">
      <c r="A693" s="10" t="s">
        <v>1914</v>
      </c>
      <c r="B693" s="112" t="s">
        <v>1915</v>
      </c>
      <c r="C693" s="82">
        <v>872</v>
      </c>
      <c r="D693" s="43"/>
      <c r="E693" s="29" cm="1">
        <f t="array" ref="E693">_xlfn.IFS(C693=":",":",C693&gt;=N$19,1,C693&gt;=N$20,2,C693&gt;=N$21,3,C693&gt;=N$22,4,C693&gt;=N$23,5,C693&gt;=N$24,6,C693&lt;N$24,7)</f>
        <v>3</v>
      </c>
      <c r="F693" s="30"/>
      <c r="G693" s="5"/>
      <c r="H693" s="5"/>
    </row>
    <row r="694" spans="1:8" ht="12" customHeight="1">
      <c r="A694" s="10" t="s">
        <v>1916</v>
      </c>
      <c r="B694" s="112" t="s">
        <v>1917</v>
      </c>
      <c r="C694" s="82">
        <v>121</v>
      </c>
      <c r="D694" s="43"/>
      <c r="E694" s="29" cm="1">
        <f t="array" ref="E694">_xlfn.IFS(C694=":",":",C694&gt;=N$19,1,C694&gt;=N$20,2,C694&gt;=N$21,3,C694&gt;=N$22,4,C694&gt;=N$23,5,C694&gt;=N$24,6,C694&lt;N$24,7)</f>
        <v>5</v>
      </c>
      <c r="F694" s="30"/>
      <c r="G694" s="5"/>
      <c r="H694" s="5"/>
    </row>
    <row r="695" spans="1:8" ht="12" customHeight="1">
      <c r="A695" s="10" t="s">
        <v>1918</v>
      </c>
      <c r="B695" s="112" t="s">
        <v>1919</v>
      </c>
      <c r="C695" s="82">
        <v>362</v>
      </c>
      <c r="D695" s="43"/>
      <c r="E695" s="29" cm="1">
        <f t="array" ref="E695">_xlfn.IFS(C695=":",":",C695&gt;=N$19,1,C695&gt;=N$20,2,C695&gt;=N$21,3,C695&gt;=N$22,4,C695&gt;=N$23,5,C695&gt;=N$24,6,C695&lt;N$24,7)</f>
        <v>4</v>
      </c>
      <c r="F695" s="30"/>
      <c r="G695" s="5"/>
      <c r="H695" s="5"/>
    </row>
    <row r="696" spans="1:8" ht="12" customHeight="1">
      <c r="A696" s="10" t="s">
        <v>1920</v>
      </c>
      <c r="B696" s="112" t="s">
        <v>2830</v>
      </c>
      <c r="C696" s="82">
        <v>1081</v>
      </c>
      <c r="D696" s="43"/>
      <c r="E696" s="29" cm="1">
        <f t="array" ref="E696">_xlfn.IFS(C696=":",":",C696&gt;=N$19,1,C696&gt;=N$20,2,C696&gt;=N$21,3,C696&gt;=N$22,4,C696&gt;=N$23,5,C696&gt;=N$24,6,C696&lt;N$24,7)</f>
        <v>3</v>
      </c>
      <c r="F696" s="30"/>
      <c r="G696" s="5"/>
      <c r="H696" s="5"/>
    </row>
    <row r="697" spans="1:8" ht="12" customHeight="1">
      <c r="A697" s="10" t="s">
        <v>1921</v>
      </c>
      <c r="B697" s="112" t="s">
        <v>1922</v>
      </c>
      <c r="C697" s="82">
        <v>149</v>
      </c>
      <c r="D697" s="43"/>
      <c r="E697" s="29" cm="1">
        <f t="array" ref="E697">_xlfn.IFS(C697=":",":",C697&gt;=N$19,1,C697&gt;=N$20,2,C697&gt;=N$21,3,C697&gt;=N$22,4,C697&gt;=N$23,5,C697&gt;=N$24,6,C697&lt;N$24,7)</f>
        <v>5</v>
      </c>
      <c r="F697" s="30"/>
      <c r="G697" s="5"/>
      <c r="H697" s="5"/>
    </row>
    <row r="698" spans="1:8" ht="12" customHeight="1">
      <c r="A698" s="10" t="s">
        <v>1923</v>
      </c>
      <c r="B698" s="112" t="s">
        <v>1924</v>
      </c>
      <c r="C698" s="82">
        <v>164</v>
      </c>
      <c r="D698" s="43"/>
      <c r="E698" s="29" cm="1">
        <f t="array" ref="E698">_xlfn.IFS(C698=":",":",C698&gt;=N$19,1,C698&gt;=N$20,2,C698&gt;=N$21,3,C698&gt;=N$22,4,C698&gt;=N$23,5,C698&gt;=N$24,6,C698&lt;N$24,7)</f>
        <v>5</v>
      </c>
      <c r="F698" s="30"/>
      <c r="G698" s="5"/>
      <c r="H698" s="5"/>
    </row>
    <row r="699" spans="1:8" ht="12" customHeight="1">
      <c r="A699" s="10" t="s">
        <v>1925</v>
      </c>
      <c r="B699" s="112" t="s">
        <v>1926</v>
      </c>
      <c r="C699" s="82">
        <v>157</v>
      </c>
      <c r="D699" s="43"/>
      <c r="E699" s="29" cm="1">
        <f t="array" ref="E699">_xlfn.IFS(C699=":",":",C699&gt;=N$19,1,C699&gt;=N$20,2,C699&gt;=N$21,3,C699&gt;=N$22,4,C699&gt;=N$23,5,C699&gt;=N$24,6,C699&lt;N$24,7)</f>
        <v>5</v>
      </c>
      <c r="F699" s="30"/>
      <c r="G699" s="5"/>
      <c r="H699" s="5"/>
    </row>
    <row r="700" spans="1:8" ht="12" customHeight="1">
      <c r="A700" s="10" t="s">
        <v>1927</v>
      </c>
      <c r="B700" s="112" t="s">
        <v>1928</v>
      </c>
      <c r="C700" s="82">
        <v>185</v>
      </c>
      <c r="D700" s="43"/>
      <c r="E700" s="29" cm="1">
        <f t="array" ref="E700">_xlfn.IFS(C700=":",":",C700&gt;=N$19,1,C700&gt;=N$20,2,C700&gt;=N$21,3,C700&gt;=N$22,4,C700&gt;=N$23,5,C700&gt;=N$24,6,C700&lt;N$24,7)</f>
        <v>5</v>
      </c>
      <c r="F700" s="30"/>
      <c r="G700" s="5"/>
      <c r="H700" s="5"/>
    </row>
    <row r="701" spans="1:8" ht="12" customHeight="1">
      <c r="A701" s="10" t="s">
        <v>1929</v>
      </c>
      <c r="B701" s="112" t="s">
        <v>1930</v>
      </c>
      <c r="C701" s="82">
        <v>167</v>
      </c>
      <c r="D701" s="43"/>
      <c r="E701" s="29" cm="1">
        <f t="array" ref="E701">_xlfn.IFS(C701=":",":",C701&gt;=N$19,1,C701&gt;=N$20,2,C701&gt;=N$21,3,C701&gt;=N$22,4,C701&gt;=N$23,5,C701&gt;=N$24,6,C701&lt;N$24,7)</f>
        <v>5</v>
      </c>
      <c r="F701" s="30"/>
      <c r="G701" s="5"/>
      <c r="H701" s="5"/>
    </row>
    <row r="702" spans="1:8" ht="12" customHeight="1">
      <c r="A702" s="10" t="s">
        <v>1931</v>
      </c>
      <c r="B702" s="112" t="s">
        <v>1932</v>
      </c>
      <c r="C702" s="82">
        <v>518</v>
      </c>
      <c r="D702" s="43"/>
      <c r="E702" s="29" cm="1">
        <f t="array" ref="E702">_xlfn.IFS(C702=":",":",C702&gt;=N$19,1,C702&gt;=N$20,2,C702&gt;=N$21,3,C702&gt;=N$22,4,C702&gt;=N$23,5,C702&gt;=N$24,6,C702&lt;N$24,7)</f>
        <v>3</v>
      </c>
      <c r="F702" s="30"/>
      <c r="G702" s="5"/>
      <c r="H702" s="5"/>
    </row>
    <row r="703" spans="1:8" ht="12" customHeight="1">
      <c r="A703" s="10" t="s">
        <v>1933</v>
      </c>
      <c r="B703" s="112" t="s">
        <v>1934</v>
      </c>
      <c r="C703" s="82">
        <v>420</v>
      </c>
      <c r="D703" s="43"/>
      <c r="E703" s="29" cm="1">
        <f t="array" ref="E703">_xlfn.IFS(C703=":",":",C703&gt;=N$19,1,C703&gt;=N$20,2,C703&gt;=N$21,3,C703&gt;=N$22,4,C703&gt;=N$23,5,C703&gt;=N$24,6,C703&lt;N$24,7)</f>
        <v>4</v>
      </c>
      <c r="F703" s="30"/>
      <c r="G703" s="5"/>
      <c r="H703" s="5"/>
    </row>
    <row r="704" spans="1:8" ht="12" customHeight="1">
      <c r="A704" s="10" t="s">
        <v>1935</v>
      </c>
      <c r="B704" s="112" t="s">
        <v>1936</v>
      </c>
      <c r="C704" s="82">
        <v>1032</v>
      </c>
      <c r="D704" s="43"/>
      <c r="E704" s="29" cm="1">
        <f t="array" ref="E704">_xlfn.IFS(C704=":",":",C704&gt;=N$19,1,C704&gt;=N$20,2,C704&gt;=N$21,3,C704&gt;=N$22,4,C704&gt;=N$23,5,C704&gt;=N$24,6,C704&lt;N$24,7)</f>
        <v>3</v>
      </c>
      <c r="F704" s="30"/>
      <c r="G704" s="5"/>
      <c r="H704" s="5"/>
    </row>
    <row r="705" spans="1:8" ht="12" customHeight="1">
      <c r="A705" s="10" t="s">
        <v>1937</v>
      </c>
      <c r="B705" s="112" t="s">
        <v>1938</v>
      </c>
      <c r="C705" s="82">
        <v>518</v>
      </c>
      <c r="D705" s="43"/>
      <c r="E705" s="29" cm="1">
        <f t="array" ref="E705">_xlfn.IFS(C705=":",":",C705&gt;=N$19,1,C705&gt;=N$20,2,C705&gt;=N$21,3,C705&gt;=N$22,4,C705&gt;=N$23,5,C705&gt;=N$24,6,C705&lt;N$24,7)</f>
        <v>3</v>
      </c>
      <c r="F705" s="30"/>
      <c r="G705" s="5"/>
      <c r="H705" s="5"/>
    </row>
    <row r="706" spans="1:8" ht="12" customHeight="1">
      <c r="A706" s="10" t="s">
        <v>1939</v>
      </c>
      <c r="B706" s="112" t="s">
        <v>1940</v>
      </c>
      <c r="C706" s="82">
        <v>729</v>
      </c>
      <c r="D706" s="43"/>
      <c r="E706" s="29" cm="1">
        <f t="array" ref="E706">_xlfn.IFS(C706=":",":",C706&gt;=N$19,1,C706&gt;=N$20,2,C706&gt;=N$21,3,C706&gt;=N$22,4,C706&gt;=N$23,5,C706&gt;=N$24,6,C706&lt;N$24,7)</f>
        <v>3</v>
      </c>
      <c r="F706" s="30"/>
      <c r="G706" s="5"/>
      <c r="H706" s="5"/>
    </row>
    <row r="707" spans="1:8" ht="12" customHeight="1">
      <c r="A707" s="10" t="s">
        <v>1941</v>
      </c>
      <c r="B707" s="112" t="s">
        <v>1942</v>
      </c>
      <c r="C707" s="82">
        <v>194</v>
      </c>
      <c r="D707" s="43"/>
      <c r="E707" s="29" cm="1">
        <f t="array" ref="E707">_xlfn.IFS(C707=":",":",C707&gt;=N$19,1,C707&gt;=N$20,2,C707&gt;=N$21,3,C707&gt;=N$22,4,C707&gt;=N$23,5,C707&gt;=N$24,6,C707&lt;N$24,7)</f>
        <v>5</v>
      </c>
      <c r="F707" s="30"/>
      <c r="G707" s="5"/>
      <c r="H707" s="5"/>
    </row>
    <row r="708" spans="1:8" ht="12" customHeight="1">
      <c r="A708" s="10" t="s">
        <v>1943</v>
      </c>
      <c r="B708" s="112" t="s">
        <v>1944</v>
      </c>
      <c r="C708" s="82">
        <v>2566</v>
      </c>
      <c r="D708" s="43"/>
      <c r="E708" s="29" cm="1">
        <f t="array" ref="E708">_xlfn.IFS(C708=":",":",C708&gt;=N$19,1,C708&gt;=N$20,2,C708&gt;=N$21,3,C708&gt;=N$22,4,C708&gt;=N$23,5,C708&gt;=N$24,6,C708&lt;N$24,7)</f>
        <v>2</v>
      </c>
      <c r="F708" s="30"/>
      <c r="G708" s="5"/>
      <c r="H708" s="5"/>
    </row>
    <row r="709" spans="1:8" ht="12" customHeight="1">
      <c r="A709" s="10" t="s">
        <v>1945</v>
      </c>
      <c r="B709" s="112" t="s">
        <v>1946</v>
      </c>
      <c r="C709" s="82">
        <v>2585</v>
      </c>
      <c r="D709" s="43"/>
      <c r="E709" s="29" cm="1">
        <f t="array" ref="E709">_xlfn.IFS(C709=":",":",C709&gt;=N$19,1,C709&gt;=N$20,2,C709&gt;=N$21,3,C709&gt;=N$22,4,C709&gt;=N$23,5,C709&gt;=N$24,6,C709&lt;N$24,7)</f>
        <v>2</v>
      </c>
      <c r="F709" s="30"/>
      <c r="G709" s="5"/>
      <c r="H709" s="5"/>
    </row>
    <row r="710" spans="1:8" ht="12" customHeight="1">
      <c r="A710" s="10" t="s">
        <v>1947</v>
      </c>
      <c r="B710" s="112" t="s">
        <v>1948</v>
      </c>
      <c r="C710" s="82">
        <v>2629</v>
      </c>
      <c r="D710" s="43"/>
      <c r="E710" s="29" cm="1">
        <f t="array" ref="E710">_xlfn.IFS(C710=":",":",C710&gt;=N$19,1,C710&gt;=N$20,2,C710&gt;=N$21,3,C710&gt;=N$22,4,C710&gt;=N$23,5,C710&gt;=N$24,6,C710&lt;N$24,7)</f>
        <v>2</v>
      </c>
      <c r="F710" s="30"/>
      <c r="G710" s="5"/>
      <c r="H710" s="5"/>
    </row>
    <row r="711" spans="1:8" ht="12" customHeight="1">
      <c r="A711" s="10" t="s">
        <v>1949</v>
      </c>
      <c r="B711" s="112" t="s">
        <v>1950</v>
      </c>
      <c r="C711" s="82">
        <v>563</v>
      </c>
      <c r="D711" s="43"/>
      <c r="E711" s="29" cm="1">
        <f t="array" ref="E711">_xlfn.IFS(C711=":",":",C711&gt;=N$19,1,C711&gt;=N$20,2,C711&gt;=N$21,3,C711&gt;=N$22,4,C711&gt;=N$23,5,C711&gt;=N$24,6,C711&lt;N$24,7)</f>
        <v>3</v>
      </c>
      <c r="F711" s="30"/>
      <c r="G711" s="5"/>
      <c r="H711" s="5"/>
    </row>
    <row r="712" spans="1:8" ht="12" customHeight="1">
      <c r="A712" s="10" t="s">
        <v>1951</v>
      </c>
      <c r="B712" s="112" t="s">
        <v>2831</v>
      </c>
      <c r="C712" s="82">
        <v>797</v>
      </c>
      <c r="D712" s="43"/>
      <c r="E712" s="29" cm="1">
        <f t="array" ref="E712">_xlfn.IFS(C712=":",":",C712&gt;=N$19,1,C712&gt;=N$20,2,C712&gt;=N$21,3,C712&gt;=N$22,4,C712&gt;=N$23,5,C712&gt;=N$24,6,C712&lt;N$24,7)</f>
        <v>3</v>
      </c>
      <c r="F712" s="30"/>
      <c r="G712" s="5"/>
      <c r="H712" s="5"/>
    </row>
    <row r="713" spans="1:8" ht="12" customHeight="1">
      <c r="A713" s="10" t="s">
        <v>1952</v>
      </c>
      <c r="B713" s="112" t="s">
        <v>1953</v>
      </c>
      <c r="C713" s="82">
        <v>3201</v>
      </c>
      <c r="D713" s="43"/>
      <c r="E713" s="29" cm="1">
        <f t="array" ref="E713">_xlfn.IFS(C713=":",":",C713&gt;=N$19,1,C713&gt;=N$20,2,C713&gt;=N$21,3,C713&gt;=N$22,4,C713&gt;=N$23,5,C713&gt;=N$24,6,C713&lt;N$24,7)</f>
        <v>2</v>
      </c>
      <c r="F713" s="30"/>
      <c r="G713" s="5"/>
      <c r="H713" s="5"/>
    </row>
    <row r="714" spans="1:8" ht="12" customHeight="1">
      <c r="A714" s="10" t="s">
        <v>1954</v>
      </c>
      <c r="B714" s="112" t="s">
        <v>1955</v>
      </c>
      <c r="C714" s="82">
        <v>2475</v>
      </c>
      <c r="D714" s="43"/>
      <c r="E714" s="29" cm="1">
        <f t="array" ref="E714">_xlfn.IFS(C714=":",":",C714&gt;=N$19,1,C714&gt;=N$20,2,C714&gt;=N$21,3,C714&gt;=N$22,4,C714&gt;=N$23,5,C714&gt;=N$24,6,C714&lt;N$24,7)</f>
        <v>2</v>
      </c>
      <c r="F714" s="30"/>
      <c r="G714" s="5"/>
      <c r="H714" s="5"/>
    </row>
    <row r="715" spans="1:8" ht="12" customHeight="1">
      <c r="A715" s="10" t="s">
        <v>1956</v>
      </c>
      <c r="B715" s="112" t="s">
        <v>1957</v>
      </c>
      <c r="C715" s="82">
        <v>2951</v>
      </c>
      <c r="D715" s="43"/>
      <c r="E715" s="29" cm="1">
        <f t="array" ref="E715">_xlfn.IFS(C715=":",":",C715&gt;=N$19,1,C715&gt;=N$20,2,C715&gt;=N$21,3,C715&gt;=N$22,4,C715&gt;=N$23,5,C715&gt;=N$24,6,C715&lt;N$24,7)</f>
        <v>2</v>
      </c>
      <c r="F715" s="30"/>
      <c r="G715" s="5"/>
      <c r="H715" s="5"/>
    </row>
    <row r="716" spans="1:8" ht="12" customHeight="1">
      <c r="A716" s="10" t="s">
        <v>1958</v>
      </c>
      <c r="B716" s="112" t="s">
        <v>1959</v>
      </c>
      <c r="C716" s="82">
        <v>1386</v>
      </c>
      <c r="D716" s="43"/>
      <c r="E716" s="29" cm="1">
        <f t="array" ref="E716">_xlfn.IFS(C716=":",":",C716&gt;=N$19,1,C716&gt;=N$20,2,C716&gt;=N$21,3,C716&gt;=N$22,4,C716&gt;=N$23,5,C716&gt;=N$24,6,C716&lt;N$24,7)</f>
        <v>3</v>
      </c>
      <c r="F716" s="30"/>
      <c r="G716" s="5"/>
      <c r="H716" s="5"/>
    </row>
    <row r="717" spans="1:8" ht="12" customHeight="1">
      <c r="A717" s="10" t="s">
        <v>1960</v>
      </c>
      <c r="B717" s="112" t="s">
        <v>1961</v>
      </c>
      <c r="C717" s="82">
        <v>1463</v>
      </c>
      <c r="D717" s="43"/>
      <c r="E717" s="29" cm="1">
        <f t="array" ref="E717">_xlfn.IFS(C717=":",":",C717&gt;=N$19,1,C717&gt;=N$20,2,C717&gt;=N$21,3,C717&gt;=N$22,4,C717&gt;=N$23,5,C717&gt;=N$24,6,C717&lt;N$24,7)</f>
        <v>3</v>
      </c>
      <c r="F717" s="30"/>
      <c r="G717" s="5"/>
      <c r="H717" s="5"/>
    </row>
    <row r="718" spans="1:8" ht="12" customHeight="1">
      <c r="A718" s="10" t="s">
        <v>1962</v>
      </c>
      <c r="B718" s="112" t="s">
        <v>1963</v>
      </c>
      <c r="C718" s="82">
        <v>1075</v>
      </c>
      <c r="D718" s="43"/>
      <c r="E718" s="29" cm="1">
        <f t="array" ref="E718">_xlfn.IFS(C718=":",":",C718&gt;=N$19,1,C718&gt;=N$20,2,C718&gt;=N$21,3,C718&gt;=N$22,4,C718&gt;=N$23,5,C718&gt;=N$24,6,C718&lt;N$24,7)</f>
        <v>3</v>
      </c>
      <c r="F718" s="30"/>
      <c r="G718" s="5"/>
      <c r="H718" s="5"/>
    </row>
    <row r="719" spans="1:8" ht="12" customHeight="1">
      <c r="A719" s="10" t="s">
        <v>1964</v>
      </c>
      <c r="B719" s="112" t="s">
        <v>253</v>
      </c>
      <c r="C719" s="82">
        <v>762</v>
      </c>
      <c r="D719" s="43"/>
      <c r="E719" s="29" cm="1">
        <f t="array" ref="E719">_xlfn.IFS(C719=":",":",C719&gt;=N$19,1,C719&gt;=N$20,2,C719&gt;=N$21,3,C719&gt;=N$22,4,C719&gt;=N$23,5,C719&gt;=N$24,6,C719&lt;N$24,7)</f>
        <v>3</v>
      </c>
      <c r="F719" s="30"/>
      <c r="G719" s="5"/>
      <c r="H719" s="5"/>
    </row>
    <row r="720" spans="1:8" ht="12" customHeight="1">
      <c r="A720" s="10" t="s">
        <v>1965</v>
      </c>
      <c r="B720" s="112" t="s">
        <v>255</v>
      </c>
      <c r="C720" s="82">
        <v>1098</v>
      </c>
      <c r="D720" s="43"/>
      <c r="E720" s="29" cm="1">
        <f t="array" ref="E720">_xlfn.IFS(C720=":",":",C720&gt;=N$19,1,C720&gt;=N$20,2,C720&gt;=N$21,3,C720&gt;=N$22,4,C720&gt;=N$23,5,C720&gt;=N$24,6,C720&lt;N$24,7)</f>
        <v>3</v>
      </c>
      <c r="F720" s="30"/>
      <c r="G720" s="5"/>
      <c r="H720" s="5"/>
    </row>
    <row r="721" spans="1:8" ht="12" customHeight="1">
      <c r="A721" s="10" t="s">
        <v>1966</v>
      </c>
      <c r="B721" s="112" t="s">
        <v>257</v>
      </c>
      <c r="C721" s="82">
        <v>5</v>
      </c>
      <c r="D721" s="43"/>
      <c r="E721" s="29" cm="1">
        <f t="array" ref="E721">_xlfn.IFS(C721=":",":",C721&gt;=N$19,1,C721&gt;=N$20,2,C721&gt;=N$21,3,C721&gt;=N$22,4,C721&gt;=N$23,5,C721&gt;=N$24,6,C721&lt;N$24,7)</f>
        <v>6</v>
      </c>
      <c r="F721" s="30"/>
      <c r="G721" s="5"/>
      <c r="H721" s="5"/>
    </row>
    <row r="722" spans="1:8" ht="12" customHeight="1">
      <c r="A722" s="10" t="s">
        <v>1967</v>
      </c>
      <c r="B722" s="112" t="s">
        <v>259</v>
      </c>
      <c r="C722" s="82">
        <v>625</v>
      </c>
      <c r="D722" s="43"/>
      <c r="E722" s="29" cm="1">
        <f t="array" ref="E722">_xlfn.IFS(C722=":",":",C722&gt;=N$19,1,C722&gt;=N$20,2,C722&gt;=N$21,3,C722&gt;=N$22,4,C722&gt;=N$23,5,C722&gt;=N$24,6,C722&lt;N$24,7)</f>
        <v>3</v>
      </c>
      <c r="F722" s="30"/>
      <c r="G722" s="5"/>
      <c r="H722" s="5"/>
    </row>
    <row r="723" spans="1:8" ht="12" customHeight="1">
      <c r="A723" s="10" t="s">
        <v>1968</v>
      </c>
      <c r="B723" s="112" t="s">
        <v>18</v>
      </c>
      <c r="C723" s="82">
        <v>457</v>
      </c>
      <c r="D723" s="43"/>
      <c r="E723" s="29" cm="1">
        <f t="array" ref="E723">_xlfn.IFS(C723=":",":",C723&gt;=N$19,1,C723&gt;=N$20,2,C723&gt;=N$21,3,C723&gt;=N$22,4,C723&gt;=N$23,5,C723&gt;=N$24,6,C723&lt;N$24,7)</f>
        <v>4</v>
      </c>
      <c r="F723" s="30"/>
      <c r="G723" s="5"/>
      <c r="H723" s="5"/>
    </row>
    <row r="724" spans="1:8" ht="12" customHeight="1">
      <c r="A724" s="10" t="s">
        <v>1969</v>
      </c>
      <c r="B724" s="112" t="s">
        <v>2877</v>
      </c>
      <c r="C724" s="82">
        <v>32</v>
      </c>
      <c r="D724" s="43"/>
      <c r="E724" s="29" cm="1">
        <f t="array" ref="E724">_xlfn.IFS(C724=":",":",C724&gt;=N$19,1,C724&gt;=N$20,2,C724&gt;=N$21,3,C724&gt;=N$22,4,C724&gt;=N$23,5,C724&gt;=N$24,6,C724&lt;N$24,7)</f>
        <v>6</v>
      </c>
      <c r="F724" s="30"/>
      <c r="G724" s="5"/>
      <c r="H724" s="5"/>
    </row>
    <row r="725" spans="1:8" ht="12" customHeight="1">
      <c r="A725" s="10" t="s">
        <v>1970</v>
      </c>
      <c r="B725" s="112" t="s">
        <v>2878</v>
      </c>
      <c r="C725" s="82">
        <v>21</v>
      </c>
      <c r="D725" s="43"/>
      <c r="E725" s="29" cm="1">
        <f t="array" ref="E725">_xlfn.IFS(C725=":",":",C725&gt;=N$19,1,C725&gt;=N$20,2,C725&gt;=N$21,3,C725&gt;=N$22,4,C725&gt;=N$23,5,C725&gt;=N$24,6,C725&lt;N$24,7)</f>
        <v>6</v>
      </c>
      <c r="F725" s="30"/>
      <c r="G725" s="5"/>
      <c r="H725" s="5"/>
    </row>
    <row r="726" spans="1:8" ht="12" customHeight="1">
      <c r="A726" s="10" t="s">
        <v>1971</v>
      </c>
      <c r="B726" s="112" t="s">
        <v>2879</v>
      </c>
      <c r="C726" s="82">
        <v>37</v>
      </c>
      <c r="D726" s="43"/>
      <c r="E726" s="29" cm="1">
        <f t="array" ref="E726">_xlfn.IFS(C726=":",":",C726&gt;=N$19,1,C726&gt;=N$20,2,C726&gt;=N$21,3,C726&gt;=N$22,4,C726&gt;=N$23,5,C726&gt;=N$24,6,C726&lt;N$24,7)</f>
        <v>6</v>
      </c>
      <c r="F726" s="30"/>
      <c r="G726" s="5"/>
      <c r="H726" s="5"/>
    </row>
    <row r="727" spans="1:8" ht="12" customHeight="1">
      <c r="A727" s="10" t="s">
        <v>1972</v>
      </c>
      <c r="B727" s="112" t="s">
        <v>2880</v>
      </c>
      <c r="C727" s="82">
        <v>36</v>
      </c>
      <c r="D727" s="43"/>
      <c r="E727" s="29" cm="1">
        <f t="array" ref="E727">_xlfn.IFS(C727=":",":",C727&gt;=N$19,1,C727&gt;=N$20,2,C727&gt;=N$21,3,C727&gt;=N$22,4,C727&gt;=N$23,5,C727&gt;=N$24,6,C727&lt;N$24,7)</f>
        <v>6</v>
      </c>
      <c r="F727" s="30"/>
      <c r="G727" s="5"/>
      <c r="H727" s="5"/>
    </row>
    <row r="728" spans="1:8" ht="12" customHeight="1">
      <c r="A728" s="10" t="s">
        <v>1973</v>
      </c>
      <c r="B728" s="112" t="s">
        <v>2881</v>
      </c>
      <c r="C728" s="82">
        <v>66</v>
      </c>
      <c r="D728" s="43"/>
      <c r="E728" s="29" cm="1">
        <f t="array" ref="E728">_xlfn.IFS(C728=":",":",C728&gt;=N$19,1,C728&gt;=N$20,2,C728&gt;=N$21,3,C728&gt;=N$22,4,C728&gt;=N$23,5,C728&gt;=N$24,6,C728&lt;N$24,7)</f>
        <v>6</v>
      </c>
      <c r="F728" s="30"/>
      <c r="G728" s="5"/>
      <c r="H728" s="5"/>
    </row>
    <row r="729" spans="1:8" ht="12" customHeight="1">
      <c r="A729" s="10" t="s">
        <v>1974</v>
      </c>
      <c r="B729" s="112" t="s">
        <v>2882</v>
      </c>
      <c r="C729" s="82">
        <v>66</v>
      </c>
      <c r="D729" s="43"/>
      <c r="E729" s="29" cm="1">
        <f t="array" ref="E729">_xlfn.IFS(C729=":",":",C729&gt;=N$19,1,C729&gt;=N$20,2,C729&gt;=N$21,3,C729&gt;=N$22,4,C729&gt;=N$23,5,C729&gt;=N$24,6,C729&lt;N$24,7)</f>
        <v>6</v>
      </c>
      <c r="F729" s="30"/>
      <c r="G729" s="5"/>
      <c r="H729" s="5"/>
    </row>
    <row r="730" spans="1:8" ht="12" customHeight="1">
      <c r="A730" s="10" t="s">
        <v>1975</v>
      </c>
      <c r="B730" s="112" t="s">
        <v>2883</v>
      </c>
      <c r="C730" s="82">
        <v>167</v>
      </c>
      <c r="D730" s="43"/>
      <c r="E730" s="29" cm="1">
        <f t="array" ref="E730">_xlfn.IFS(C730=":",":",C730&gt;=N$19,1,C730&gt;=N$20,2,C730&gt;=N$21,3,C730&gt;=N$22,4,C730&gt;=N$23,5,C730&gt;=N$24,6,C730&lt;N$24,7)</f>
        <v>5</v>
      </c>
      <c r="F730" s="30"/>
      <c r="G730" s="5"/>
      <c r="H730" s="5"/>
    </row>
    <row r="731" spans="1:8" ht="12" customHeight="1">
      <c r="A731" s="10" t="s">
        <v>1976</v>
      </c>
      <c r="B731" s="112" t="s">
        <v>2884</v>
      </c>
      <c r="C731" s="82">
        <v>17</v>
      </c>
      <c r="D731" s="43"/>
      <c r="E731" s="29" cm="1">
        <f t="array" ref="E731">_xlfn.IFS(C731=":",":",C731&gt;=N$19,1,C731&gt;=N$20,2,C731&gt;=N$21,3,C731&gt;=N$22,4,C731&gt;=N$23,5,C731&gt;=N$24,6,C731&lt;N$24,7)</f>
        <v>6</v>
      </c>
      <c r="F731" s="30"/>
      <c r="G731" s="5"/>
      <c r="H731" s="5"/>
    </row>
    <row r="732" spans="1:8" ht="12" customHeight="1">
      <c r="A732" s="10" t="s">
        <v>1977</v>
      </c>
      <c r="B732" s="112" t="s">
        <v>2885</v>
      </c>
      <c r="C732" s="82">
        <v>4321</v>
      </c>
      <c r="D732" s="43"/>
      <c r="E732" s="29" cm="1">
        <f t="array" ref="E732">_xlfn.IFS(C732=":",":",C732&gt;=N$19,1,C732&gt;=N$20,2,C732&gt;=N$21,3,C732&gt;=N$22,4,C732&gt;=N$23,5,C732&gt;=N$24,6,C732&lt;N$24,7)</f>
        <v>2</v>
      </c>
      <c r="F732" s="30"/>
      <c r="G732" s="5"/>
      <c r="H732" s="5"/>
    </row>
    <row r="733" spans="1:8" ht="12" customHeight="1">
      <c r="A733" s="10" t="s">
        <v>1978</v>
      </c>
      <c r="B733" s="112" t="s">
        <v>2886</v>
      </c>
      <c r="C733" s="82">
        <v>550</v>
      </c>
      <c r="D733" s="43"/>
      <c r="E733" s="29" cm="1">
        <f t="array" ref="E733">_xlfn.IFS(C733=":",":",C733&gt;=N$19,1,C733&gt;=N$20,2,C733&gt;=N$21,3,C733&gt;=N$22,4,C733&gt;=N$23,5,C733&gt;=N$24,6,C733&lt;N$24,7)</f>
        <v>3</v>
      </c>
      <c r="F733" s="30"/>
      <c r="G733" s="5"/>
      <c r="H733" s="5"/>
    </row>
    <row r="734" spans="1:8" ht="12" customHeight="1">
      <c r="A734" s="10" t="s">
        <v>1979</v>
      </c>
      <c r="B734" s="112" t="s">
        <v>2887</v>
      </c>
      <c r="C734" s="82">
        <v>2907</v>
      </c>
      <c r="D734" s="43"/>
      <c r="E734" s="29" cm="1">
        <f t="array" ref="E734">_xlfn.IFS(C734=":",":",C734&gt;=N$19,1,C734&gt;=N$20,2,C734&gt;=N$21,3,C734&gt;=N$22,4,C734&gt;=N$23,5,C734&gt;=N$24,6,C734&lt;N$24,7)</f>
        <v>2</v>
      </c>
      <c r="F734" s="30"/>
      <c r="G734" s="5"/>
      <c r="H734" s="5"/>
    </row>
    <row r="735" spans="1:8" ht="12" customHeight="1">
      <c r="A735" s="10" t="s">
        <v>1980</v>
      </c>
      <c r="B735" s="112" t="s">
        <v>2888</v>
      </c>
      <c r="C735" s="82">
        <v>1744</v>
      </c>
      <c r="D735" s="43"/>
      <c r="E735" s="29" cm="1">
        <f t="array" ref="E735">_xlfn.IFS(C735=":",":",C735&gt;=N$19,1,C735&gt;=N$20,2,C735&gt;=N$21,3,C735&gt;=N$22,4,C735&gt;=N$23,5,C735&gt;=N$24,6,C735&lt;N$24,7)</f>
        <v>2</v>
      </c>
      <c r="F735" s="30"/>
      <c r="G735" s="5"/>
      <c r="H735" s="5"/>
    </row>
    <row r="736" spans="1:8" ht="12" customHeight="1">
      <c r="A736" s="10" t="s">
        <v>1981</v>
      </c>
      <c r="B736" s="112" t="s">
        <v>1982</v>
      </c>
      <c r="C736" s="82">
        <v>4052</v>
      </c>
      <c r="D736" s="43"/>
      <c r="E736" s="29" cm="1">
        <f t="array" ref="E736">_xlfn.IFS(C736=":",":",C736&gt;=N$19,1,C736&gt;=N$20,2,C736&gt;=N$21,3,C736&gt;=N$22,4,C736&gt;=N$23,5,C736&gt;=N$24,6,C736&lt;N$24,7)</f>
        <v>2</v>
      </c>
      <c r="F736" s="30"/>
      <c r="G736" s="5"/>
      <c r="H736" s="5"/>
    </row>
    <row r="737" spans="1:8" ht="12" customHeight="1">
      <c r="A737" s="10" t="s">
        <v>1983</v>
      </c>
      <c r="B737" s="112" t="s">
        <v>1984</v>
      </c>
      <c r="C737" s="82">
        <v>9951</v>
      </c>
      <c r="D737" s="43"/>
      <c r="E737" s="29" cm="1">
        <f t="array" ref="E737">_xlfn.IFS(C737=":",":",C737&gt;=N$19,1,C737&gt;=N$20,2,C737&gt;=N$21,3,C737&gt;=N$22,4,C737&gt;=N$23,5,C737&gt;=N$24,6,C737&lt;N$24,7)</f>
        <v>1</v>
      </c>
      <c r="F737" s="30"/>
      <c r="G737" s="5"/>
      <c r="H737" s="5"/>
    </row>
    <row r="738" spans="1:8" ht="12" customHeight="1">
      <c r="A738" s="10" t="s">
        <v>1985</v>
      </c>
      <c r="B738" s="112" t="s">
        <v>2889</v>
      </c>
      <c r="C738" s="82">
        <v>4720</v>
      </c>
      <c r="D738" s="43"/>
      <c r="E738" s="29" cm="1">
        <f t="array" ref="E738">_xlfn.IFS(C738=":",":",C738&gt;=N$19,1,C738&gt;=N$20,2,C738&gt;=N$21,3,C738&gt;=N$22,4,C738&gt;=N$23,5,C738&gt;=N$24,6,C738&lt;N$24,7)</f>
        <v>2</v>
      </c>
      <c r="F738" s="30"/>
      <c r="G738" s="5"/>
      <c r="H738" s="5"/>
    </row>
    <row r="739" spans="1:8" ht="12" customHeight="1">
      <c r="A739" s="10" t="s">
        <v>1986</v>
      </c>
      <c r="B739" s="112" t="s">
        <v>525</v>
      </c>
      <c r="C739" s="82">
        <v>4174</v>
      </c>
      <c r="D739" s="43"/>
      <c r="E739" s="29" cm="1">
        <f t="array" ref="E739">_xlfn.IFS(C739=":",":",C739&gt;=N$19,1,C739&gt;=N$20,2,C739&gt;=N$21,3,C739&gt;=N$22,4,C739&gt;=N$23,5,C739&gt;=N$24,6,C739&lt;N$24,7)</f>
        <v>2</v>
      </c>
      <c r="F739" s="30"/>
      <c r="G739" s="5"/>
      <c r="H739" s="5"/>
    </row>
    <row r="740" spans="1:8" ht="12" customHeight="1">
      <c r="A740" s="10" t="s">
        <v>1987</v>
      </c>
      <c r="B740" s="112" t="s">
        <v>2890</v>
      </c>
      <c r="C740" s="82">
        <v>322</v>
      </c>
      <c r="D740" s="43"/>
      <c r="E740" s="29" cm="1">
        <f t="array" ref="E740">_xlfn.IFS(C740=":",":",C740&gt;=N$19,1,C740&gt;=N$20,2,C740&gt;=N$21,3,C740&gt;=N$22,4,C740&gt;=N$23,5,C740&gt;=N$24,6,C740&lt;N$24,7)</f>
        <v>4</v>
      </c>
      <c r="F740" s="30"/>
      <c r="G740" s="5"/>
      <c r="H740" s="5"/>
    </row>
    <row r="741" spans="1:8" ht="12" customHeight="1">
      <c r="A741" s="10" t="s">
        <v>1988</v>
      </c>
      <c r="B741" s="112" t="s">
        <v>2891</v>
      </c>
      <c r="C741" s="82">
        <v>206</v>
      </c>
      <c r="D741" s="43"/>
      <c r="E741" s="29" cm="1">
        <f t="array" ref="E741">_xlfn.IFS(C741=":",":",C741&gt;=N$19,1,C741&gt;=N$20,2,C741&gt;=N$21,3,C741&gt;=N$22,4,C741&gt;=N$23,5,C741&gt;=N$24,6,C741&lt;N$24,7)</f>
        <v>4</v>
      </c>
      <c r="F741" s="30"/>
      <c r="G741" s="5"/>
      <c r="H741" s="5"/>
    </row>
    <row r="742" spans="1:8" ht="12" customHeight="1">
      <c r="A742" s="10" t="s">
        <v>1989</v>
      </c>
      <c r="B742" s="112" t="s">
        <v>2892</v>
      </c>
      <c r="C742" s="82">
        <v>24</v>
      </c>
      <c r="D742" s="43"/>
      <c r="E742" s="29" cm="1">
        <f t="array" ref="E742">_xlfn.IFS(C742=":",":",C742&gt;=N$19,1,C742&gt;=N$20,2,C742&gt;=N$21,3,C742&gt;=N$22,4,C742&gt;=N$23,5,C742&gt;=N$24,6,C742&lt;N$24,7)</f>
        <v>6</v>
      </c>
      <c r="F742" s="30"/>
      <c r="G742" s="5"/>
      <c r="H742" s="5"/>
    </row>
    <row r="743" spans="1:8" ht="12" customHeight="1">
      <c r="A743" s="10" t="s">
        <v>1990</v>
      </c>
      <c r="B743" s="11" t="s">
        <v>2893</v>
      </c>
      <c r="C743" s="82">
        <v>354</v>
      </c>
      <c r="D743" s="43"/>
      <c r="E743" s="29" cm="1">
        <f t="array" ref="E743">_xlfn.IFS(C743=":",":",C743&gt;=N$19,1,C743&gt;=N$20,2,C743&gt;=N$21,3,C743&gt;=N$22,4,C743&gt;=N$23,5,C743&gt;=N$24,6,C743&lt;N$24,7)</f>
        <v>4</v>
      </c>
      <c r="F743" s="30"/>
      <c r="G743" s="5"/>
      <c r="H743" s="5"/>
    </row>
    <row r="744" spans="1:8" ht="12" customHeight="1">
      <c r="A744" s="10" t="s">
        <v>1991</v>
      </c>
      <c r="B744" s="112" t="s">
        <v>2894</v>
      </c>
      <c r="C744" s="82">
        <v>98</v>
      </c>
      <c r="D744" s="43"/>
      <c r="E744" s="29" cm="1">
        <f t="array" ref="E744">_xlfn.IFS(C744=":",":",C744&gt;=N$19,1,C744&gt;=N$20,2,C744&gt;=N$21,3,C744&gt;=N$22,4,C744&gt;=N$23,5,C744&gt;=N$24,6,C744&lt;N$24,7)</f>
        <v>5</v>
      </c>
      <c r="F744" s="30"/>
      <c r="G744" s="5"/>
      <c r="H744" s="5"/>
    </row>
    <row r="745" spans="1:8" ht="12" customHeight="1">
      <c r="A745" s="10" t="s">
        <v>1992</v>
      </c>
      <c r="B745" s="112" t="s">
        <v>1993</v>
      </c>
      <c r="C745" s="82">
        <v>950</v>
      </c>
      <c r="D745" s="43"/>
      <c r="E745" s="29" cm="1">
        <f t="array" ref="E745">_xlfn.IFS(C745=":",":",C745&gt;=N$19,1,C745&gt;=N$20,2,C745&gt;=N$21,3,C745&gt;=N$22,4,C745&gt;=N$23,5,C745&gt;=N$24,6,C745&lt;N$24,7)</f>
        <v>3</v>
      </c>
      <c r="F745" s="30"/>
      <c r="G745" s="5"/>
      <c r="H745" s="5"/>
    </row>
    <row r="746" spans="1:8" ht="12" customHeight="1">
      <c r="A746" s="10" t="s">
        <v>1994</v>
      </c>
      <c r="B746" s="112" t="s">
        <v>1995</v>
      </c>
      <c r="C746" s="82">
        <v>168</v>
      </c>
      <c r="D746" s="43"/>
      <c r="E746" s="29" cm="1">
        <f t="array" ref="E746">_xlfn.IFS(C746=":",":",C746&gt;=N$19,1,C746&gt;=N$20,2,C746&gt;=N$21,3,C746&gt;=N$22,4,C746&gt;=N$23,5,C746&gt;=N$24,6,C746&lt;N$24,7)</f>
        <v>5</v>
      </c>
      <c r="F746" s="30"/>
      <c r="G746" s="5"/>
      <c r="H746" s="5"/>
    </row>
    <row r="747" spans="1:8" ht="12" customHeight="1">
      <c r="A747" s="10" t="s">
        <v>1996</v>
      </c>
      <c r="B747" s="112" t="s">
        <v>1997</v>
      </c>
      <c r="C747" s="82">
        <v>294</v>
      </c>
      <c r="D747" s="43"/>
      <c r="E747" s="29" cm="1">
        <f t="array" ref="E747">_xlfn.IFS(C747=":",":",C747&gt;=N$19,1,C747&gt;=N$20,2,C747&gt;=N$21,3,C747&gt;=N$22,4,C747&gt;=N$23,5,C747&gt;=N$24,6,C747&lt;N$24,7)</f>
        <v>4</v>
      </c>
      <c r="F747" s="30"/>
      <c r="G747" s="5"/>
      <c r="H747" s="5"/>
    </row>
    <row r="748" spans="1:8" ht="12" customHeight="1">
      <c r="A748" s="10" t="s">
        <v>1998</v>
      </c>
      <c r="B748" s="112" t="s">
        <v>1999</v>
      </c>
      <c r="C748" s="82">
        <v>1420</v>
      </c>
      <c r="D748" s="43"/>
      <c r="E748" s="29" cm="1">
        <f t="array" ref="E748">_xlfn.IFS(C748=":",":",C748&gt;=N$19,1,C748&gt;=N$20,2,C748&gt;=N$21,3,C748&gt;=N$22,4,C748&gt;=N$23,5,C748&gt;=N$24,6,C748&lt;N$24,7)</f>
        <v>3</v>
      </c>
      <c r="F748" s="30"/>
      <c r="G748" s="5"/>
      <c r="H748" s="5"/>
    </row>
    <row r="749" spans="1:8" ht="12" customHeight="1">
      <c r="A749" s="10" t="s">
        <v>2000</v>
      </c>
      <c r="B749" s="112" t="s">
        <v>2001</v>
      </c>
      <c r="C749" s="82">
        <v>1033</v>
      </c>
      <c r="D749" s="43"/>
      <c r="E749" s="29" cm="1">
        <f t="array" ref="E749">_xlfn.IFS(C749=":",":",C749&gt;=N$19,1,C749&gt;=N$20,2,C749&gt;=N$21,3,C749&gt;=N$22,4,C749&gt;=N$23,5,C749&gt;=N$24,6,C749&lt;N$24,7)</f>
        <v>3</v>
      </c>
      <c r="F749" s="30"/>
      <c r="G749" s="5"/>
      <c r="H749" s="5"/>
    </row>
    <row r="750" spans="1:8" ht="12" customHeight="1">
      <c r="A750" s="10" t="s">
        <v>2002</v>
      </c>
      <c r="B750" s="112" t="s">
        <v>2003</v>
      </c>
      <c r="C750" s="82">
        <v>266</v>
      </c>
      <c r="D750" s="43"/>
      <c r="E750" s="29" cm="1">
        <f t="array" ref="E750">_xlfn.IFS(C750=":",":",C750&gt;=N$19,1,C750&gt;=N$20,2,C750&gt;=N$21,3,C750&gt;=N$22,4,C750&gt;=N$23,5,C750&gt;=N$24,6,C750&lt;N$24,7)</f>
        <v>4</v>
      </c>
      <c r="F750" s="30"/>
      <c r="G750" s="5"/>
      <c r="H750" s="5"/>
    </row>
    <row r="751" spans="1:8" ht="12" customHeight="1">
      <c r="A751" s="10" t="s">
        <v>2004</v>
      </c>
      <c r="B751" s="112" t="s">
        <v>2005</v>
      </c>
      <c r="C751" s="82">
        <v>262</v>
      </c>
      <c r="D751" s="43"/>
      <c r="E751" s="29" cm="1">
        <f t="array" ref="E751">_xlfn.IFS(C751=":",":",C751&gt;=N$19,1,C751&gt;=N$20,2,C751&gt;=N$21,3,C751&gt;=N$22,4,C751&gt;=N$23,5,C751&gt;=N$24,6,C751&lt;N$24,7)</f>
        <v>4</v>
      </c>
      <c r="F751" s="30"/>
      <c r="G751" s="5"/>
      <c r="H751" s="5"/>
    </row>
    <row r="752" spans="1:8" ht="12" customHeight="1">
      <c r="A752" s="10" t="s">
        <v>2006</v>
      </c>
      <c r="B752" s="112" t="s">
        <v>2007</v>
      </c>
      <c r="C752" s="82">
        <v>195</v>
      </c>
      <c r="D752" s="43"/>
      <c r="E752" s="29" cm="1">
        <f t="array" ref="E752">_xlfn.IFS(C752=":",":",C752&gt;=N$19,1,C752&gt;=N$20,2,C752&gt;=N$21,3,C752&gt;=N$22,4,C752&gt;=N$23,5,C752&gt;=N$24,6,C752&lt;N$24,7)</f>
        <v>5</v>
      </c>
      <c r="F752" s="30"/>
      <c r="G752" s="5"/>
      <c r="H752" s="5"/>
    </row>
    <row r="753" spans="1:8" ht="12" customHeight="1">
      <c r="A753" s="10" t="s">
        <v>2008</v>
      </c>
      <c r="B753" s="112" t="s">
        <v>528</v>
      </c>
      <c r="C753" s="82">
        <v>1139</v>
      </c>
      <c r="D753" s="43"/>
      <c r="E753" s="29" cm="1">
        <f t="array" ref="E753">_xlfn.IFS(C753=":",":",C753&gt;=N$19,1,C753&gt;=N$20,2,C753&gt;=N$21,3,C753&gt;=N$22,4,C753&gt;=N$23,5,C753&gt;=N$24,6,C753&lt;N$24,7)</f>
        <v>3</v>
      </c>
      <c r="F753" s="30"/>
      <c r="G753" s="5"/>
      <c r="H753" s="5"/>
    </row>
    <row r="754" spans="1:8" ht="12" customHeight="1">
      <c r="A754" s="10" t="s">
        <v>2009</v>
      </c>
      <c r="B754" s="112" t="s">
        <v>2010</v>
      </c>
      <c r="C754" s="82">
        <v>2934</v>
      </c>
      <c r="D754" s="43"/>
      <c r="E754" s="29" cm="1">
        <f t="array" ref="E754">_xlfn.IFS(C754=":",":",C754&gt;=N$19,1,C754&gt;=N$20,2,C754&gt;=N$21,3,C754&gt;=N$22,4,C754&gt;=N$23,5,C754&gt;=N$24,6,C754&lt;N$24,7)</f>
        <v>2</v>
      </c>
      <c r="F754" s="30"/>
      <c r="G754" s="5"/>
      <c r="H754" s="5"/>
    </row>
    <row r="755" spans="1:8" ht="12" customHeight="1">
      <c r="A755" s="10" t="s">
        <v>2011</v>
      </c>
      <c r="B755" s="112" t="s">
        <v>2012</v>
      </c>
      <c r="C755" s="82">
        <v>3360</v>
      </c>
      <c r="D755" s="43"/>
      <c r="E755" s="29" cm="1">
        <f t="array" ref="E755">_xlfn.IFS(C755=":",":",C755&gt;=N$19,1,C755&gt;=N$20,2,C755&gt;=N$21,3,C755&gt;=N$22,4,C755&gt;=N$23,5,C755&gt;=N$24,6,C755&lt;N$24,7)</f>
        <v>2</v>
      </c>
      <c r="F755" s="30"/>
      <c r="G755" s="5"/>
      <c r="H755" s="5"/>
    </row>
    <row r="756" spans="1:8" ht="12" customHeight="1">
      <c r="A756" s="10" t="s">
        <v>2013</v>
      </c>
      <c r="B756" s="112" t="s">
        <v>2014</v>
      </c>
      <c r="C756" s="82">
        <v>2511</v>
      </c>
      <c r="D756" s="43"/>
      <c r="E756" s="29" cm="1">
        <f t="array" ref="E756">_xlfn.IFS(C756=":",":",C756&gt;=N$19,1,C756&gt;=N$20,2,C756&gt;=N$21,3,C756&gt;=N$22,4,C756&gt;=N$23,5,C756&gt;=N$24,6,C756&lt;N$24,7)</f>
        <v>2</v>
      </c>
      <c r="F756" s="30"/>
      <c r="G756" s="5"/>
      <c r="H756" s="5"/>
    </row>
    <row r="757" spans="1:8" ht="12" customHeight="1">
      <c r="A757" s="10" t="s">
        <v>2015</v>
      </c>
      <c r="B757" s="112" t="s">
        <v>2016</v>
      </c>
      <c r="C757" s="82">
        <v>3366</v>
      </c>
      <c r="D757" s="43"/>
      <c r="E757" s="29" cm="1">
        <f t="array" ref="E757">_xlfn.IFS(C757=":",":",C757&gt;=N$19,1,C757&gt;=N$20,2,C757&gt;=N$21,3,C757&gt;=N$22,4,C757&gt;=N$23,5,C757&gt;=N$24,6,C757&lt;N$24,7)</f>
        <v>2</v>
      </c>
      <c r="F757" s="30"/>
      <c r="G757" s="5"/>
      <c r="H757" s="5"/>
    </row>
    <row r="758" spans="1:8" ht="12" customHeight="1">
      <c r="A758" s="10" t="s">
        <v>2017</v>
      </c>
      <c r="B758" s="112" t="s">
        <v>2018</v>
      </c>
      <c r="C758" s="82">
        <v>2345</v>
      </c>
      <c r="D758" s="43"/>
      <c r="E758" s="29" cm="1">
        <f t="array" ref="E758">_xlfn.IFS(C758=":",":",C758&gt;=N$19,1,C758&gt;=N$20,2,C758&gt;=N$21,3,C758&gt;=N$22,4,C758&gt;=N$23,5,C758&gt;=N$24,6,C758&lt;N$24,7)</f>
        <v>2</v>
      </c>
      <c r="F758" s="30"/>
      <c r="G758" s="5"/>
      <c r="H758" s="5"/>
    </row>
    <row r="759" spans="1:8" ht="12" customHeight="1">
      <c r="A759" s="10" t="s">
        <v>2019</v>
      </c>
      <c r="B759" s="112" t="s">
        <v>2020</v>
      </c>
      <c r="C759" s="82">
        <v>3017</v>
      </c>
      <c r="D759" s="43"/>
      <c r="E759" s="29" cm="1">
        <f t="array" ref="E759">_xlfn.IFS(C759=":",":",C759&gt;=N$19,1,C759&gt;=N$20,2,C759&gt;=N$21,3,C759&gt;=N$22,4,C759&gt;=N$23,5,C759&gt;=N$24,6,C759&lt;N$24,7)</f>
        <v>2</v>
      </c>
      <c r="F759" s="30"/>
      <c r="G759" s="5"/>
      <c r="H759" s="5"/>
    </row>
    <row r="760" spans="1:8" ht="12" customHeight="1">
      <c r="A760" s="10" t="s">
        <v>2021</v>
      </c>
      <c r="B760" s="112" t="s">
        <v>2022</v>
      </c>
      <c r="C760" s="82">
        <v>1161</v>
      </c>
      <c r="D760" s="43"/>
      <c r="E760" s="29" cm="1">
        <f t="array" ref="E760">_xlfn.IFS(C760=":",":",C760&gt;=N$19,1,C760&gt;=N$20,2,C760&gt;=N$21,3,C760&gt;=N$22,4,C760&gt;=N$23,5,C760&gt;=N$24,6,C760&lt;N$24,7)</f>
        <v>3</v>
      </c>
      <c r="F760" s="30"/>
      <c r="G760" s="5"/>
      <c r="H760" s="5"/>
    </row>
    <row r="761" spans="1:8" ht="12" customHeight="1">
      <c r="A761" s="10" t="s">
        <v>2023</v>
      </c>
      <c r="B761" s="112" t="s">
        <v>2024</v>
      </c>
      <c r="C761" s="82">
        <v>1150</v>
      </c>
      <c r="D761" s="43"/>
      <c r="E761" s="29" cm="1">
        <f t="array" ref="E761">_xlfn.IFS(C761=":",":",C761&gt;=N$19,1,C761&gt;=N$20,2,C761&gt;=N$21,3,C761&gt;=N$22,4,C761&gt;=N$23,5,C761&gt;=N$24,6,C761&lt;N$24,7)</f>
        <v>3</v>
      </c>
      <c r="F761" s="30"/>
      <c r="G761" s="5"/>
      <c r="H761" s="5"/>
    </row>
    <row r="762" spans="1:8" ht="12" customHeight="1">
      <c r="A762" s="10" t="s">
        <v>2025</v>
      </c>
      <c r="B762" s="112" t="s">
        <v>2026</v>
      </c>
      <c r="C762" s="82">
        <v>973</v>
      </c>
      <c r="D762" s="43"/>
      <c r="E762" s="29" cm="1">
        <f t="array" ref="E762">_xlfn.IFS(C762=":",":",C762&gt;=N$19,1,C762&gt;=N$20,2,C762&gt;=N$21,3,C762&gt;=N$22,4,C762&gt;=N$23,5,C762&gt;=N$24,6,C762&lt;N$24,7)</f>
        <v>3</v>
      </c>
      <c r="F762" s="30"/>
      <c r="G762" s="5"/>
      <c r="H762" s="5"/>
    </row>
    <row r="763" spans="1:8" ht="12" customHeight="1">
      <c r="A763" s="10" t="s">
        <v>2027</v>
      </c>
      <c r="B763" s="112" t="s">
        <v>2028</v>
      </c>
      <c r="C763" s="82">
        <v>2442</v>
      </c>
      <c r="D763" s="43"/>
      <c r="E763" s="29" cm="1">
        <f t="array" ref="E763">_xlfn.IFS(C763=":",":",C763&gt;=N$19,1,C763&gt;=N$20,2,C763&gt;=N$21,3,C763&gt;=N$22,4,C763&gt;=N$23,5,C763&gt;=N$24,6,C763&lt;N$24,7)</f>
        <v>2</v>
      </c>
      <c r="F763" s="30"/>
      <c r="G763" s="5"/>
      <c r="H763" s="5"/>
    </row>
    <row r="764" spans="1:8" ht="12" customHeight="1">
      <c r="A764" s="10" t="s">
        <v>2029</v>
      </c>
      <c r="B764" s="112" t="s">
        <v>2030</v>
      </c>
      <c r="C764" s="82">
        <v>176</v>
      </c>
      <c r="D764" s="43"/>
      <c r="E764" s="29" cm="1">
        <f t="array" ref="E764">_xlfn.IFS(C764=":",":",C764&gt;=N$19,1,C764&gt;=N$20,2,C764&gt;=N$21,3,C764&gt;=N$22,4,C764&gt;=N$23,5,C764&gt;=N$24,6,C764&lt;N$24,7)</f>
        <v>5</v>
      </c>
      <c r="F764" s="30"/>
      <c r="G764" s="5"/>
      <c r="H764" s="5"/>
    </row>
    <row r="765" spans="1:8" ht="12" customHeight="1">
      <c r="A765" s="10" t="s">
        <v>2031</v>
      </c>
      <c r="B765" s="112" t="s">
        <v>2032</v>
      </c>
      <c r="C765" s="82">
        <v>240</v>
      </c>
      <c r="D765" s="43"/>
      <c r="E765" s="29" cm="1">
        <f t="array" ref="E765">_xlfn.IFS(C765=":",":",C765&gt;=N$19,1,C765&gt;=N$20,2,C765&gt;=N$21,3,C765&gt;=N$22,4,C765&gt;=N$23,5,C765&gt;=N$24,6,C765&lt;N$24,7)</f>
        <v>4</v>
      </c>
      <c r="F765" s="30"/>
      <c r="G765" s="5"/>
      <c r="H765" s="5"/>
    </row>
    <row r="766" spans="1:8" ht="12" customHeight="1">
      <c r="A766" s="10" t="s">
        <v>2033</v>
      </c>
      <c r="B766" s="112" t="s">
        <v>2034</v>
      </c>
      <c r="C766" s="82">
        <v>240</v>
      </c>
      <c r="D766" s="43"/>
      <c r="E766" s="29" cm="1">
        <f t="array" ref="E766">_xlfn.IFS(C766=":",":",C766&gt;=N$19,1,C766&gt;=N$20,2,C766&gt;=N$21,3,C766&gt;=N$22,4,C766&gt;=N$23,5,C766&gt;=N$24,6,C766&lt;N$24,7)</f>
        <v>4</v>
      </c>
      <c r="F766" s="30"/>
      <c r="G766" s="5"/>
      <c r="H766" s="5"/>
    </row>
    <row r="767" spans="1:8" ht="12" customHeight="1">
      <c r="A767" s="10" t="s">
        <v>2035</v>
      </c>
      <c r="B767" s="112" t="s">
        <v>2036</v>
      </c>
      <c r="C767" s="82">
        <v>312</v>
      </c>
      <c r="D767" s="43"/>
      <c r="E767" s="29" cm="1">
        <f t="array" ref="E767">_xlfn.IFS(C767=":",":",C767&gt;=N$19,1,C767&gt;=N$20,2,C767&gt;=N$21,3,C767&gt;=N$22,4,C767&gt;=N$23,5,C767&gt;=N$24,6,C767&lt;N$24,7)</f>
        <v>4</v>
      </c>
      <c r="F767" s="30"/>
      <c r="G767" s="5"/>
      <c r="H767" s="5"/>
    </row>
    <row r="768" spans="1:8" ht="12" customHeight="1">
      <c r="A768" s="10" t="s">
        <v>2037</v>
      </c>
      <c r="B768" s="112" t="s">
        <v>2038</v>
      </c>
      <c r="C768" s="82">
        <v>11546</v>
      </c>
      <c r="D768" s="43"/>
      <c r="E768" s="29" cm="1">
        <f t="array" ref="E768">_xlfn.IFS(C768=":",":",C768&gt;=N$19,1,C768&gt;=N$20,2,C768&gt;=N$21,3,C768&gt;=N$22,4,C768&gt;=N$23,5,C768&gt;=N$24,6,C768&lt;N$24,7)</f>
        <v>1</v>
      </c>
      <c r="F768" s="30"/>
      <c r="G768" s="5"/>
      <c r="H768" s="5"/>
    </row>
    <row r="769" spans="1:8" ht="12" customHeight="1">
      <c r="A769" s="10" t="s">
        <v>2039</v>
      </c>
      <c r="B769" s="112" t="s">
        <v>2040</v>
      </c>
      <c r="C769" s="82">
        <v>2580</v>
      </c>
      <c r="D769" s="43"/>
      <c r="E769" s="29" cm="1">
        <f t="array" ref="E769">_xlfn.IFS(C769=":",":",C769&gt;=N$19,1,C769&gt;=N$20,2,C769&gt;=N$21,3,C769&gt;=N$22,4,C769&gt;=N$23,5,C769&gt;=N$24,6,C769&lt;N$24,7)</f>
        <v>2</v>
      </c>
      <c r="F769" s="30"/>
      <c r="G769" s="5"/>
      <c r="H769" s="5"/>
    </row>
    <row r="770" spans="1:8" ht="12" customHeight="1">
      <c r="A770" s="10" t="s">
        <v>2041</v>
      </c>
      <c r="B770" s="112" t="s">
        <v>2895</v>
      </c>
      <c r="C770" s="82">
        <v>262</v>
      </c>
      <c r="D770" s="43"/>
      <c r="E770" s="29" cm="1">
        <f t="array" ref="E770">_xlfn.IFS(C770=":",":",C770&gt;=N$19,1,C770&gt;=N$20,2,C770&gt;=N$21,3,C770&gt;=N$22,4,C770&gt;=N$23,5,C770&gt;=N$24,6,C770&lt;N$24,7)</f>
        <v>4</v>
      </c>
      <c r="F770" s="30"/>
      <c r="G770" s="5"/>
      <c r="H770" s="5"/>
    </row>
    <row r="771" spans="1:8" ht="12" customHeight="1">
      <c r="A771" s="10" t="s">
        <v>2042</v>
      </c>
      <c r="B771" s="112" t="s">
        <v>2043</v>
      </c>
      <c r="C771" s="82">
        <v>1678</v>
      </c>
      <c r="D771" s="43"/>
      <c r="E771" s="29" cm="1">
        <f t="array" ref="E771">_xlfn.IFS(C771=":",":",C771&gt;=N$19,1,C771&gt;=N$20,2,C771&gt;=N$21,3,C771&gt;=N$22,4,C771&gt;=N$23,5,C771&gt;=N$24,6,C771&lt;N$24,7)</f>
        <v>2</v>
      </c>
      <c r="F771" s="30"/>
      <c r="G771" s="5"/>
      <c r="H771" s="5"/>
    </row>
    <row r="772" spans="1:8" ht="12" customHeight="1">
      <c r="A772" s="10" t="s">
        <v>2044</v>
      </c>
      <c r="B772" s="112" t="s">
        <v>2045</v>
      </c>
      <c r="C772" s="82">
        <v>1095</v>
      </c>
      <c r="D772" s="43"/>
      <c r="E772" s="29" cm="1">
        <f t="array" ref="E772">_xlfn.IFS(C772=":",":",C772&gt;=N$19,1,C772&gt;=N$20,2,C772&gt;=N$21,3,C772&gt;=N$22,4,C772&gt;=N$23,5,C772&gt;=N$24,6,C772&lt;N$24,7)</f>
        <v>3</v>
      </c>
      <c r="F772" s="30"/>
      <c r="G772" s="5"/>
      <c r="H772" s="5"/>
    </row>
    <row r="773" spans="1:8" ht="12" customHeight="1">
      <c r="A773" s="10" t="s">
        <v>2046</v>
      </c>
      <c r="B773" s="112" t="s">
        <v>2047</v>
      </c>
      <c r="C773" s="82">
        <v>477</v>
      </c>
      <c r="D773" s="43"/>
      <c r="E773" s="29" cm="1">
        <f t="array" ref="E773">_xlfn.IFS(C773=":",":",C773&gt;=N$19,1,C773&gt;=N$20,2,C773&gt;=N$21,3,C773&gt;=N$22,4,C773&gt;=N$23,5,C773&gt;=N$24,6,C773&lt;N$24,7)</f>
        <v>4</v>
      </c>
      <c r="F773" s="30"/>
      <c r="G773" s="5"/>
      <c r="H773" s="5"/>
    </row>
    <row r="774" spans="1:8" ht="12" customHeight="1">
      <c r="A774" s="10" t="s">
        <v>2048</v>
      </c>
      <c r="B774" s="112" t="s">
        <v>2049</v>
      </c>
      <c r="C774" s="82">
        <v>51</v>
      </c>
      <c r="D774" s="43"/>
      <c r="E774" s="29" cm="1">
        <f t="array" ref="E774">_xlfn.IFS(C774=":",":",C774&gt;=N$19,1,C774&gt;=N$20,2,C774&gt;=N$21,3,C774&gt;=N$22,4,C774&gt;=N$23,5,C774&gt;=N$24,6,C774&lt;N$24,7)</f>
        <v>6</v>
      </c>
      <c r="F774" s="30"/>
      <c r="G774" s="5"/>
      <c r="H774" s="5"/>
    </row>
    <row r="775" spans="1:8" ht="12" customHeight="1">
      <c r="A775" s="10" t="s">
        <v>2050</v>
      </c>
      <c r="B775" s="112" t="s">
        <v>2051</v>
      </c>
      <c r="C775" s="82">
        <v>130</v>
      </c>
      <c r="D775" s="43"/>
      <c r="E775" s="29" cm="1">
        <f t="array" ref="E775">_xlfn.IFS(C775=":",":",C775&gt;=N$19,1,C775&gt;=N$20,2,C775&gt;=N$21,3,C775&gt;=N$22,4,C775&gt;=N$23,5,C775&gt;=N$24,6,C775&lt;N$24,7)</f>
        <v>5</v>
      </c>
      <c r="F775" s="30"/>
      <c r="G775" s="5"/>
      <c r="H775" s="5"/>
    </row>
    <row r="776" spans="1:8" ht="12" customHeight="1">
      <c r="A776" s="10" t="s">
        <v>2052</v>
      </c>
      <c r="B776" s="112" t="s">
        <v>2053</v>
      </c>
      <c r="C776" s="82">
        <v>520</v>
      </c>
      <c r="D776" s="43"/>
      <c r="E776" s="29" cm="1">
        <f t="array" ref="E776">_xlfn.IFS(C776=":",":",C776&gt;=N$19,1,C776&gt;=N$20,2,C776&gt;=N$21,3,C776&gt;=N$22,4,C776&gt;=N$23,5,C776&gt;=N$24,6,C776&lt;N$24,7)</f>
        <v>3</v>
      </c>
      <c r="F776" s="30"/>
      <c r="G776" s="5"/>
      <c r="H776" s="5"/>
    </row>
    <row r="777" spans="1:8" ht="12" customHeight="1">
      <c r="A777" s="10" t="s">
        <v>2054</v>
      </c>
      <c r="B777" s="112" t="s">
        <v>2055</v>
      </c>
      <c r="C777" s="82">
        <v>63</v>
      </c>
      <c r="D777" s="43"/>
      <c r="E777" s="29" cm="1">
        <f t="array" ref="E777">_xlfn.IFS(C777=":",":",C777&gt;=N$19,1,C777&gt;=N$20,2,C777&gt;=N$21,3,C777&gt;=N$22,4,C777&gt;=N$23,5,C777&gt;=N$24,6,C777&lt;N$24,7)</f>
        <v>6</v>
      </c>
      <c r="F777" s="30"/>
      <c r="G777" s="5"/>
      <c r="H777" s="5"/>
    </row>
    <row r="778" spans="1:8" ht="12" customHeight="1">
      <c r="A778" s="10" t="s">
        <v>2056</v>
      </c>
      <c r="B778" s="112" t="s">
        <v>2057</v>
      </c>
      <c r="C778" s="82">
        <v>12255</v>
      </c>
      <c r="D778" s="43"/>
      <c r="E778" s="29" cm="1">
        <f t="array" ref="E778">_xlfn.IFS(C778=":",":",C778&gt;=N$19,1,C778&gt;=N$20,2,C778&gt;=N$21,3,C778&gt;=N$22,4,C778&gt;=N$23,5,C778&gt;=N$24,6,C778&lt;N$24,7)</f>
        <v>1</v>
      </c>
      <c r="F778" s="30"/>
      <c r="G778" s="5"/>
      <c r="H778" s="5"/>
    </row>
    <row r="779" spans="1:8" ht="12" customHeight="1">
      <c r="A779" s="10" t="s">
        <v>2058</v>
      </c>
      <c r="B779" s="112" t="s">
        <v>2059</v>
      </c>
      <c r="C779" s="82">
        <v>109</v>
      </c>
      <c r="D779" s="43"/>
      <c r="E779" s="29" cm="1">
        <f t="array" ref="E779">_xlfn.IFS(C779=":",":",C779&gt;=N$19,1,C779&gt;=N$20,2,C779&gt;=N$21,3,C779&gt;=N$22,4,C779&gt;=N$23,5,C779&gt;=N$24,6,C779&lt;N$24,7)</f>
        <v>5</v>
      </c>
      <c r="F779" s="30"/>
      <c r="G779" s="5"/>
      <c r="H779" s="5"/>
    </row>
    <row r="780" spans="1:8" ht="12" customHeight="1">
      <c r="A780" s="10" t="s">
        <v>2060</v>
      </c>
      <c r="B780" s="112" t="s">
        <v>2061</v>
      </c>
      <c r="C780" s="82">
        <v>1046</v>
      </c>
      <c r="D780" s="43"/>
      <c r="E780" s="29" cm="1">
        <f t="array" ref="E780">_xlfn.IFS(C780=":",":",C780&gt;=N$19,1,C780&gt;=N$20,2,C780&gt;=N$21,3,C780&gt;=N$22,4,C780&gt;=N$23,5,C780&gt;=N$24,6,C780&lt;N$24,7)</f>
        <v>3</v>
      </c>
      <c r="F780" s="30"/>
      <c r="G780" s="5"/>
      <c r="H780" s="5"/>
    </row>
    <row r="781" spans="1:8" ht="12" customHeight="1">
      <c r="A781" s="10" t="s">
        <v>2062</v>
      </c>
      <c r="B781" s="112" t="s">
        <v>2063</v>
      </c>
      <c r="C781" s="82">
        <v>512</v>
      </c>
      <c r="D781" s="43"/>
      <c r="E781" s="29" cm="1">
        <f t="array" ref="E781">_xlfn.IFS(C781=":",":",C781&gt;=N$19,1,C781&gt;=N$20,2,C781&gt;=N$21,3,C781&gt;=N$22,4,C781&gt;=N$23,5,C781&gt;=N$24,6,C781&lt;N$24,7)</f>
        <v>3</v>
      </c>
      <c r="F781" s="30"/>
      <c r="G781" s="5"/>
      <c r="H781" s="5"/>
    </row>
    <row r="782" spans="1:8" ht="12" customHeight="1">
      <c r="A782" s="10" t="s">
        <v>2064</v>
      </c>
      <c r="B782" s="112" t="s">
        <v>2065</v>
      </c>
      <c r="C782" s="82">
        <v>1286</v>
      </c>
      <c r="D782" s="43"/>
      <c r="E782" s="29" cm="1">
        <f t="array" ref="E782">_xlfn.IFS(C782=":",":",C782&gt;=N$19,1,C782&gt;=N$20,2,C782&gt;=N$21,3,C782&gt;=N$22,4,C782&gt;=N$23,5,C782&gt;=N$24,6,C782&lt;N$24,7)</f>
        <v>3</v>
      </c>
      <c r="F782" s="30"/>
      <c r="G782" s="5"/>
      <c r="H782" s="5"/>
    </row>
    <row r="783" spans="1:8" ht="12" customHeight="1">
      <c r="A783" s="10" t="s">
        <v>2066</v>
      </c>
      <c r="B783" s="112" t="s">
        <v>2067</v>
      </c>
      <c r="C783" s="82">
        <v>2083</v>
      </c>
      <c r="D783" s="43"/>
      <c r="E783" s="29" cm="1">
        <f t="array" ref="E783">_xlfn.IFS(C783=":",":",C783&gt;=N$19,1,C783&gt;=N$20,2,C783&gt;=N$21,3,C783&gt;=N$22,4,C783&gt;=N$23,5,C783&gt;=N$24,6,C783&lt;N$24,7)</f>
        <v>2</v>
      </c>
      <c r="F783" s="30"/>
      <c r="G783" s="5"/>
      <c r="H783" s="5"/>
    </row>
    <row r="784" spans="1:8" ht="12" customHeight="1">
      <c r="A784" s="10" t="s">
        <v>2068</v>
      </c>
      <c r="B784" s="112" t="s">
        <v>2069</v>
      </c>
      <c r="C784" s="82">
        <v>642</v>
      </c>
      <c r="D784" s="43"/>
      <c r="E784" s="29" cm="1">
        <f t="array" ref="E784">_xlfn.IFS(C784=":",":",C784&gt;=N$19,1,C784&gt;=N$20,2,C784&gt;=N$21,3,C784&gt;=N$22,4,C784&gt;=N$23,5,C784&gt;=N$24,6,C784&lt;N$24,7)</f>
        <v>3</v>
      </c>
      <c r="F784" s="30"/>
      <c r="G784" s="5"/>
      <c r="H784" s="5"/>
    </row>
    <row r="785" spans="1:8" ht="12" customHeight="1">
      <c r="A785" s="10" t="s">
        <v>2070</v>
      </c>
      <c r="B785" s="112" t="s">
        <v>2071</v>
      </c>
      <c r="C785" s="82">
        <v>935</v>
      </c>
      <c r="D785" s="43"/>
      <c r="E785" s="29" cm="1">
        <f t="array" ref="E785">_xlfn.IFS(C785=":",":",C785&gt;=N$19,1,C785&gt;=N$20,2,C785&gt;=N$21,3,C785&gt;=N$22,4,C785&gt;=N$23,5,C785&gt;=N$24,6,C785&lt;N$24,7)</f>
        <v>3</v>
      </c>
      <c r="F785" s="30"/>
      <c r="G785" s="5"/>
      <c r="H785" s="5"/>
    </row>
    <row r="786" spans="1:8" ht="12" customHeight="1">
      <c r="A786" s="10" t="s">
        <v>2072</v>
      </c>
      <c r="B786" s="112" t="s">
        <v>2073</v>
      </c>
      <c r="C786" s="82">
        <v>293</v>
      </c>
      <c r="D786" s="43"/>
      <c r="E786" s="29" cm="1">
        <f t="array" ref="E786">_xlfn.IFS(C786=":",":",C786&gt;=N$19,1,C786&gt;=N$20,2,C786&gt;=N$21,3,C786&gt;=N$22,4,C786&gt;=N$23,5,C786&gt;=N$24,6,C786&lt;N$24,7)</f>
        <v>4</v>
      </c>
      <c r="F786" s="30"/>
      <c r="G786" s="5"/>
      <c r="H786" s="5"/>
    </row>
    <row r="787" spans="1:8" ht="12" customHeight="1">
      <c r="A787" s="10" t="s">
        <v>2074</v>
      </c>
      <c r="B787" s="112" t="s">
        <v>2075</v>
      </c>
      <c r="C787" s="82">
        <v>99</v>
      </c>
      <c r="D787" s="43"/>
      <c r="E787" s="29" cm="1">
        <f t="array" ref="E787">_xlfn.IFS(C787=":",":",C787&gt;=N$19,1,C787&gt;=N$20,2,C787&gt;=N$21,3,C787&gt;=N$22,4,C787&gt;=N$23,5,C787&gt;=N$24,6,C787&lt;N$24,7)</f>
        <v>5</v>
      </c>
      <c r="F787" s="30"/>
      <c r="G787" s="5"/>
      <c r="H787" s="5"/>
    </row>
    <row r="788" spans="1:8" ht="12" customHeight="1">
      <c r="A788" s="10" t="s">
        <v>2076</v>
      </c>
      <c r="B788" s="112" t="s">
        <v>2077</v>
      </c>
      <c r="C788" s="82">
        <v>538</v>
      </c>
      <c r="D788" s="43"/>
      <c r="E788" s="29" cm="1">
        <f t="array" ref="E788">_xlfn.IFS(C788=":",":",C788&gt;=N$19,1,C788&gt;=N$20,2,C788&gt;=N$21,3,C788&gt;=N$22,4,C788&gt;=N$23,5,C788&gt;=N$24,6,C788&lt;N$24,7)</f>
        <v>3</v>
      </c>
      <c r="F788" s="30"/>
      <c r="G788" s="5"/>
      <c r="H788" s="5"/>
    </row>
    <row r="789" spans="1:8" ht="12" customHeight="1">
      <c r="A789" s="10" t="s">
        <v>2078</v>
      </c>
      <c r="B789" s="112" t="s">
        <v>2079</v>
      </c>
      <c r="C789" s="82">
        <v>498</v>
      </c>
      <c r="D789" s="43"/>
      <c r="E789" s="29" cm="1">
        <f t="array" ref="E789">_xlfn.IFS(C789=":",":",C789&gt;=N$19,1,C789&gt;=N$20,2,C789&gt;=N$21,3,C789&gt;=N$22,4,C789&gt;=N$23,5,C789&gt;=N$24,6,C789&lt;N$24,7)</f>
        <v>4</v>
      </c>
      <c r="F789" s="30"/>
      <c r="G789" s="5"/>
      <c r="H789" s="5"/>
    </row>
    <row r="790" spans="1:8" ht="12" customHeight="1">
      <c r="A790" s="10" t="s">
        <v>2080</v>
      </c>
      <c r="B790" s="112" t="s">
        <v>2081</v>
      </c>
      <c r="C790" s="82">
        <v>387</v>
      </c>
      <c r="D790" s="43"/>
      <c r="E790" s="29" cm="1">
        <f t="array" ref="E790">_xlfn.IFS(C790=":",":",C790&gt;=N$19,1,C790&gt;=N$20,2,C790&gt;=N$21,3,C790&gt;=N$22,4,C790&gt;=N$23,5,C790&gt;=N$24,6,C790&lt;N$24,7)</f>
        <v>4</v>
      </c>
      <c r="F790" s="30"/>
      <c r="G790" s="5"/>
      <c r="H790" s="5"/>
    </row>
    <row r="791" spans="1:8" ht="12" customHeight="1">
      <c r="A791" s="10" t="s">
        <v>2082</v>
      </c>
      <c r="B791" s="112" t="s">
        <v>2083</v>
      </c>
      <c r="C791" s="82">
        <v>493</v>
      </c>
      <c r="D791" s="43"/>
      <c r="E791" s="29" cm="1">
        <f t="array" ref="E791">_xlfn.IFS(C791=":",":",C791&gt;=N$19,1,C791&gt;=N$20,2,C791&gt;=N$21,3,C791&gt;=N$22,4,C791&gt;=N$23,5,C791&gt;=N$24,6,C791&lt;N$24,7)</f>
        <v>4</v>
      </c>
      <c r="F791" s="30"/>
      <c r="G791" s="5"/>
      <c r="H791" s="5"/>
    </row>
    <row r="792" spans="1:8" ht="12" customHeight="1">
      <c r="A792" s="10" t="s">
        <v>2084</v>
      </c>
      <c r="B792" s="112" t="s">
        <v>2085</v>
      </c>
      <c r="C792" s="82">
        <v>2150</v>
      </c>
      <c r="D792" s="43"/>
      <c r="E792" s="29" cm="1">
        <f t="array" ref="E792">_xlfn.IFS(C792=":",":",C792&gt;=N$19,1,C792&gt;=N$20,2,C792&gt;=N$21,3,C792&gt;=N$22,4,C792&gt;=N$23,5,C792&gt;=N$24,6,C792&lt;N$24,7)</f>
        <v>2</v>
      </c>
      <c r="F792" s="30"/>
      <c r="G792" s="5"/>
      <c r="H792" s="5"/>
    </row>
    <row r="793" spans="1:8" ht="12" customHeight="1">
      <c r="A793" s="16" t="s">
        <v>2086</v>
      </c>
      <c r="B793" s="11" t="s">
        <v>3022</v>
      </c>
      <c r="C793" s="82">
        <v>153</v>
      </c>
      <c r="D793" s="43"/>
      <c r="E793" s="29" cm="1">
        <f t="array" ref="E793">_xlfn.IFS(C793=":",":",C793&gt;=N$19,1,C793&gt;=N$20,2,C793&gt;=N$21,3,C793&gt;=N$22,4,C793&gt;=N$23,5,C793&gt;=N$24,6,C793&lt;N$24,7)</f>
        <v>5</v>
      </c>
      <c r="F793" s="30"/>
      <c r="G793" s="5"/>
      <c r="H793" s="5"/>
    </row>
    <row r="794" spans="1:8" ht="12" customHeight="1">
      <c r="A794" s="10" t="s">
        <v>2087</v>
      </c>
      <c r="B794" s="112" t="s">
        <v>2088</v>
      </c>
      <c r="C794" s="82">
        <v>1040</v>
      </c>
      <c r="D794" s="43"/>
      <c r="E794" s="29" cm="1">
        <f t="array" ref="E794">_xlfn.IFS(C794=":",":",C794&gt;=N$19,1,C794&gt;=N$20,2,C794&gt;=N$21,3,C794&gt;=N$22,4,C794&gt;=N$23,5,C794&gt;=N$24,6,C794&lt;N$24,7)</f>
        <v>3</v>
      </c>
      <c r="F794" s="30"/>
      <c r="G794" s="5"/>
      <c r="H794" s="5"/>
    </row>
    <row r="795" spans="1:8" ht="12" customHeight="1">
      <c r="A795" s="10" t="s">
        <v>2089</v>
      </c>
      <c r="B795" s="112" t="s">
        <v>2090</v>
      </c>
      <c r="C795" s="82">
        <v>859</v>
      </c>
      <c r="D795" s="43"/>
      <c r="E795" s="29" cm="1">
        <f t="array" ref="E795">_xlfn.IFS(C795=":",":",C795&gt;=N$19,1,C795&gt;=N$20,2,C795&gt;=N$21,3,C795&gt;=N$22,4,C795&gt;=N$23,5,C795&gt;=N$24,6,C795&lt;N$24,7)</f>
        <v>3</v>
      </c>
      <c r="F795" s="30"/>
      <c r="G795" s="5"/>
      <c r="H795" s="5"/>
    </row>
    <row r="796" spans="1:8" ht="12" customHeight="1">
      <c r="A796" s="10" t="s">
        <v>2091</v>
      </c>
      <c r="B796" s="112" t="s">
        <v>2092</v>
      </c>
      <c r="C796" s="82">
        <v>1225</v>
      </c>
      <c r="D796" s="43"/>
      <c r="E796" s="29" cm="1">
        <f t="array" ref="E796">_xlfn.IFS(C796=":",":",C796&gt;=N$19,1,C796&gt;=N$20,2,C796&gt;=N$21,3,C796&gt;=N$22,4,C796&gt;=N$23,5,C796&gt;=N$24,6,C796&lt;N$24,7)</f>
        <v>3</v>
      </c>
      <c r="F796" s="30"/>
      <c r="G796" s="5"/>
      <c r="H796" s="5"/>
    </row>
    <row r="797" spans="1:8" ht="12" customHeight="1">
      <c r="A797" s="10" t="s">
        <v>2093</v>
      </c>
      <c r="B797" s="112" t="s">
        <v>2094</v>
      </c>
      <c r="C797" s="82">
        <v>471</v>
      </c>
      <c r="D797" s="43"/>
      <c r="E797" s="29" cm="1">
        <f t="array" ref="E797">_xlfn.IFS(C797=":",":",C797&gt;=N$19,1,C797&gt;=N$20,2,C797&gt;=N$21,3,C797&gt;=N$22,4,C797&gt;=N$23,5,C797&gt;=N$24,6,C797&lt;N$24,7)</f>
        <v>4</v>
      </c>
      <c r="F797" s="30"/>
      <c r="G797" s="5"/>
      <c r="H797" s="5"/>
    </row>
    <row r="798" spans="1:8" ht="12" customHeight="1">
      <c r="A798" s="10" t="s">
        <v>2095</v>
      </c>
      <c r="B798" s="112" t="s">
        <v>2096</v>
      </c>
      <c r="C798" s="82">
        <v>115</v>
      </c>
      <c r="D798" s="43"/>
      <c r="E798" s="29" cm="1">
        <f t="array" ref="E798">_xlfn.IFS(C798=":",":",C798&gt;=N$19,1,C798&gt;=N$20,2,C798&gt;=N$21,3,C798&gt;=N$22,4,C798&gt;=N$23,5,C798&gt;=N$24,6,C798&lt;N$24,7)</f>
        <v>5</v>
      </c>
      <c r="F798" s="30"/>
      <c r="G798" s="5"/>
      <c r="H798" s="5"/>
    </row>
    <row r="799" spans="1:8" ht="12" customHeight="1">
      <c r="A799" s="10" t="s">
        <v>2097</v>
      </c>
      <c r="B799" s="112" t="s">
        <v>2098</v>
      </c>
      <c r="C799" s="82">
        <v>55</v>
      </c>
      <c r="D799" s="43"/>
      <c r="E799" s="29" cm="1">
        <f t="array" ref="E799">_xlfn.IFS(C799=":",":",C799&gt;=N$19,1,C799&gt;=N$20,2,C799&gt;=N$21,3,C799&gt;=N$22,4,C799&gt;=N$23,5,C799&gt;=N$24,6,C799&lt;N$24,7)</f>
        <v>6</v>
      </c>
      <c r="F799" s="30"/>
      <c r="G799" s="5"/>
      <c r="H799" s="5"/>
    </row>
    <row r="800" spans="1:8" ht="12" customHeight="1">
      <c r="A800" s="10" t="s">
        <v>2099</v>
      </c>
      <c r="B800" s="112" t="s">
        <v>2100</v>
      </c>
      <c r="C800" s="82">
        <v>586</v>
      </c>
      <c r="D800" s="43"/>
      <c r="E800" s="29" cm="1">
        <f t="array" ref="E800">_xlfn.IFS(C800=":",":",C800&gt;=N$19,1,C800&gt;=N$20,2,C800&gt;=N$21,3,C800&gt;=N$22,4,C800&gt;=N$23,5,C800&gt;=N$24,6,C800&lt;N$24,7)</f>
        <v>3</v>
      </c>
      <c r="F800" s="30"/>
      <c r="G800" s="5"/>
      <c r="H800" s="5"/>
    </row>
    <row r="801" spans="1:8" ht="12" customHeight="1">
      <c r="A801" s="10" t="s">
        <v>2101</v>
      </c>
      <c r="B801" s="112" t="s">
        <v>2102</v>
      </c>
      <c r="C801" s="82">
        <v>709</v>
      </c>
      <c r="D801" s="43"/>
      <c r="E801" s="29" cm="1">
        <f t="array" ref="E801">_xlfn.IFS(C801=":",":",C801&gt;=N$19,1,C801&gt;=N$20,2,C801&gt;=N$21,3,C801&gt;=N$22,4,C801&gt;=N$23,5,C801&gt;=N$24,6,C801&lt;N$24,7)</f>
        <v>3</v>
      </c>
      <c r="F801" s="30"/>
      <c r="G801" s="5"/>
      <c r="H801" s="5"/>
    </row>
    <row r="802" spans="1:8" ht="12" customHeight="1">
      <c r="A802" s="10" t="s">
        <v>2103</v>
      </c>
      <c r="B802" s="112" t="s">
        <v>2104</v>
      </c>
      <c r="C802" s="82">
        <v>703</v>
      </c>
      <c r="D802" s="43"/>
      <c r="E802" s="29" cm="1">
        <f t="array" ref="E802">_xlfn.IFS(C802=":",":",C802&gt;=N$19,1,C802&gt;=N$20,2,C802&gt;=N$21,3,C802&gt;=N$22,4,C802&gt;=N$23,5,C802&gt;=N$24,6,C802&lt;N$24,7)</f>
        <v>3</v>
      </c>
      <c r="F802" s="30"/>
      <c r="G802" s="5"/>
      <c r="H802" s="5"/>
    </row>
    <row r="803" spans="1:8" ht="12" customHeight="1">
      <c r="A803" s="10" t="s">
        <v>2105</v>
      </c>
      <c r="B803" s="112" t="s">
        <v>2106</v>
      </c>
      <c r="C803" s="82">
        <v>1089</v>
      </c>
      <c r="D803" s="43"/>
      <c r="E803" s="29" cm="1">
        <f t="array" ref="E803">_xlfn.IFS(C803=":",":",C803&gt;=N$19,1,C803&gt;=N$20,2,C803&gt;=N$21,3,C803&gt;=N$22,4,C803&gt;=N$23,5,C803&gt;=N$24,6,C803&lt;N$24,7)</f>
        <v>3</v>
      </c>
      <c r="F803" s="30"/>
      <c r="G803" s="5"/>
      <c r="H803" s="5"/>
    </row>
    <row r="804" spans="1:8" ht="12" customHeight="1">
      <c r="A804" s="10" t="s">
        <v>2107</v>
      </c>
      <c r="B804" s="112" t="s">
        <v>2108</v>
      </c>
      <c r="C804" s="82">
        <v>452</v>
      </c>
      <c r="D804" s="43"/>
      <c r="E804" s="29" cm="1">
        <f t="array" ref="E804">_xlfn.IFS(C804=":",":",C804&gt;=N$19,1,C804&gt;=N$20,2,C804&gt;=N$21,3,C804&gt;=N$22,4,C804&gt;=N$23,5,C804&gt;=N$24,6,C804&lt;N$24,7)</f>
        <v>4</v>
      </c>
      <c r="F804" s="30"/>
      <c r="G804" s="5"/>
      <c r="H804" s="5"/>
    </row>
    <row r="805" spans="1:8" ht="12" customHeight="1">
      <c r="A805" s="10" t="s">
        <v>2109</v>
      </c>
      <c r="B805" s="112" t="s">
        <v>2110</v>
      </c>
      <c r="C805" s="82">
        <v>1321</v>
      </c>
      <c r="D805" s="43"/>
      <c r="E805" s="29" cm="1">
        <f t="array" ref="E805">_xlfn.IFS(C805=":",":",C805&gt;=N$19,1,C805&gt;=N$20,2,C805&gt;=N$21,3,C805&gt;=N$22,4,C805&gt;=N$23,5,C805&gt;=N$24,6,C805&lt;N$24,7)</f>
        <v>3</v>
      </c>
      <c r="F805" s="30"/>
      <c r="G805" s="5"/>
      <c r="H805" s="5"/>
    </row>
    <row r="806" spans="1:8" ht="12" customHeight="1">
      <c r="A806" s="10" t="s">
        <v>2111</v>
      </c>
      <c r="B806" s="112" t="s">
        <v>2112</v>
      </c>
      <c r="C806" s="82">
        <v>252</v>
      </c>
      <c r="D806" s="43"/>
      <c r="E806" s="29" cm="1">
        <f t="array" ref="E806">_xlfn.IFS(C806=":",":",C806&gt;=N$19,1,C806&gt;=N$20,2,C806&gt;=N$21,3,C806&gt;=N$22,4,C806&gt;=N$23,5,C806&gt;=N$24,6,C806&lt;N$24,7)</f>
        <v>4</v>
      </c>
      <c r="F806" s="30"/>
      <c r="G806" s="5"/>
      <c r="H806" s="5"/>
    </row>
    <row r="807" spans="1:8" ht="12" customHeight="1">
      <c r="A807" s="10" t="s">
        <v>2113</v>
      </c>
      <c r="B807" s="112" t="s">
        <v>2114</v>
      </c>
      <c r="C807" s="82">
        <v>371</v>
      </c>
      <c r="D807" s="43"/>
      <c r="E807" s="29" cm="1">
        <f t="array" ref="E807">_xlfn.IFS(C807=":",":",C807&gt;=N$19,1,C807&gt;=N$20,2,C807&gt;=N$21,3,C807&gt;=N$22,4,C807&gt;=N$23,5,C807&gt;=N$24,6,C807&lt;N$24,7)</f>
        <v>4</v>
      </c>
      <c r="F807" s="30"/>
      <c r="G807" s="5"/>
      <c r="H807" s="5"/>
    </row>
    <row r="808" spans="1:8" ht="12" customHeight="1">
      <c r="A808" s="10" t="s">
        <v>2115</v>
      </c>
      <c r="B808" s="112" t="s">
        <v>2116</v>
      </c>
      <c r="C808" s="82">
        <v>5027</v>
      </c>
      <c r="D808" s="43"/>
      <c r="E808" s="29" cm="1">
        <f t="array" ref="E808">_xlfn.IFS(C808=":",":",C808&gt;=N$19,1,C808&gt;=N$20,2,C808&gt;=N$21,3,C808&gt;=N$22,4,C808&gt;=N$23,5,C808&gt;=N$24,6,C808&lt;N$24,7)</f>
        <v>1</v>
      </c>
      <c r="F808" s="30"/>
      <c r="G808" s="5"/>
      <c r="H808" s="5"/>
    </row>
    <row r="809" spans="1:8" ht="12" customHeight="1">
      <c r="A809" s="10" t="s">
        <v>2117</v>
      </c>
      <c r="B809" s="112" t="s">
        <v>2118</v>
      </c>
      <c r="C809" s="82">
        <v>3191</v>
      </c>
      <c r="D809" s="43"/>
      <c r="E809" s="29" cm="1">
        <f t="array" ref="E809">_xlfn.IFS(C809=":",":",C809&gt;=N$19,1,C809&gt;=N$20,2,C809&gt;=N$21,3,C809&gt;=N$22,4,C809&gt;=N$23,5,C809&gt;=N$24,6,C809&lt;N$24,7)</f>
        <v>2</v>
      </c>
      <c r="F809" s="30"/>
      <c r="G809" s="5"/>
      <c r="H809" s="5"/>
    </row>
    <row r="810" spans="1:8" ht="12" customHeight="1">
      <c r="A810" s="10" t="s">
        <v>2119</v>
      </c>
      <c r="B810" s="112" t="s">
        <v>2120</v>
      </c>
      <c r="C810" s="82">
        <v>6720</v>
      </c>
      <c r="D810" s="43"/>
      <c r="E810" s="29" cm="1">
        <f t="array" ref="E810">_xlfn.IFS(C810=":",":",C810&gt;=N$19,1,C810&gt;=N$20,2,C810&gt;=N$21,3,C810&gt;=N$22,4,C810&gt;=N$23,5,C810&gt;=N$24,6,C810&lt;N$24,7)</f>
        <v>1</v>
      </c>
      <c r="F810" s="30"/>
      <c r="G810" s="5"/>
      <c r="H810" s="5"/>
    </row>
    <row r="811" spans="1:8" ht="12" customHeight="1">
      <c r="A811" s="10" t="s">
        <v>2121</v>
      </c>
      <c r="B811" s="112" t="s">
        <v>2122</v>
      </c>
      <c r="C811" s="82">
        <v>854</v>
      </c>
      <c r="D811" s="43"/>
      <c r="E811" s="29" cm="1">
        <f t="array" ref="E811">_xlfn.IFS(C811=":",":",C811&gt;=N$19,1,C811&gt;=N$20,2,C811&gt;=N$21,3,C811&gt;=N$22,4,C811&gt;=N$23,5,C811&gt;=N$24,6,C811&lt;N$24,7)</f>
        <v>3</v>
      </c>
      <c r="F811" s="30"/>
      <c r="G811" s="5"/>
      <c r="H811" s="5"/>
    </row>
    <row r="812" spans="1:8" ht="12" customHeight="1">
      <c r="A812" s="10" t="s">
        <v>2123</v>
      </c>
      <c r="B812" s="112" t="s">
        <v>2124</v>
      </c>
      <c r="C812" s="82">
        <v>1102</v>
      </c>
      <c r="D812" s="43"/>
      <c r="E812" s="29" cm="1">
        <f t="array" ref="E812">_xlfn.IFS(C812=":",":",C812&gt;=N$19,1,C812&gt;=N$20,2,C812&gt;=N$21,3,C812&gt;=N$22,4,C812&gt;=N$23,5,C812&gt;=N$24,6,C812&lt;N$24,7)</f>
        <v>3</v>
      </c>
      <c r="F812" s="30"/>
      <c r="G812" s="5"/>
      <c r="H812" s="5"/>
    </row>
    <row r="813" spans="1:8" ht="12" customHeight="1">
      <c r="A813" s="10" t="s">
        <v>2125</v>
      </c>
      <c r="B813" s="112" t="s">
        <v>2126</v>
      </c>
      <c r="C813" s="82">
        <v>857</v>
      </c>
      <c r="D813" s="43"/>
      <c r="E813" s="29" cm="1">
        <f t="array" ref="E813">_xlfn.IFS(C813=":",":",C813&gt;=N$19,1,C813&gt;=N$20,2,C813&gt;=N$21,3,C813&gt;=N$22,4,C813&gt;=N$23,5,C813&gt;=N$24,6,C813&lt;N$24,7)</f>
        <v>3</v>
      </c>
      <c r="F813" s="30"/>
      <c r="G813" s="5"/>
      <c r="H813" s="5"/>
    </row>
    <row r="814" spans="1:8" ht="12" customHeight="1">
      <c r="A814" s="10" t="s">
        <v>2127</v>
      </c>
      <c r="B814" s="112" t="s">
        <v>2128</v>
      </c>
      <c r="C814" s="82">
        <v>20137</v>
      </c>
      <c r="D814" s="43"/>
      <c r="E814" s="29" cm="1">
        <f t="array" ref="E814">_xlfn.IFS(C814=":",":",C814&gt;=N$19,1,C814&gt;=N$20,2,C814&gt;=N$21,3,C814&gt;=N$22,4,C814&gt;=N$23,5,C814&gt;=N$24,6,C814&lt;N$24,7)</f>
        <v>1</v>
      </c>
      <c r="F814" s="30"/>
      <c r="G814" s="5"/>
      <c r="H814" s="5"/>
    </row>
    <row r="815" spans="1:8" ht="12" customHeight="1">
      <c r="A815" s="10" t="s">
        <v>2129</v>
      </c>
      <c r="B815" s="112" t="s">
        <v>2130</v>
      </c>
      <c r="C815" s="82">
        <v>2520</v>
      </c>
      <c r="D815" s="43"/>
      <c r="E815" s="29" cm="1">
        <f t="array" ref="E815">_xlfn.IFS(C815=":",":",C815&gt;=N$19,1,C815&gt;=N$20,2,C815&gt;=N$21,3,C815&gt;=N$22,4,C815&gt;=N$23,5,C815&gt;=N$24,6,C815&lt;N$24,7)</f>
        <v>2</v>
      </c>
      <c r="F815" s="30"/>
      <c r="G815" s="5"/>
      <c r="H815" s="5"/>
    </row>
    <row r="816" spans="1:8" ht="12" customHeight="1">
      <c r="A816" s="10" t="s">
        <v>2131</v>
      </c>
      <c r="B816" s="112" t="s">
        <v>2132</v>
      </c>
      <c r="C816" s="82">
        <v>848</v>
      </c>
      <c r="D816" s="43"/>
      <c r="E816" s="29" cm="1">
        <f t="array" ref="E816">_xlfn.IFS(C816=":",":",C816&gt;=N$19,1,C816&gt;=N$20,2,C816&gt;=N$21,3,C816&gt;=N$22,4,C816&gt;=N$23,5,C816&gt;=N$24,6,C816&lt;N$24,7)</f>
        <v>3</v>
      </c>
      <c r="F816" s="30"/>
      <c r="G816" s="5"/>
      <c r="H816" s="5"/>
    </row>
    <row r="817" spans="1:8" ht="12" customHeight="1">
      <c r="A817" s="10" t="s">
        <v>2133</v>
      </c>
      <c r="B817" s="112" t="s">
        <v>2134</v>
      </c>
      <c r="C817" s="82">
        <v>280</v>
      </c>
      <c r="D817" s="43"/>
      <c r="E817" s="29" cm="1">
        <f t="array" ref="E817">_xlfn.IFS(C817=":",":",C817&gt;=N$19,1,C817&gt;=N$20,2,C817&gt;=N$21,3,C817&gt;=N$22,4,C817&gt;=N$23,5,C817&gt;=N$24,6,C817&lt;N$24,7)</f>
        <v>4</v>
      </c>
      <c r="F817" s="30"/>
      <c r="G817" s="5"/>
      <c r="H817" s="5"/>
    </row>
    <row r="818" spans="1:8" ht="12" customHeight="1">
      <c r="A818" s="10" t="s">
        <v>2135</v>
      </c>
      <c r="B818" s="112" t="s">
        <v>2136</v>
      </c>
      <c r="C818" s="82">
        <v>1225</v>
      </c>
      <c r="D818" s="43"/>
      <c r="E818" s="29" cm="1">
        <f t="array" ref="E818">_xlfn.IFS(C818=":",":",C818&gt;=N$19,1,C818&gt;=N$20,2,C818&gt;=N$21,3,C818&gt;=N$22,4,C818&gt;=N$23,5,C818&gt;=N$24,6,C818&lt;N$24,7)</f>
        <v>3</v>
      </c>
      <c r="F818" s="30"/>
      <c r="G818" s="5"/>
      <c r="H818" s="5"/>
    </row>
    <row r="819" spans="1:8" ht="12" customHeight="1">
      <c r="A819" s="10" t="s">
        <v>2137</v>
      </c>
      <c r="B819" s="112" t="s">
        <v>2138</v>
      </c>
      <c r="C819" s="82">
        <v>5092</v>
      </c>
      <c r="D819" s="43"/>
      <c r="E819" s="29" cm="1">
        <f t="array" ref="E819">_xlfn.IFS(C819=":",":",C819&gt;=N$19,1,C819&gt;=N$20,2,C819&gt;=N$21,3,C819&gt;=N$22,4,C819&gt;=N$23,5,C819&gt;=N$24,6,C819&lt;N$24,7)</f>
        <v>1</v>
      </c>
      <c r="F819" s="30"/>
      <c r="G819" s="5"/>
      <c r="H819" s="5"/>
    </row>
    <row r="820" spans="1:8" ht="12" customHeight="1">
      <c r="A820" s="10" t="s">
        <v>2139</v>
      </c>
      <c r="B820" s="112" t="s">
        <v>2140</v>
      </c>
      <c r="C820" s="82">
        <v>8231</v>
      </c>
      <c r="D820" s="43"/>
      <c r="E820" s="29" cm="1">
        <f t="array" ref="E820">_xlfn.IFS(C820=":",":",C820&gt;=N$19,1,C820&gt;=N$20,2,C820&gt;=N$21,3,C820&gt;=N$22,4,C820&gt;=N$23,5,C820&gt;=N$24,6,C820&lt;N$24,7)</f>
        <v>1</v>
      </c>
      <c r="F820" s="30"/>
      <c r="G820" s="5"/>
      <c r="H820" s="5"/>
    </row>
    <row r="821" spans="1:8" ht="12" customHeight="1">
      <c r="A821" s="10" t="s">
        <v>2141</v>
      </c>
      <c r="B821" s="112" t="s">
        <v>2142</v>
      </c>
      <c r="C821" s="82">
        <v>224</v>
      </c>
      <c r="D821" s="43"/>
      <c r="E821" s="29" cm="1">
        <f t="array" ref="E821">_xlfn.IFS(C821=":",":",C821&gt;=N$19,1,C821&gt;=N$20,2,C821&gt;=N$21,3,C821&gt;=N$22,4,C821&gt;=N$23,5,C821&gt;=N$24,6,C821&lt;N$24,7)</f>
        <v>4</v>
      </c>
      <c r="F821" s="30"/>
      <c r="G821" s="5"/>
      <c r="H821" s="5"/>
    </row>
    <row r="822" spans="1:8" ht="12" customHeight="1">
      <c r="A822" s="10" t="s">
        <v>2143</v>
      </c>
      <c r="B822" s="112" t="s">
        <v>2144</v>
      </c>
      <c r="C822" s="82">
        <v>425</v>
      </c>
      <c r="D822" s="43"/>
      <c r="E822" s="29" cm="1">
        <f t="array" ref="E822">_xlfn.IFS(C822=":",":",C822&gt;=N$19,1,C822&gt;=N$20,2,C822&gt;=N$21,3,C822&gt;=N$22,4,C822&gt;=N$23,5,C822&gt;=N$24,6,C822&lt;N$24,7)</f>
        <v>4</v>
      </c>
      <c r="F822" s="30"/>
      <c r="G822" s="5"/>
      <c r="H822" s="5"/>
    </row>
    <row r="823" spans="1:8" ht="12" customHeight="1">
      <c r="A823" s="10" t="s">
        <v>2145</v>
      </c>
      <c r="B823" s="112" t="s">
        <v>2896</v>
      </c>
      <c r="C823" s="82">
        <v>338</v>
      </c>
      <c r="D823" s="43"/>
      <c r="E823" s="29" cm="1">
        <f t="array" ref="E823">_xlfn.IFS(C823=":",":",C823&gt;=N$19,1,C823&gt;=N$20,2,C823&gt;=N$21,3,C823&gt;=N$22,4,C823&gt;=N$23,5,C823&gt;=N$24,6,C823&lt;N$24,7)</f>
        <v>4</v>
      </c>
      <c r="F823" s="30"/>
      <c r="G823" s="5"/>
      <c r="H823" s="5"/>
    </row>
    <row r="824" spans="1:8" ht="12" customHeight="1">
      <c r="A824" s="10" t="s">
        <v>2146</v>
      </c>
      <c r="B824" s="112" t="s">
        <v>2147</v>
      </c>
      <c r="C824" s="82">
        <v>704</v>
      </c>
      <c r="D824" s="43"/>
      <c r="E824" s="29" cm="1">
        <f t="array" ref="E824">_xlfn.IFS(C824=":",":",C824&gt;=N$19,1,C824&gt;=N$20,2,C824&gt;=N$21,3,C824&gt;=N$22,4,C824&gt;=N$23,5,C824&gt;=N$24,6,C824&lt;N$24,7)</f>
        <v>3</v>
      </c>
      <c r="F824" s="30"/>
      <c r="G824" s="5"/>
      <c r="H824" s="5"/>
    </row>
    <row r="825" spans="1:8" ht="12" customHeight="1">
      <c r="A825" s="10" t="s">
        <v>2148</v>
      </c>
      <c r="B825" s="112" t="s">
        <v>2149</v>
      </c>
      <c r="C825" s="82">
        <v>1608</v>
      </c>
      <c r="D825" s="43"/>
      <c r="E825" s="29" cm="1">
        <f t="array" ref="E825">_xlfn.IFS(C825=":",":",C825&gt;=N$19,1,C825&gt;=N$20,2,C825&gt;=N$21,3,C825&gt;=N$22,4,C825&gt;=N$23,5,C825&gt;=N$24,6,C825&lt;N$24,7)</f>
        <v>2</v>
      </c>
      <c r="F825" s="30"/>
      <c r="G825" s="5"/>
      <c r="H825" s="5"/>
    </row>
    <row r="826" spans="1:8" ht="12" customHeight="1">
      <c r="A826" s="10" t="s">
        <v>2150</v>
      </c>
      <c r="B826" s="112" t="s">
        <v>2151</v>
      </c>
      <c r="C826" s="82">
        <v>1155</v>
      </c>
      <c r="D826" s="43"/>
      <c r="E826" s="29" cm="1">
        <f t="array" ref="E826">_xlfn.IFS(C826=":",":",C826&gt;=N$19,1,C826&gt;=N$20,2,C826&gt;=N$21,3,C826&gt;=N$22,4,C826&gt;=N$23,5,C826&gt;=N$24,6,C826&lt;N$24,7)</f>
        <v>3</v>
      </c>
      <c r="F826" s="30"/>
      <c r="G826" s="5"/>
      <c r="H826" s="5"/>
    </row>
    <row r="827" spans="1:8" ht="12" customHeight="1">
      <c r="A827" s="10" t="s">
        <v>2152</v>
      </c>
      <c r="B827" s="112" t="s">
        <v>2153</v>
      </c>
      <c r="C827" s="82">
        <v>3708</v>
      </c>
      <c r="D827" s="43"/>
      <c r="E827" s="29" cm="1">
        <f t="array" ref="E827">_xlfn.IFS(C827=":",":",C827&gt;=N$19,1,C827&gt;=N$20,2,C827&gt;=N$21,3,C827&gt;=N$22,4,C827&gt;=N$23,5,C827&gt;=N$24,6,C827&lt;N$24,7)</f>
        <v>2</v>
      </c>
      <c r="F827" s="30"/>
      <c r="G827" s="5"/>
      <c r="H827" s="5"/>
    </row>
    <row r="828" spans="1:8" ht="12" customHeight="1">
      <c r="A828" s="10" t="s">
        <v>2154</v>
      </c>
      <c r="B828" s="112" t="s">
        <v>2155</v>
      </c>
      <c r="C828" s="82">
        <v>2403</v>
      </c>
      <c r="D828" s="43"/>
      <c r="E828" s="29" cm="1">
        <f t="array" ref="E828">_xlfn.IFS(C828=":",":",C828&gt;=N$19,1,C828&gt;=N$20,2,C828&gt;=N$21,3,C828&gt;=N$22,4,C828&gt;=N$23,5,C828&gt;=N$24,6,C828&lt;N$24,7)</f>
        <v>2</v>
      </c>
      <c r="F828" s="30"/>
      <c r="G828" s="5"/>
      <c r="H828" s="5"/>
    </row>
    <row r="829" spans="1:8" ht="12" customHeight="1">
      <c r="A829" s="16" t="s">
        <v>2156</v>
      </c>
      <c r="B829" s="11" t="s">
        <v>2157</v>
      </c>
      <c r="C829" s="82">
        <v>16347</v>
      </c>
      <c r="D829" s="43"/>
      <c r="E829" s="29" cm="1">
        <f t="array" ref="E829">_xlfn.IFS(C829=":",":",C829&gt;=N$19,1,C829&gt;=N$20,2,C829&gt;=N$21,3,C829&gt;=N$22,4,C829&gt;=N$23,5,C829&gt;=N$24,6,C829&lt;N$24,7)</f>
        <v>1</v>
      </c>
      <c r="F829" s="30"/>
      <c r="G829" s="5"/>
      <c r="H829" s="5"/>
    </row>
    <row r="830" spans="1:8" ht="12" customHeight="1">
      <c r="A830" s="10" t="s">
        <v>2158</v>
      </c>
      <c r="B830" s="112" t="s">
        <v>2159</v>
      </c>
      <c r="C830" s="82">
        <v>929</v>
      </c>
      <c r="D830" s="43"/>
      <c r="E830" s="29" cm="1">
        <f t="array" ref="E830">_xlfn.IFS(C830=":",":",C830&gt;=N$19,1,C830&gt;=N$20,2,C830&gt;=N$21,3,C830&gt;=N$22,4,C830&gt;=N$23,5,C830&gt;=N$24,6,C830&lt;N$24,7)</f>
        <v>3</v>
      </c>
      <c r="F830" s="30"/>
      <c r="G830" s="5"/>
      <c r="H830" s="5"/>
    </row>
    <row r="831" spans="1:8" ht="12" customHeight="1">
      <c r="A831" s="10" t="s">
        <v>2160</v>
      </c>
      <c r="B831" s="112" t="s">
        <v>2161</v>
      </c>
      <c r="C831" s="82">
        <v>1977</v>
      </c>
      <c r="D831" s="43"/>
      <c r="E831" s="29" cm="1">
        <f t="array" ref="E831">_xlfn.IFS(C831=":",":",C831&gt;=N$19,1,C831&gt;=N$20,2,C831&gt;=N$21,3,C831&gt;=N$22,4,C831&gt;=N$23,5,C831&gt;=N$24,6,C831&lt;N$24,7)</f>
        <v>2</v>
      </c>
      <c r="F831" s="30"/>
      <c r="G831" s="5"/>
      <c r="H831" s="5"/>
    </row>
    <row r="832" spans="1:8" ht="12" customHeight="1">
      <c r="A832" s="10" t="s">
        <v>2162</v>
      </c>
      <c r="B832" s="112" t="s">
        <v>2163</v>
      </c>
      <c r="C832" s="82">
        <v>2406</v>
      </c>
      <c r="D832" s="43"/>
      <c r="E832" s="29" cm="1">
        <f t="array" ref="E832">_xlfn.IFS(C832=":",":",C832&gt;=N$19,1,C832&gt;=N$20,2,C832&gt;=N$21,3,C832&gt;=N$22,4,C832&gt;=N$23,5,C832&gt;=N$24,6,C832&lt;N$24,7)</f>
        <v>2</v>
      </c>
      <c r="F832" s="30"/>
      <c r="G832" s="5"/>
      <c r="H832" s="5"/>
    </row>
    <row r="833" spans="1:8" ht="12" customHeight="1">
      <c r="A833" s="10" t="s">
        <v>2164</v>
      </c>
      <c r="B833" s="112" t="s">
        <v>2165</v>
      </c>
      <c r="C833" s="82">
        <v>3711</v>
      </c>
      <c r="D833" s="43"/>
      <c r="E833" s="29" cm="1">
        <f t="array" ref="E833">_xlfn.IFS(C833=":",":",C833&gt;=N$19,1,C833&gt;=N$20,2,C833&gt;=N$21,3,C833&gt;=N$22,4,C833&gt;=N$23,5,C833&gt;=N$24,6,C833&lt;N$24,7)</f>
        <v>2</v>
      </c>
      <c r="F833" s="30"/>
      <c r="G833" s="5"/>
      <c r="H833" s="5"/>
    </row>
    <row r="834" spans="1:8" ht="12" customHeight="1">
      <c r="A834" s="10" t="s">
        <v>2166</v>
      </c>
      <c r="B834" s="112" t="s">
        <v>2167</v>
      </c>
      <c r="C834" s="82">
        <v>1446</v>
      </c>
      <c r="D834" s="43"/>
      <c r="E834" s="29" cm="1">
        <f t="array" ref="E834">_xlfn.IFS(C834=":",":",C834&gt;=N$19,1,C834&gt;=N$20,2,C834&gt;=N$21,3,C834&gt;=N$22,4,C834&gt;=N$23,5,C834&gt;=N$24,6,C834&lt;N$24,7)</f>
        <v>3</v>
      </c>
      <c r="F834" s="30"/>
      <c r="G834" s="5"/>
      <c r="H834" s="5"/>
    </row>
    <row r="835" spans="1:8" ht="12" customHeight="1">
      <c r="A835" s="10" t="s">
        <v>2168</v>
      </c>
      <c r="B835" s="112" t="s">
        <v>2169</v>
      </c>
      <c r="C835" s="82">
        <v>7691</v>
      </c>
      <c r="D835" s="43"/>
      <c r="E835" s="29" cm="1">
        <f t="array" ref="E835">_xlfn.IFS(C835=":",":",C835&gt;=N$19,1,C835&gt;=N$20,2,C835&gt;=N$21,3,C835&gt;=N$22,4,C835&gt;=N$23,5,C835&gt;=N$24,6,C835&lt;N$24,7)</f>
        <v>1</v>
      </c>
      <c r="F835" s="30"/>
      <c r="G835" s="5"/>
      <c r="H835" s="5"/>
    </row>
    <row r="836" spans="1:8" ht="12" customHeight="1">
      <c r="A836" s="10" t="s">
        <v>2170</v>
      </c>
      <c r="B836" s="112" t="s">
        <v>2171</v>
      </c>
      <c r="C836" s="82">
        <v>1455</v>
      </c>
      <c r="D836" s="43"/>
      <c r="E836" s="29" cm="1">
        <f t="array" ref="E836">_xlfn.IFS(C836=":",":",C836&gt;=N$19,1,C836&gt;=N$20,2,C836&gt;=N$21,3,C836&gt;=N$22,4,C836&gt;=N$23,5,C836&gt;=N$24,6,C836&lt;N$24,7)</f>
        <v>3</v>
      </c>
      <c r="F836" s="30"/>
      <c r="G836" s="5"/>
      <c r="H836" s="5"/>
    </row>
    <row r="837" spans="1:8" ht="12" customHeight="1">
      <c r="A837" s="10" t="s">
        <v>2172</v>
      </c>
      <c r="B837" s="112" t="s">
        <v>2173</v>
      </c>
      <c r="C837" s="82">
        <v>564</v>
      </c>
      <c r="D837" s="43"/>
      <c r="E837" s="29" cm="1">
        <f t="array" ref="E837">_xlfn.IFS(C837=":",":",C837&gt;=N$19,1,C837&gt;=N$20,2,C837&gt;=N$21,3,C837&gt;=N$22,4,C837&gt;=N$23,5,C837&gt;=N$24,6,C837&lt;N$24,7)</f>
        <v>3</v>
      </c>
      <c r="F837" s="30"/>
      <c r="G837" s="5"/>
      <c r="H837" s="5"/>
    </row>
    <row r="838" spans="1:8" ht="12" customHeight="1">
      <c r="A838" s="10" t="s">
        <v>2174</v>
      </c>
      <c r="B838" s="112" t="s">
        <v>2175</v>
      </c>
      <c r="C838" s="82">
        <v>1448</v>
      </c>
      <c r="D838" s="43"/>
      <c r="E838" s="29" cm="1">
        <f t="array" ref="E838">_xlfn.IFS(C838=":",":",C838&gt;=N$19,1,C838&gt;=N$20,2,C838&gt;=N$21,3,C838&gt;=N$22,4,C838&gt;=N$23,5,C838&gt;=N$24,6,C838&lt;N$24,7)</f>
        <v>3</v>
      </c>
      <c r="F838" s="30"/>
      <c r="G838" s="5"/>
      <c r="H838" s="5"/>
    </row>
    <row r="839" spans="1:8" ht="12" customHeight="1">
      <c r="A839" s="10" t="s">
        <v>2176</v>
      </c>
      <c r="B839" s="112" t="s">
        <v>2177</v>
      </c>
      <c r="C839" s="82">
        <v>1306</v>
      </c>
      <c r="D839" s="43"/>
      <c r="E839" s="29" cm="1">
        <f t="array" ref="E839">_xlfn.IFS(C839=":",":",C839&gt;=N$19,1,C839&gt;=N$20,2,C839&gt;=N$21,3,C839&gt;=N$22,4,C839&gt;=N$23,5,C839&gt;=N$24,6,C839&lt;N$24,7)</f>
        <v>3</v>
      </c>
      <c r="F839" s="30"/>
      <c r="G839" s="5"/>
      <c r="H839" s="5"/>
    </row>
    <row r="840" spans="1:8" ht="12" customHeight="1">
      <c r="A840" s="10" t="s">
        <v>2178</v>
      </c>
      <c r="B840" s="112" t="s">
        <v>2179</v>
      </c>
      <c r="C840" s="82">
        <v>940</v>
      </c>
      <c r="D840" s="43"/>
      <c r="E840" s="29" cm="1">
        <f t="array" ref="E840">_xlfn.IFS(C840=":",":",C840&gt;=N$19,1,C840&gt;=N$20,2,C840&gt;=N$21,3,C840&gt;=N$22,4,C840&gt;=N$23,5,C840&gt;=N$24,6,C840&lt;N$24,7)</f>
        <v>3</v>
      </c>
      <c r="F840" s="30"/>
      <c r="G840" s="5"/>
      <c r="H840" s="5"/>
    </row>
    <row r="841" spans="1:8" ht="12" customHeight="1">
      <c r="A841" s="10" t="s">
        <v>2180</v>
      </c>
      <c r="B841" s="112" t="s">
        <v>2181</v>
      </c>
      <c r="C841" s="82">
        <v>440</v>
      </c>
      <c r="D841" s="43"/>
      <c r="E841" s="29" cm="1">
        <f t="array" ref="E841">_xlfn.IFS(C841=":",":",C841&gt;=N$19,1,C841&gt;=N$20,2,C841&gt;=N$21,3,C841&gt;=N$22,4,C841&gt;=N$23,5,C841&gt;=N$24,6,C841&lt;N$24,7)</f>
        <v>4</v>
      </c>
      <c r="F841" s="30"/>
      <c r="G841" s="5"/>
      <c r="H841" s="5"/>
    </row>
    <row r="842" spans="1:8" ht="12" customHeight="1">
      <c r="A842" s="16" t="s">
        <v>2182</v>
      </c>
      <c r="B842" s="11" t="s">
        <v>2183</v>
      </c>
      <c r="C842" s="82">
        <v>1174</v>
      </c>
      <c r="D842" s="43"/>
      <c r="E842" s="29" cm="1">
        <f t="array" ref="E842">_xlfn.IFS(C842=":",":",C842&gt;=N$19,1,C842&gt;=N$20,2,C842&gt;=N$21,3,C842&gt;=N$22,4,C842&gt;=N$23,5,C842&gt;=N$24,6,C842&lt;N$24,7)</f>
        <v>3</v>
      </c>
      <c r="F842" s="30"/>
      <c r="G842" s="5"/>
      <c r="H842" s="5"/>
    </row>
    <row r="843" spans="1:8" ht="12" customHeight="1">
      <c r="A843" s="10" t="s">
        <v>2184</v>
      </c>
      <c r="B843" s="112" t="s">
        <v>2185</v>
      </c>
      <c r="C843" s="82">
        <v>1433</v>
      </c>
      <c r="D843" s="43"/>
      <c r="E843" s="29" cm="1">
        <f t="array" ref="E843">_xlfn.IFS(C843=":",":",C843&gt;=N$19,1,C843&gt;=N$20,2,C843&gt;=N$21,3,C843&gt;=N$22,4,C843&gt;=N$23,5,C843&gt;=N$24,6,C843&lt;N$24,7)</f>
        <v>3</v>
      </c>
      <c r="F843" s="30"/>
      <c r="G843" s="5"/>
      <c r="H843" s="5"/>
    </row>
    <row r="844" spans="1:8" ht="12" customHeight="1">
      <c r="A844" s="10" t="s">
        <v>2186</v>
      </c>
      <c r="B844" s="112" t="s">
        <v>2187</v>
      </c>
      <c r="C844" s="82">
        <v>565</v>
      </c>
      <c r="D844" s="43"/>
      <c r="E844" s="29" cm="1">
        <f t="array" ref="E844">_xlfn.IFS(C844=":",":",C844&gt;=N$19,1,C844&gt;=N$20,2,C844&gt;=N$21,3,C844&gt;=N$22,4,C844&gt;=N$23,5,C844&gt;=N$24,6,C844&lt;N$24,7)</f>
        <v>3</v>
      </c>
      <c r="F844" s="30"/>
      <c r="G844" s="5"/>
      <c r="H844" s="5"/>
    </row>
    <row r="845" spans="1:8" ht="12" customHeight="1">
      <c r="A845" s="10" t="s">
        <v>2188</v>
      </c>
      <c r="B845" s="112" t="s">
        <v>2189</v>
      </c>
      <c r="C845" s="82">
        <v>1408</v>
      </c>
      <c r="D845" s="43"/>
      <c r="E845" s="29" cm="1">
        <f t="array" ref="E845">_xlfn.IFS(C845=":",":",C845&gt;=N$19,1,C845&gt;=N$20,2,C845&gt;=N$21,3,C845&gt;=N$22,4,C845&gt;=N$23,5,C845&gt;=N$24,6,C845&lt;N$24,7)</f>
        <v>3</v>
      </c>
      <c r="F845" s="30"/>
      <c r="G845" s="5"/>
      <c r="H845" s="5"/>
    </row>
    <row r="846" spans="1:8" ht="12" customHeight="1">
      <c r="A846" s="10" t="s">
        <v>2190</v>
      </c>
      <c r="B846" s="112" t="s">
        <v>2191</v>
      </c>
      <c r="C846" s="82">
        <v>1668</v>
      </c>
      <c r="D846" s="43"/>
      <c r="E846" s="29" cm="1">
        <f t="array" ref="E846">_xlfn.IFS(C846=":",":",C846&gt;=N$19,1,C846&gt;=N$20,2,C846&gt;=N$21,3,C846&gt;=N$22,4,C846&gt;=N$23,5,C846&gt;=N$24,6,C846&lt;N$24,7)</f>
        <v>2</v>
      </c>
      <c r="F846" s="30"/>
      <c r="G846" s="5"/>
      <c r="H846" s="5"/>
    </row>
    <row r="847" spans="1:8" ht="12" customHeight="1">
      <c r="A847" s="10" t="s">
        <v>2192</v>
      </c>
      <c r="B847" s="112" t="s">
        <v>2193</v>
      </c>
      <c r="C847" s="82">
        <v>345</v>
      </c>
      <c r="D847" s="43"/>
      <c r="E847" s="29" cm="1">
        <f t="array" ref="E847">_xlfn.IFS(C847=":",":",C847&gt;=N$19,1,C847&gt;=N$20,2,C847&gt;=N$21,3,C847&gt;=N$22,4,C847&gt;=N$23,5,C847&gt;=N$24,6,C847&lt;N$24,7)</f>
        <v>4</v>
      </c>
      <c r="F847" s="30"/>
      <c r="G847" s="5"/>
      <c r="H847" s="5"/>
    </row>
    <row r="848" spans="1:8" ht="12" customHeight="1">
      <c r="A848" s="10" t="s">
        <v>2194</v>
      </c>
      <c r="B848" s="112" t="s">
        <v>2195</v>
      </c>
      <c r="C848" s="82">
        <v>58</v>
      </c>
      <c r="D848" s="43"/>
      <c r="E848" s="29" cm="1">
        <f t="array" ref="E848">_xlfn.IFS(C848=":",":",C848&gt;=N$19,1,C848&gt;=N$20,2,C848&gt;=N$21,3,C848&gt;=N$22,4,C848&gt;=N$23,5,C848&gt;=N$24,6,C848&lt;N$24,7)</f>
        <v>6</v>
      </c>
      <c r="F848" s="30"/>
      <c r="G848" s="5"/>
      <c r="H848" s="5"/>
    </row>
    <row r="849" spans="1:8" ht="12" customHeight="1">
      <c r="A849" s="10" t="s">
        <v>2196</v>
      </c>
      <c r="B849" s="112" t="s">
        <v>2197</v>
      </c>
      <c r="C849" s="82">
        <v>8943</v>
      </c>
      <c r="D849" s="43"/>
      <c r="E849" s="29" cm="1">
        <f t="array" ref="E849">_xlfn.IFS(C849=":",":",C849&gt;=N$19,1,C849&gt;=N$20,2,C849&gt;=N$21,3,C849&gt;=N$22,4,C849&gt;=N$23,5,C849&gt;=N$24,6,C849&lt;N$24,7)</f>
        <v>1</v>
      </c>
      <c r="F849" s="30"/>
      <c r="G849" s="5"/>
      <c r="H849" s="5"/>
    </row>
    <row r="850" spans="1:8" ht="12" customHeight="1">
      <c r="A850" s="10" t="s">
        <v>2198</v>
      </c>
      <c r="B850" s="112" t="s">
        <v>2199</v>
      </c>
      <c r="C850" s="82">
        <v>875</v>
      </c>
      <c r="D850" s="43"/>
      <c r="E850" s="29" cm="1">
        <f t="array" ref="E850">_xlfn.IFS(C850=":",":",C850&gt;=N$19,1,C850&gt;=N$20,2,C850&gt;=N$21,3,C850&gt;=N$22,4,C850&gt;=N$23,5,C850&gt;=N$24,6,C850&lt;N$24,7)</f>
        <v>3</v>
      </c>
      <c r="F850" s="30"/>
      <c r="G850" s="5"/>
      <c r="H850" s="5"/>
    </row>
    <row r="851" spans="1:8" ht="12" customHeight="1">
      <c r="A851" s="10" t="s">
        <v>2200</v>
      </c>
      <c r="B851" s="112" t="s">
        <v>2201</v>
      </c>
      <c r="C851" s="82">
        <v>379</v>
      </c>
      <c r="D851" s="43"/>
      <c r="E851" s="29" cm="1">
        <f t="array" ref="E851">_xlfn.IFS(C851=":",":",C851&gt;=N$19,1,C851&gt;=N$20,2,C851&gt;=N$21,3,C851&gt;=N$22,4,C851&gt;=N$23,5,C851&gt;=N$24,6,C851&lt;N$24,7)</f>
        <v>4</v>
      </c>
      <c r="F851" s="30"/>
      <c r="G851" s="5"/>
      <c r="H851" s="5"/>
    </row>
    <row r="852" spans="1:8" ht="12" customHeight="1">
      <c r="A852" s="10" t="s">
        <v>2202</v>
      </c>
      <c r="B852" s="114" t="s">
        <v>3023</v>
      </c>
      <c r="C852" s="82">
        <v>1944</v>
      </c>
      <c r="D852" s="43"/>
      <c r="E852" s="29" cm="1">
        <f t="array" ref="E852">_xlfn.IFS(C852=":",":",C852&gt;=N$19,1,C852&gt;=N$20,2,C852&gt;=N$21,3,C852&gt;=N$22,4,C852&gt;=N$23,5,C852&gt;=N$24,6,C852&lt;N$24,7)</f>
        <v>2</v>
      </c>
      <c r="F852" s="30"/>
      <c r="G852" s="5"/>
      <c r="H852" s="5"/>
    </row>
    <row r="853" spans="1:8" ht="12" customHeight="1">
      <c r="A853" s="10" t="s">
        <v>2204</v>
      </c>
      <c r="B853" s="112" t="s">
        <v>2205</v>
      </c>
      <c r="C853" s="82">
        <v>15</v>
      </c>
      <c r="D853" s="43"/>
      <c r="E853" s="29" cm="1">
        <f t="array" ref="E853">_xlfn.IFS(C853=":",":",C853&gt;=N$19,1,C853&gt;=N$20,2,C853&gt;=N$21,3,C853&gt;=N$22,4,C853&gt;=N$23,5,C853&gt;=N$24,6,C853&lt;N$24,7)</f>
        <v>6</v>
      </c>
      <c r="F853" s="30"/>
      <c r="G853" s="5"/>
      <c r="H853" s="5"/>
    </row>
    <row r="854" spans="1:8" ht="12" customHeight="1">
      <c r="A854" s="10" t="s">
        <v>2207</v>
      </c>
      <c r="B854" s="112" t="s">
        <v>2208</v>
      </c>
      <c r="C854" s="82">
        <v>18</v>
      </c>
      <c r="D854" s="43"/>
      <c r="E854" s="29" cm="1">
        <f t="array" ref="E854">_xlfn.IFS(C854=":",":",C854&gt;=N$19,1,C854&gt;=N$20,2,C854&gt;=N$21,3,C854&gt;=N$22,4,C854&gt;=N$23,5,C854&gt;=N$24,6,C854&lt;N$24,7)</f>
        <v>6</v>
      </c>
      <c r="F854" s="30"/>
      <c r="G854" s="5"/>
      <c r="H854" s="5"/>
    </row>
    <row r="855" spans="1:8" ht="12" customHeight="1">
      <c r="A855" s="16" t="s">
        <v>3078</v>
      </c>
      <c r="B855" s="11" t="s">
        <v>2897</v>
      </c>
      <c r="C855" s="82">
        <v>1003</v>
      </c>
      <c r="D855" s="43"/>
      <c r="E855" s="29" cm="1">
        <f t="array" ref="E855">_xlfn.IFS(C855=":",":",C855&gt;=N$19,1,C855&gt;=N$20,2,C855&gt;=N$21,3,C855&gt;=N$22,4,C855&gt;=N$23,5,C855&gt;=N$24,6,C855&lt;N$24,7)</f>
        <v>3</v>
      </c>
      <c r="F855" s="30"/>
      <c r="G855" s="5"/>
      <c r="H855" s="5"/>
    </row>
    <row r="856" spans="1:8" ht="12" customHeight="1">
      <c r="A856" s="16" t="s">
        <v>3079</v>
      </c>
      <c r="B856" s="11" t="s">
        <v>2203</v>
      </c>
      <c r="C856" s="82">
        <v>43</v>
      </c>
      <c r="D856" s="43"/>
      <c r="E856" s="29" cm="1">
        <f t="array" ref="E856">_xlfn.IFS(C856=":",":",C856&gt;=N$19,1,C856&gt;=N$20,2,C856&gt;=N$21,3,C856&gt;=N$22,4,C856&gt;=N$23,5,C856&gt;=N$24,6,C856&lt;N$24,7)</f>
        <v>6</v>
      </c>
      <c r="F856" s="30"/>
      <c r="G856" s="5"/>
      <c r="H856" s="5"/>
    </row>
    <row r="857" spans="1:8" ht="12" customHeight="1">
      <c r="A857" s="16" t="s">
        <v>3080</v>
      </c>
      <c r="B857" s="11" t="s">
        <v>2206</v>
      </c>
      <c r="C857" s="82">
        <v>21</v>
      </c>
      <c r="D857" s="43"/>
      <c r="E857" s="29" cm="1">
        <f t="array" ref="E857">_xlfn.IFS(C857=":",":",C857&gt;=N$19,1,C857&gt;=N$20,2,C857&gt;=N$21,3,C857&gt;=N$22,4,C857&gt;=N$23,5,C857&gt;=N$24,6,C857&lt;N$24,7)</f>
        <v>6</v>
      </c>
      <c r="F857" s="30"/>
      <c r="G857" s="5"/>
      <c r="H857" s="5"/>
    </row>
    <row r="858" spans="1:8" ht="12" customHeight="1">
      <c r="A858" s="10" t="s">
        <v>2209</v>
      </c>
      <c r="B858" s="112" t="s">
        <v>2210</v>
      </c>
      <c r="C858" s="82">
        <v>278</v>
      </c>
      <c r="D858" s="43"/>
      <c r="E858" s="29" cm="1">
        <f t="array" ref="E858">_xlfn.IFS(C858=":",":",C858&gt;=N$19,1,C858&gt;=N$20,2,C858&gt;=N$21,3,C858&gt;=N$22,4,C858&gt;=N$23,5,C858&gt;=N$24,6,C858&lt;N$24,7)</f>
        <v>4</v>
      </c>
      <c r="F858" s="30"/>
      <c r="G858" s="5"/>
      <c r="H858" s="5"/>
    </row>
    <row r="859" spans="1:8" ht="12" customHeight="1">
      <c r="A859" s="10" t="s">
        <v>2211</v>
      </c>
      <c r="B859" s="112" t="s">
        <v>2212</v>
      </c>
      <c r="C859" s="82">
        <v>231</v>
      </c>
      <c r="D859" s="43"/>
      <c r="E859" s="29" cm="1">
        <f t="array" ref="E859">_xlfn.IFS(C859=":",":",C859&gt;=N$19,1,C859&gt;=N$20,2,C859&gt;=N$21,3,C859&gt;=N$22,4,C859&gt;=N$23,5,C859&gt;=N$24,6,C859&lt;N$24,7)</f>
        <v>4</v>
      </c>
      <c r="F859" s="30"/>
      <c r="G859" s="5"/>
      <c r="H859" s="5"/>
    </row>
    <row r="860" spans="1:8" ht="12" customHeight="1">
      <c r="A860" s="10" t="s">
        <v>2213</v>
      </c>
      <c r="B860" s="112" t="s">
        <v>2214</v>
      </c>
      <c r="C860" s="82">
        <v>190</v>
      </c>
      <c r="D860" s="43"/>
      <c r="E860" s="29" cm="1">
        <f t="array" ref="E860">_xlfn.IFS(C860=":",":",C860&gt;=N$19,1,C860&gt;=N$20,2,C860&gt;=N$21,3,C860&gt;=N$22,4,C860&gt;=N$23,5,C860&gt;=N$24,6,C860&lt;N$24,7)</f>
        <v>5</v>
      </c>
      <c r="F860" s="30"/>
      <c r="G860" s="5"/>
      <c r="H860" s="5"/>
    </row>
    <row r="861" spans="1:8" ht="12" customHeight="1">
      <c r="A861" s="10" t="s">
        <v>2215</v>
      </c>
      <c r="B861" s="112" t="s">
        <v>2898</v>
      </c>
      <c r="C861" s="82">
        <v>480</v>
      </c>
      <c r="D861" s="43"/>
      <c r="E861" s="29" cm="1">
        <f t="array" ref="E861">_xlfn.IFS(C861=":",":",C861&gt;=N$19,1,C861&gt;=N$20,2,C861&gt;=N$21,3,C861&gt;=N$22,4,C861&gt;=N$23,5,C861&gt;=N$24,6,C861&lt;N$24,7)</f>
        <v>4</v>
      </c>
      <c r="F861" s="30"/>
      <c r="G861" s="5"/>
      <c r="H861" s="5"/>
    </row>
    <row r="862" spans="1:8" ht="12" customHeight="1">
      <c r="A862" s="10" t="s">
        <v>2216</v>
      </c>
      <c r="B862" s="112" t="s">
        <v>2899</v>
      </c>
      <c r="C862" s="82">
        <v>21</v>
      </c>
      <c r="D862" s="43"/>
      <c r="E862" s="29" cm="1">
        <f t="array" ref="E862">_xlfn.IFS(C862=":",":",C862&gt;=N$19,1,C862&gt;=N$20,2,C862&gt;=N$21,3,C862&gt;=N$22,4,C862&gt;=N$23,5,C862&gt;=N$24,6,C862&lt;N$24,7)</f>
        <v>6</v>
      </c>
      <c r="F862" s="30"/>
      <c r="G862" s="5"/>
      <c r="H862" s="5"/>
    </row>
    <row r="863" spans="1:8" ht="12" customHeight="1">
      <c r="A863" s="10" t="s">
        <v>2217</v>
      </c>
      <c r="B863" s="112" t="s">
        <v>2900</v>
      </c>
      <c r="C863" s="82">
        <v>21</v>
      </c>
      <c r="D863" s="43"/>
      <c r="E863" s="29" cm="1">
        <f t="array" ref="E863">_xlfn.IFS(C863=":",":",C863&gt;=N$19,1,C863&gt;=N$20,2,C863&gt;=N$21,3,C863&gt;=N$22,4,C863&gt;=N$23,5,C863&gt;=N$24,6,C863&lt;N$24,7)</f>
        <v>6</v>
      </c>
      <c r="F863" s="30"/>
      <c r="G863" s="5"/>
      <c r="H863" s="5"/>
    </row>
    <row r="864" spans="1:8" ht="12" customHeight="1">
      <c r="A864" s="10" t="s">
        <v>2218</v>
      </c>
      <c r="B864" s="112" t="s">
        <v>2901</v>
      </c>
      <c r="C864" s="82">
        <v>36</v>
      </c>
      <c r="D864" s="43"/>
      <c r="E864" s="29" cm="1">
        <f t="array" ref="E864">_xlfn.IFS(C864=":",":",C864&gt;=N$19,1,C864&gt;=N$20,2,C864&gt;=N$21,3,C864&gt;=N$22,4,C864&gt;=N$23,5,C864&gt;=N$24,6,C864&lt;N$24,7)</f>
        <v>6</v>
      </c>
      <c r="F864" s="30"/>
      <c r="G864" s="5"/>
      <c r="H864" s="5"/>
    </row>
    <row r="865" spans="1:8" ht="12" customHeight="1">
      <c r="A865" s="10" t="s">
        <v>2219</v>
      </c>
      <c r="B865" s="112" t="s">
        <v>2902</v>
      </c>
      <c r="C865" s="82">
        <v>10</v>
      </c>
      <c r="D865" s="43"/>
      <c r="E865" s="29" cm="1">
        <f t="array" ref="E865">_xlfn.IFS(C865=":",":",C865&gt;=N$19,1,C865&gt;=N$20,2,C865&gt;=N$21,3,C865&gt;=N$22,4,C865&gt;=N$23,5,C865&gt;=N$24,6,C865&lt;N$24,7)</f>
        <v>6</v>
      </c>
      <c r="F865" s="30"/>
      <c r="G865" s="5"/>
      <c r="H865" s="5"/>
    </row>
    <row r="866" spans="1:8" ht="12" customHeight="1">
      <c r="A866" s="10" t="s">
        <v>2220</v>
      </c>
      <c r="B866" s="112" t="s">
        <v>2903</v>
      </c>
      <c r="C866" s="82">
        <v>33</v>
      </c>
      <c r="D866" s="43"/>
      <c r="E866" s="29" cm="1">
        <f t="array" ref="E866">_xlfn.IFS(C866=":",":",C866&gt;=N$19,1,C866&gt;=N$20,2,C866&gt;=N$21,3,C866&gt;=N$22,4,C866&gt;=N$23,5,C866&gt;=N$24,6,C866&lt;N$24,7)</f>
        <v>6</v>
      </c>
      <c r="F866" s="30"/>
      <c r="G866" s="5"/>
      <c r="H866" s="5"/>
    </row>
    <row r="867" spans="1:8" ht="12" customHeight="1">
      <c r="A867" s="10" t="s">
        <v>2221</v>
      </c>
      <c r="B867" s="112" t="s">
        <v>2222</v>
      </c>
      <c r="C867" s="82">
        <v>55</v>
      </c>
      <c r="D867" s="43"/>
      <c r="E867" s="29" cm="1">
        <f t="array" ref="E867">_xlfn.IFS(C867=":",":",C867&gt;=N$19,1,C867&gt;=N$20,2,C867&gt;=N$21,3,C867&gt;=N$22,4,C867&gt;=N$23,5,C867&gt;=N$24,6,C867&lt;N$24,7)</f>
        <v>6</v>
      </c>
      <c r="F867" s="30"/>
      <c r="G867" s="5"/>
      <c r="H867" s="5"/>
    </row>
    <row r="868" spans="1:8" ht="12" customHeight="1">
      <c r="A868" s="10" t="s">
        <v>2223</v>
      </c>
      <c r="B868" s="112" t="s">
        <v>309</v>
      </c>
      <c r="C868" s="82">
        <v>1425</v>
      </c>
      <c r="D868" s="43"/>
      <c r="E868" s="29" cm="1">
        <f t="array" ref="E868">_xlfn.IFS(C868=":",":",C868&gt;=N$19,1,C868&gt;=N$20,2,C868&gt;=N$21,3,C868&gt;=N$22,4,C868&gt;=N$23,5,C868&gt;=N$24,6,C868&lt;N$24,7)</f>
        <v>3</v>
      </c>
      <c r="F868" s="30"/>
      <c r="G868" s="5"/>
      <c r="H868" s="5"/>
    </row>
    <row r="869" spans="1:8" ht="12" customHeight="1">
      <c r="A869" s="10" t="s">
        <v>2224</v>
      </c>
      <c r="B869" s="112" t="s">
        <v>26</v>
      </c>
      <c r="C869" s="82">
        <v>21417</v>
      </c>
      <c r="D869" s="43"/>
      <c r="E869" s="29" cm="1">
        <f t="array" ref="E869">_xlfn.IFS(C869=":",":",C869&gt;=N$19,1,C869&gt;=N$20,2,C869&gt;=N$21,3,C869&gt;=N$22,4,C869&gt;=N$23,5,C869&gt;=N$24,6,C869&lt;N$24,7)</f>
        <v>1</v>
      </c>
      <c r="F869" s="30"/>
      <c r="G869" s="5"/>
      <c r="H869" s="5"/>
    </row>
    <row r="870" spans="1:8" ht="12" customHeight="1">
      <c r="A870" s="10" t="s">
        <v>2225</v>
      </c>
      <c r="B870" s="112" t="s">
        <v>313</v>
      </c>
      <c r="C870" s="82">
        <v>224</v>
      </c>
      <c r="D870" s="43"/>
      <c r="E870" s="29" cm="1">
        <f t="array" ref="E870">_xlfn.IFS(C870=":",":",C870&gt;=N$19,1,C870&gt;=N$20,2,C870&gt;=N$21,3,C870&gt;=N$22,4,C870&gt;=N$23,5,C870&gt;=N$24,6,C870&lt;N$24,7)</f>
        <v>4</v>
      </c>
      <c r="F870" s="30"/>
      <c r="G870" s="5"/>
      <c r="H870" s="5"/>
    </row>
    <row r="871" spans="1:8" ht="12" customHeight="1">
      <c r="A871" s="10" t="s">
        <v>2226</v>
      </c>
      <c r="B871" s="112" t="s">
        <v>2227</v>
      </c>
      <c r="C871" s="82">
        <v>163</v>
      </c>
      <c r="D871" s="43"/>
      <c r="E871" s="29" cm="1">
        <f t="array" ref="E871">_xlfn.IFS(C871=":",":",C871&gt;=N$19,1,C871&gt;=N$20,2,C871&gt;=N$21,3,C871&gt;=N$22,4,C871&gt;=N$23,5,C871&gt;=N$24,6,C871&lt;N$24,7)</f>
        <v>5</v>
      </c>
      <c r="F871" s="30"/>
      <c r="G871" s="5"/>
      <c r="H871" s="5"/>
    </row>
    <row r="872" spans="1:8" ht="12" customHeight="1">
      <c r="A872" s="10" t="s">
        <v>2228</v>
      </c>
      <c r="B872" s="112" t="s">
        <v>2229</v>
      </c>
      <c r="C872" s="82">
        <v>268</v>
      </c>
      <c r="D872" s="43"/>
      <c r="E872" s="29" cm="1">
        <f t="array" ref="E872">_xlfn.IFS(C872=":",":",C872&gt;=N$19,1,C872&gt;=N$20,2,C872&gt;=N$21,3,C872&gt;=N$22,4,C872&gt;=N$23,5,C872&gt;=N$24,6,C872&lt;N$24,7)</f>
        <v>4</v>
      </c>
      <c r="F872" s="30"/>
      <c r="G872" s="5"/>
      <c r="H872" s="5"/>
    </row>
    <row r="873" spans="1:8" ht="12" customHeight="1">
      <c r="A873" s="10" t="s">
        <v>2230</v>
      </c>
      <c r="B873" s="112" t="s">
        <v>2231</v>
      </c>
      <c r="C873" s="82">
        <v>641</v>
      </c>
      <c r="D873" s="43"/>
      <c r="E873" s="29" cm="1">
        <f t="array" ref="E873">_xlfn.IFS(C873=":",":",C873&gt;=N$19,1,C873&gt;=N$20,2,C873&gt;=N$21,3,C873&gt;=N$22,4,C873&gt;=N$23,5,C873&gt;=N$24,6,C873&lt;N$24,7)</f>
        <v>3</v>
      </c>
      <c r="F873" s="30"/>
      <c r="G873" s="5"/>
      <c r="H873" s="5"/>
    </row>
    <row r="874" spans="1:8" ht="12" customHeight="1">
      <c r="A874" s="10" t="s">
        <v>2232</v>
      </c>
      <c r="B874" s="112" t="s">
        <v>2904</v>
      </c>
      <c r="C874" s="82">
        <v>315</v>
      </c>
      <c r="D874" s="43"/>
      <c r="E874" s="29" cm="1">
        <f t="array" ref="E874">_xlfn.IFS(C874=":",":",C874&gt;=N$19,1,C874&gt;=N$20,2,C874&gt;=N$21,3,C874&gt;=N$22,4,C874&gt;=N$23,5,C874&gt;=N$24,6,C874&lt;N$24,7)</f>
        <v>4</v>
      </c>
      <c r="F874" s="30"/>
      <c r="G874" s="5"/>
      <c r="H874" s="5"/>
    </row>
    <row r="875" spans="1:8" ht="12" customHeight="1">
      <c r="A875" s="10" t="s">
        <v>2233</v>
      </c>
      <c r="B875" s="112" t="s">
        <v>2234</v>
      </c>
      <c r="C875" s="82">
        <v>465</v>
      </c>
      <c r="D875" s="43"/>
      <c r="E875" s="29" cm="1">
        <f t="array" ref="E875">_xlfn.IFS(C875=":",":",C875&gt;=N$19,1,C875&gt;=N$20,2,C875&gt;=N$21,3,C875&gt;=N$22,4,C875&gt;=N$23,5,C875&gt;=N$24,6,C875&lt;N$24,7)</f>
        <v>4</v>
      </c>
      <c r="F875" s="30"/>
      <c r="G875" s="5"/>
      <c r="H875" s="5"/>
    </row>
    <row r="876" spans="1:8" ht="12" customHeight="1">
      <c r="A876" s="10" t="s">
        <v>2235</v>
      </c>
      <c r="B876" s="112" t="s">
        <v>2236</v>
      </c>
      <c r="C876" s="82">
        <v>720</v>
      </c>
      <c r="D876" s="43"/>
      <c r="E876" s="29" cm="1">
        <f t="array" ref="E876">_xlfn.IFS(C876=":",":",C876&gt;=N$19,1,C876&gt;=N$20,2,C876&gt;=N$21,3,C876&gt;=N$22,4,C876&gt;=N$23,5,C876&gt;=N$24,6,C876&lt;N$24,7)</f>
        <v>3</v>
      </c>
      <c r="F876" s="30"/>
      <c r="G876" s="5"/>
      <c r="H876" s="5"/>
    </row>
    <row r="877" spans="1:8" ht="12" customHeight="1">
      <c r="A877" s="10" t="s">
        <v>2237</v>
      </c>
      <c r="B877" s="112" t="s">
        <v>2238</v>
      </c>
      <c r="C877" s="82">
        <v>150</v>
      </c>
      <c r="D877" s="43"/>
      <c r="E877" s="29" cm="1">
        <f t="array" ref="E877">_xlfn.IFS(C877=":",":",C877&gt;=N$19,1,C877&gt;=N$20,2,C877&gt;=N$21,3,C877&gt;=N$22,4,C877&gt;=N$23,5,C877&gt;=N$24,6,C877&lt;N$24,7)</f>
        <v>5</v>
      </c>
      <c r="F877" s="30"/>
      <c r="G877" s="5"/>
      <c r="H877" s="5"/>
    </row>
    <row r="878" spans="1:8" ht="12" customHeight="1">
      <c r="A878" s="10" t="s">
        <v>2239</v>
      </c>
      <c r="B878" s="112" t="s">
        <v>2240</v>
      </c>
      <c r="C878" s="82">
        <v>338</v>
      </c>
      <c r="D878" s="43"/>
      <c r="E878" s="29" cm="1">
        <f t="array" ref="E878">_xlfn.IFS(C878=":",":",C878&gt;=N$19,1,C878&gt;=N$20,2,C878&gt;=N$21,3,C878&gt;=N$22,4,C878&gt;=N$23,5,C878&gt;=N$24,6,C878&lt;N$24,7)</f>
        <v>4</v>
      </c>
      <c r="F878" s="30"/>
      <c r="G878" s="5"/>
      <c r="H878" s="5"/>
    </row>
    <row r="879" spans="1:8" ht="12" customHeight="1">
      <c r="A879" s="10" t="s">
        <v>2241</v>
      </c>
      <c r="B879" s="112" t="s">
        <v>2242</v>
      </c>
      <c r="C879" s="82">
        <v>45</v>
      </c>
      <c r="D879" s="43"/>
      <c r="E879" s="29" cm="1">
        <f t="array" ref="E879">_xlfn.IFS(C879=":",":",C879&gt;=N$19,1,C879&gt;=N$20,2,C879&gt;=N$21,3,C879&gt;=N$22,4,C879&gt;=N$23,5,C879&gt;=N$24,6,C879&lt;N$24,7)</f>
        <v>6</v>
      </c>
      <c r="F879" s="30"/>
      <c r="G879" s="5"/>
      <c r="H879" s="5"/>
    </row>
    <row r="880" spans="1:8" ht="12" customHeight="1">
      <c r="A880" s="10" t="s">
        <v>2243</v>
      </c>
      <c r="B880" s="112" t="s">
        <v>2244</v>
      </c>
      <c r="C880" s="82">
        <v>157</v>
      </c>
      <c r="D880" s="43"/>
      <c r="E880" s="29" cm="1">
        <f t="array" ref="E880">_xlfn.IFS(C880=":",":",C880&gt;=N$19,1,C880&gt;=N$20,2,C880&gt;=N$21,3,C880&gt;=N$22,4,C880&gt;=N$23,5,C880&gt;=N$24,6,C880&lt;N$24,7)</f>
        <v>5</v>
      </c>
      <c r="F880" s="30"/>
      <c r="G880" s="5"/>
      <c r="H880" s="5"/>
    </row>
    <row r="881" spans="1:8" ht="12" customHeight="1">
      <c r="A881" s="10" t="s">
        <v>2245</v>
      </c>
      <c r="B881" s="112" t="s">
        <v>2246</v>
      </c>
      <c r="C881" s="82">
        <v>375</v>
      </c>
      <c r="D881" s="43"/>
      <c r="E881" s="29" cm="1">
        <f t="array" ref="E881">_xlfn.IFS(C881=":",":",C881&gt;=N$19,1,C881&gt;=N$20,2,C881&gt;=N$21,3,C881&gt;=N$22,4,C881&gt;=N$23,5,C881&gt;=N$24,6,C881&lt;N$24,7)</f>
        <v>4</v>
      </c>
      <c r="F881" s="30"/>
      <c r="G881" s="5"/>
      <c r="H881" s="5"/>
    </row>
    <row r="882" spans="1:8" ht="12" customHeight="1">
      <c r="A882" s="10" t="s">
        <v>2247</v>
      </c>
      <c r="B882" s="112" t="s">
        <v>2248</v>
      </c>
      <c r="C882" s="82">
        <v>59</v>
      </c>
      <c r="D882" s="43"/>
      <c r="E882" s="29" cm="1">
        <f t="array" ref="E882">_xlfn.IFS(C882=":",":",C882&gt;=N$19,1,C882&gt;=N$20,2,C882&gt;=N$21,3,C882&gt;=N$22,4,C882&gt;=N$23,5,C882&gt;=N$24,6,C882&lt;N$24,7)</f>
        <v>6</v>
      </c>
      <c r="F882" s="30"/>
      <c r="G882" s="5"/>
      <c r="H882" s="5"/>
    </row>
    <row r="883" spans="1:8" ht="12" customHeight="1">
      <c r="A883" s="10" t="s">
        <v>2249</v>
      </c>
      <c r="B883" s="112" t="s">
        <v>2250</v>
      </c>
      <c r="C883" s="82">
        <v>243</v>
      </c>
      <c r="D883" s="43"/>
      <c r="E883" s="29" cm="1">
        <f t="array" ref="E883">_xlfn.IFS(C883=":",":",C883&gt;=N$19,1,C883&gt;=N$20,2,C883&gt;=N$21,3,C883&gt;=N$22,4,C883&gt;=N$23,5,C883&gt;=N$24,6,C883&lt;N$24,7)</f>
        <v>4</v>
      </c>
      <c r="F883" s="30"/>
      <c r="G883" s="5"/>
      <c r="H883" s="5"/>
    </row>
    <row r="884" spans="1:8" ht="12" customHeight="1">
      <c r="A884" s="10" t="s">
        <v>2251</v>
      </c>
      <c r="B884" s="112" t="s">
        <v>2252</v>
      </c>
      <c r="C884" s="82">
        <v>100</v>
      </c>
      <c r="D884" s="43"/>
      <c r="E884" s="29" cm="1">
        <f t="array" ref="E884">_xlfn.IFS(C884=":",":",C884&gt;=N$19,1,C884&gt;=N$20,2,C884&gt;=N$21,3,C884&gt;=N$22,4,C884&gt;=N$23,5,C884&gt;=N$24,6,C884&lt;N$24,7)</f>
        <v>5</v>
      </c>
      <c r="F884" s="30"/>
      <c r="G884" s="5"/>
      <c r="H884" s="5"/>
    </row>
    <row r="885" spans="1:8" ht="12" customHeight="1">
      <c r="A885" s="10" t="s">
        <v>2253</v>
      </c>
      <c r="B885" s="112" t="s">
        <v>2254</v>
      </c>
      <c r="C885" s="82">
        <v>77</v>
      </c>
      <c r="D885" s="43"/>
      <c r="E885" s="29" cm="1">
        <f t="array" ref="E885">_xlfn.IFS(C885=":",":",C885&gt;=N$19,1,C885&gt;=N$20,2,C885&gt;=N$21,3,C885&gt;=N$22,4,C885&gt;=N$23,5,C885&gt;=N$24,6,C885&lt;N$24,7)</f>
        <v>5</v>
      </c>
      <c r="F885" s="30"/>
      <c r="G885" s="5"/>
      <c r="H885" s="5"/>
    </row>
    <row r="886" spans="1:8" ht="12" customHeight="1">
      <c r="A886" s="10" t="s">
        <v>2255</v>
      </c>
      <c r="B886" s="112" t="s">
        <v>2256</v>
      </c>
      <c r="C886" s="82">
        <v>77</v>
      </c>
      <c r="D886" s="43"/>
      <c r="E886" s="29" cm="1">
        <f t="array" ref="E886">_xlfn.IFS(C886=":",":",C886&gt;=N$19,1,C886&gt;=N$20,2,C886&gt;=N$21,3,C886&gt;=N$22,4,C886&gt;=N$23,5,C886&gt;=N$24,6,C886&lt;N$24,7)</f>
        <v>5</v>
      </c>
      <c r="F886" s="30"/>
      <c r="G886" s="5"/>
      <c r="H886" s="5"/>
    </row>
    <row r="887" spans="1:8" ht="12" customHeight="1">
      <c r="A887" s="10" t="s">
        <v>2257</v>
      </c>
      <c r="B887" s="112" t="s">
        <v>2258</v>
      </c>
      <c r="C887" s="82">
        <v>128</v>
      </c>
      <c r="D887" s="43"/>
      <c r="E887" s="29" cm="1">
        <f t="array" ref="E887">_xlfn.IFS(C887=":",":",C887&gt;=N$19,1,C887&gt;=N$20,2,C887&gt;=N$21,3,C887&gt;=N$22,4,C887&gt;=N$23,5,C887&gt;=N$24,6,C887&lt;N$24,7)</f>
        <v>5</v>
      </c>
      <c r="F887" s="30"/>
      <c r="G887" s="5"/>
      <c r="H887" s="5"/>
    </row>
    <row r="888" spans="1:8" ht="12" customHeight="1">
      <c r="A888" s="16" t="s">
        <v>2259</v>
      </c>
      <c r="B888" s="11" t="s">
        <v>3024</v>
      </c>
      <c r="C888" s="82">
        <v>184</v>
      </c>
      <c r="D888" s="43"/>
      <c r="E888" s="29" cm="1">
        <f t="array" ref="E888">_xlfn.IFS(C888=":",":",C888&gt;=N$19,1,C888&gt;=N$20,2,C888&gt;=N$21,3,C888&gt;=N$22,4,C888&gt;=N$23,5,C888&gt;=N$24,6,C888&lt;N$24,7)</f>
        <v>5</v>
      </c>
      <c r="F888" s="30"/>
      <c r="G888" s="5"/>
      <c r="H888" s="5"/>
    </row>
    <row r="889" spans="1:8" ht="12" customHeight="1">
      <c r="A889" s="10" t="s">
        <v>2260</v>
      </c>
      <c r="B889" s="112" t="s">
        <v>326</v>
      </c>
      <c r="C889" s="82">
        <v>44826</v>
      </c>
      <c r="D889" s="43"/>
      <c r="E889" s="29" cm="1">
        <f t="array" ref="E889">_xlfn.IFS(C889=":",":",C889&gt;=N$19,1,C889&gt;=N$20,2,C889&gt;=N$21,3,C889&gt;=N$22,4,C889&gt;=N$23,5,C889&gt;=N$24,6,C889&lt;N$24,7)</f>
        <v>1</v>
      </c>
      <c r="F889" s="30"/>
      <c r="G889" s="5"/>
      <c r="H889" s="5"/>
    </row>
    <row r="890" spans="1:8" ht="12" customHeight="1">
      <c r="A890" s="10" t="s">
        <v>2261</v>
      </c>
      <c r="B890" s="112" t="s">
        <v>2905</v>
      </c>
      <c r="C890" s="82">
        <v>4968</v>
      </c>
      <c r="D890" s="43"/>
      <c r="E890" s="29" cm="1">
        <f t="array" ref="E890">_xlfn.IFS(C890=":",":",C890&gt;=N$19,1,C890&gt;=N$20,2,C890&gt;=N$21,3,C890&gt;=N$22,4,C890&gt;=N$23,5,C890&gt;=N$24,6,C890&lt;N$24,7)</f>
        <v>2</v>
      </c>
      <c r="F890" s="30"/>
      <c r="G890" s="5"/>
      <c r="H890" s="5"/>
    </row>
    <row r="891" spans="1:8" ht="12" customHeight="1">
      <c r="A891" s="10" t="s">
        <v>2263</v>
      </c>
      <c r="B891" s="112" t="s">
        <v>2264</v>
      </c>
      <c r="C891" s="82">
        <v>454</v>
      </c>
      <c r="D891" s="43"/>
      <c r="E891" s="29" cm="1">
        <f t="array" ref="E891">_xlfn.IFS(C891=":",":",C891&gt;=N$19,1,C891&gt;=N$20,2,C891&gt;=N$21,3,C891&gt;=N$22,4,C891&gt;=N$23,5,C891&gt;=N$24,6,C891&lt;N$24,7)</f>
        <v>4</v>
      </c>
      <c r="F891" s="30"/>
      <c r="G891" s="5"/>
      <c r="H891" s="5"/>
    </row>
    <row r="892" spans="1:8" ht="12" customHeight="1">
      <c r="A892" s="16" t="s">
        <v>3081</v>
      </c>
      <c r="B892" s="11" t="s">
        <v>2262</v>
      </c>
      <c r="C892" s="82">
        <v>758</v>
      </c>
      <c r="D892" s="43"/>
      <c r="E892" s="29" cm="1">
        <f t="array" ref="E892">_xlfn.IFS(C892=":",":",C892&gt;=N$19,1,C892&gt;=N$20,2,C892&gt;=N$21,3,C892&gt;=N$22,4,C892&gt;=N$23,5,C892&gt;=N$24,6,C892&lt;N$24,7)</f>
        <v>3</v>
      </c>
      <c r="F892" s="30"/>
      <c r="G892" s="5"/>
      <c r="H892" s="5"/>
    </row>
    <row r="893" spans="1:8" ht="12" customHeight="1">
      <c r="A893" s="16" t="s">
        <v>3082</v>
      </c>
      <c r="B893" s="11" t="s">
        <v>2265</v>
      </c>
      <c r="C893" s="82">
        <v>1027</v>
      </c>
      <c r="D893" s="43"/>
      <c r="E893" s="29" cm="1">
        <f t="array" ref="E893">_xlfn.IFS(C893=":",":",C893&gt;=N$19,1,C893&gt;=N$20,2,C893&gt;=N$21,3,C893&gt;=N$22,4,C893&gt;=N$23,5,C893&gt;=N$24,6,C893&lt;N$24,7)</f>
        <v>3</v>
      </c>
      <c r="F893" s="30"/>
      <c r="G893" s="5"/>
      <c r="H893" s="5"/>
    </row>
    <row r="894" spans="1:8" ht="12" customHeight="1">
      <c r="A894" s="10" t="s">
        <v>2268</v>
      </c>
      <c r="B894" s="112" t="s">
        <v>2269</v>
      </c>
      <c r="C894" s="82">
        <v>933</v>
      </c>
      <c r="D894" s="43"/>
      <c r="E894" s="29" cm="1">
        <f t="array" ref="E894">_xlfn.IFS(C894=":",":",C894&gt;=N$19,1,C894&gt;=N$20,2,C894&gt;=N$21,3,C894&gt;=N$22,4,C894&gt;=N$23,5,C894&gt;=N$24,6,C894&lt;N$24,7)</f>
        <v>3</v>
      </c>
      <c r="F894" s="30"/>
      <c r="G894" s="5"/>
      <c r="H894" s="5"/>
    </row>
    <row r="895" spans="1:8" ht="12" customHeight="1">
      <c r="A895" s="16" t="s">
        <v>3083</v>
      </c>
      <c r="B895" s="11" t="s">
        <v>2266</v>
      </c>
      <c r="C895" s="82">
        <v>2874</v>
      </c>
      <c r="D895" s="43"/>
      <c r="E895" s="29" cm="1">
        <f t="array" ref="E895">_xlfn.IFS(C895=":",":",C895&gt;=N$19,1,C895&gt;=N$20,2,C895&gt;=N$21,3,C895&gt;=N$22,4,C895&gt;=N$23,5,C895&gt;=N$24,6,C895&lt;N$24,7)</f>
        <v>2</v>
      </c>
      <c r="F895" s="30"/>
      <c r="G895" s="5"/>
      <c r="H895" s="5"/>
    </row>
    <row r="896" spans="1:8" ht="12" customHeight="1">
      <c r="A896" s="16" t="s">
        <v>3084</v>
      </c>
      <c r="B896" s="11" t="s">
        <v>2267</v>
      </c>
      <c r="C896" s="82">
        <v>2272</v>
      </c>
      <c r="D896" s="43"/>
      <c r="E896" s="29" cm="1">
        <f t="array" ref="E896">_xlfn.IFS(C896=":",":",C896&gt;=N$19,1,C896&gt;=N$20,2,C896&gt;=N$21,3,C896&gt;=N$22,4,C896&gt;=N$23,5,C896&gt;=N$24,6,C896&lt;N$24,7)</f>
        <v>2</v>
      </c>
      <c r="F896" s="30"/>
      <c r="G896" s="5"/>
      <c r="H896" s="5"/>
    </row>
    <row r="897" spans="1:8" ht="12" customHeight="1">
      <c r="A897" s="10" t="s">
        <v>2270</v>
      </c>
      <c r="B897" s="112" t="s">
        <v>2271</v>
      </c>
      <c r="C897" s="82">
        <v>3275</v>
      </c>
      <c r="D897" s="43"/>
      <c r="E897" s="29" cm="1">
        <f t="array" ref="E897">_xlfn.IFS(C897=":",":",C897&gt;=N$19,1,C897&gt;=N$20,2,C897&gt;=N$21,3,C897&gt;=N$22,4,C897&gt;=N$23,5,C897&gt;=N$24,6,C897&lt;N$24,7)</f>
        <v>2</v>
      </c>
      <c r="F897" s="30"/>
      <c r="G897" s="5"/>
      <c r="H897" s="5"/>
    </row>
    <row r="898" spans="1:8" ht="12" customHeight="1">
      <c r="A898" s="10" t="s">
        <v>2272</v>
      </c>
      <c r="B898" s="112" t="s">
        <v>2273</v>
      </c>
      <c r="C898" s="82">
        <v>3407</v>
      </c>
      <c r="D898" s="43"/>
      <c r="E898" s="29" cm="1">
        <f t="array" ref="E898">_xlfn.IFS(C898=":",":",C898&gt;=N$19,1,C898&gt;=N$20,2,C898&gt;=N$21,3,C898&gt;=N$22,4,C898&gt;=N$23,5,C898&gt;=N$24,6,C898&lt;N$24,7)</f>
        <v>2</v>
      </c>
      <c r="F898" s="30"/>
      <c r="G898" s="5"/>
      <c r="H898" s="5"/>
    </row>
    <row r="899" spans="1:8" ht="12" customHeight="1">
      <c r="A899" s="10" t="s">
        <v>2274</v>
      </c>
      <c r="B899" s="112" t="s">
        <v>2275</v>
      </c>
      <c r="C899" s="82">
        <v>1566</v>
      </c>
      <c r="D899" s="43"/>
      <c r="E899" s="29" cm="1">
        <f t="array" ref="E899">_xlfn.IFS(C899=":",":",C899&gt;=N$19,1,C899&gt;=N$20,2,C899&gt;=N$21,3,C899&gt;=N$22,4,C899&gt;=N$23,5,C899&gt;=N$24,6,C899&lt;N$24,7)</f>
        <v>2</v>
      </c>
      <c r="F899" s="30"/>
      <c r="G899" s="5"/>
      <c r="H899" s="5"/>
    </row>
    <row r="900" spans="1:8" ht="12" customHeight="1">
      <c r="A900" s="10" t="s">
        <v>2276</v>
      </c>
      <c r="B900" s="112" t="s">
        <v>2277</v>
      </c>
      <c r="C900" s="82">
        <v>2745</v>
      </c>
      <c r="D900" s="43"/>
      <c r="E900" s="29" cm="1">
        <f t="array" ref="E900">_xlfn.IFS(C900=":",":",C900&gt;=N$19,1,C900&gt;=N$20,2,C900&gt;=N$21,3,C900&gt;=N$22,4,C900&gt;=N$23,5,C900&gt;=N$24,6,C900&lt;N$24,7)</f>
        <v>2</v>
      </c>
      <c r="F900" s="30"/>
      <c r="G900" s="5"/>
      <c r="H900" s="5"/>
    </row>
    <row r="901" spans="1:8" ht="12" customHeight="1">
      <c r="A901" s="10" t="s">
        <v>2278</v>
      </c>
      <c r="B901" s="112" t="s">
        <v>2279</v>
      </c>
      <c r="C901" s="82">
        <v>1074</v>
      </c>
      <c r="D901" s="43"/>
      <c r="E901" s="29" cm="1">
        <f t="array" ref="E901">_xlfn.IFS(C901=":",":",C901&gt;=N$19,1,C901&gt;=N$20,2,C901&gt;=N$21,3,C901&gt;=N$22,4,C901&gt;=N$23,5,C901&gt;=N$24,6,C901&lt;N$24,7)</f>
        <v>3</v>
      </c>
      <c r="F901" s="30"/>
      <c r="G901" s="5"/>
      <c r="H901" s="5"/>
    </row>
    <row r="902" spans="1:8" ht="12" customHeight="1">
      <c r="A902" s="10" t="s">
        <v>2280</v>
      </c>
      <c r="B902" s="112" t="s">
        <v>2281</v>
      </c>
      <c r="C902" s="82">
        <v>2653</v>
      </c>
      <c r="D902" s="43"/>
      <c r="E902" s="29" cm="1">
        <f t="array" ref="E902">_xlfn.IFS(C902=":",":",C902&gt;=N$19,1,C902&gt;=N$20,2,C902&gt;=N$21,3,C902&gt;=N$22,4,C902&gt;=N$23,5,C902&gt;=N$24,6,C902&lt;N$24,7)</f>
        <v>2</v>
      </c>
      <c r="F902" s="30"/>
      <c r="G902" s="5"/>
      <c r="H902" s="5"/>
    </row>
    <row r="903" spans="1:8" ht="12" customHeight="1">
      <c r="A903" s="10" t="s">
        <v>2282</v>
      </c>
      <c r="B903" s="112" t="s">
        <v>2283</v>
      </c>
      <c r="C903" s="82">
        <v>4270</v>
      </c>
      <c r="D903" s="43"/>
      <c r="E903" s="29" cm="1">
        <f t="array" ref="E903">_xlfn.IFS(C903=":",":",C903&gt;=N$19,1,C903&gt;=N$20,2,C903&gt;=N$21,3,C903&gt;=N$22,4,C903&gt;=N$23,5,C903&gt;=N$24,6,C903&lt;N$24,7)</f>
        <v>2</v>
      </c>
      <c r="F903" s="30"/>
      <c r="G903" s="5"/>
      <c r="H903" s="5"/>
    </row>
    <row r="904" spans="1:8" ht="12" customHeight="1">
      <c r="A904" s="10" t="s">
        <v>2284</v>
      </c>
      <c r="B904" s="112" t="s">
        <v>2285</v>
      </c>
      <c r="C904" s="82">
        <v>1040</v>
      </c>
      <c r="D904" s="43"/>
      <c r="E904" s="29" cm="1">
        <f t="array" ref="E904">_xlfn.IFS(C904=":",":",C904&gt;=N$19,1,C904&gt;=N$20,2,C904&gt;=N$21,3,C904&gt;=N$22,4,C904&gt;=N$23,5,C904&gt;=N$24,6,C904&lt;N$24,7)</f>
        <v>3</v>
      </c>
      <c r="F904" s="30"/>
      <c r="G904" s="5"/>
      <c r="H904" s="5"/>
    </row>
    <row r="905" spans="1:8" ht="12" customHeight="1">
      <c r="A905" s="10" t="s">
        <v>2286</v>
      </c>
      <c r="B905" s="112" t="s">
        <v>2287</v>
      </c>
      <c r="C905" s="82">
        <v>2689</v>
      </c>
      <c r="D905" s="43"/>
      <c r="E905" s="29" cm="1">
        <f t="array" ref="E905">_xlfn.IFS(C905=":",":",C905&gt;=N$19,1,C905&gt;=N$20,2,C905&gt;=N$21,3,C905&gt;=N$22,4,C905&gt;=N$23,5,C905&gt;=N$24,6,C905&lt;N$24,7)</f>
        <v>2</v>
      </c>
      <c r="F905" s="30"/>
      <c r="G905" s="5"/>
      <c r="H905" s="5"/>
    </row>
    <row r="906" spans="1:8" ht="12" customHeight="1">
      <c r="A906" s="10" t="s">
        <v>2288</v>
      </c>
      <c r="B906" s="112" t="s">
        <v>2289</v>
      </c>
      <c r="C906" s="82">
        <v>2729</v>
      </c>
      <c r="D906" s="43"/>
      <c r="E906" s="29" cm="1">
        <f t="array" ref="E906">_xlfn.IFS(C906=":",":",C906&gt;=N$19,1,C906&gt;=N$20,2,C906&gt;=N$21,3,C906&gt;=N$22,4,C906&gt;=N$23,5,C906&gt;=N$24,6,C906&lt;N$24,7)</f>
        <v>2</v>
      </c>
      <c r="F906" s="30"/>
      <c r="G906" s="5"/>
      <c r="H906" s="5"/>
    </row>
    <row r="907" spans="1:8" ht="12" customHeight="1">
      <c r="A907" s="10" t="s">
        <v>2290</v>
      </c>
      <c r="B907" s="112" t="s">
        <v>339</v>
      </c>
      <c r="C907" s="82">
        <v>1969</v>
      </c>
      <c r="D907" s="43"/>
      <c r="E907" s="29" cm="1">
        <f t="array" ref="E907">_xlfn.IFS(C907=":",":",C907&gt;=N$19,1,C907&gt;=N$20,2,C907&gt;=N$21,3,C907&gt;=N$22,4,C907&gt;=N$23,5,C907&gt;=N$24,6,C907&lt;N$24,7)</f>
        <v>2</v>
      </c>
      <c r="F907" s="30"/>
      <c r="G907" s="5"/>
      <c r="H907" s="5"/>
    </row>
    <row r="908" spans="1:8" ht="12" customHeight="1">
      <c r="A908" s="10" t="s">
        <v>2291</v>
      </c>
      <c r="B908" s="112" t="s">
        <v>2292</v>
      </c>
      <c r="C908" s="82">
        <v>6546</v>
      </c>
      <c r="D908" s="43"/>
      <c r="E908" s="29" cm="1">
        <f t="array" ref="E908">_xlfn.IFS(C908=":",":",C908&gt;=N$19,1,C908&gt;=N$20,2,C908&gt;=N$21,3,C908&gt;=N$22,4,C908&gt;=N$23,5,C908&gt;=N$24,6,C908&lt;N$24,7)</f>
        <v>1</v>
      </c>
      <c r="F908" s="30"/>
      <c r="G908" s="5"/>
      <c r="H908" s="5"/>
    </row>
    <row r="909" spans="1:8" ht="12" customHeight="1">
      <c r="A909" s="10" t="s">
        <v>2293</v>
      </c>
      <c r="B909" s="112" t="s">
        <v>2294</v>
      </c>
      <c r="C909" s="82">
        <v>5089</v>
      </c>
      <c r="D909" s="43"/>
      <c r="E909" s="29" cm="1">
        <f t="array" ref="E909">_xlfn.IFS(C909=":",":",C909&gt;=N$19,1,C909&gt;=N$20,2,C909&gt;=N$21,3,C909&gt;=N$22,4,C909&gt;=N$23,5,C909&gt;=N$24,6,C909&lt;N$24,7)</f>
        <v>1</v>
      </c>
      <c r="F909" s="30"/>
      <c r="G909" s="5"/>
      <c r="H909" s="5"/>
    </row>
    <row r="910" spans="1:8" ht="12" customHeight="1">
      <c r="A910" s="10" t="s">
        <v>2296</v>
      </c>
      <c r="B910" s="112" t="s">
        <v>2297</v>
      </c>
      <c r="C910" s="82">
        <v>3871</v>
      </c>
      <c r="D910" s="43"/>
      <c r="E910" s="29" cm="1">
        <f t="array" ref="E910">_xlfn.IFS(C910=":",":",C910&gt;=N$19,1,C910&gt;=N$20,2,C910&gt;=N$21,3,C910&gt;=N$22,4,C910&gt;=N$23,5,C910&gt;=N$24,6,C910&lt;N$24,7)</f>
        <v>2</v>
      </c>
      <c r="F910" s="30"/>
      <c r="G910" s="5"/>
      <c r="H910" s="5"/>
    </row>
    <row r="911" spans="1:8" ht="12" customHeight="1">
      <c r="A911" s="10" t="s">
        <v>2298</v>
      </c>
      <c r="B911" s="112" t="s">
        <v>2299</v>
      </c>
      <c r="C911" s="82">
        <v>1787</v>
      </c>
      <c r="D911" s="43"/>
      <c r="E911" s="29" cm="1">
        <f t="array" ref="E911">_xlfn.IFS(C911=":",":",C911&gt;=N$19,1,C911&gt;=N$20,2,C911&gt;=N$21,3,C911&gt;=N$22,4,C911&gt;=N$23,5,C911&gt;=N$24,6,C911&lt;N$24,7)</f>
        <v>2</v>
      </c>
      <c r="F911" s="30"/>
      <c r="G911" s="5"/>
      <c r="H911" s="5"/>
    </row>
    <row r="912" spans="1:8" ht="12" customHeight="1">
      <c r="A912" s="10" t="s">
        <v>2300</v>
      </c>
      <c r="B912" s="112" t="s">
        <v>2301</v>
      </c>
      <c r="C912" s="82">
        <v>6073</v>
      </c>
      <c r="D912" s="43"/>
      <c r="E912" s="29" cm="1">
        <f t="array" ref="E912">_xlfn.IFS(C912=":",":",C912&gt;=N$19,1,C912&gt;=N$20,2,C912&gt;=N$21,3,C912&gt;=N$22,4,C912&gt;=N$23,5,C912&gt;=N$24,6,C912&lt;N$24,7)</f>
        <v>1</v>
      </c>
      <c r="F912" s="30"/>
      <c r="G912" s="5"/>
      <c r="H912" s="5"/>
    </row>
    <row r="913" spans="1:8" ht="12" customHeight="1">
      <c r="A913" s="16" t="s">
        <v>3085</v>
      </c>
      <c r="B913" s="11" t="s">
        <v>2295</v>
      </c>
      <c r="C913" s="82">
        <v>16567</v>
      </c>
      <c r="D913" s="43"/>
      <c r="E913" s="29" cm="1">
        <f t="array" ref="E913">_xlfn.IFS(C913=":",":",C913&gt;=N$19,1,C913&gt;=N$20,2,C913&gt;=N$21,3,C913&gt;=N$22,4,C913&gt;=N$23,5,C913&gt;=N$24,6,C913&lt;N$24,7)</f>
        <v>1</v>
      </c>
      <c r="F913" s="30"/>
      <c r="G913" s="5"/>
      <c r="H913" s="5"/>
    </row>
    <row r="914" spans="1:8" ht="12" customHeight="1">
      <c r="A914" s="16" t="s">
        <v>3086</v>
      </c>
      <c r="B914" s="11" t="s">
        <v>2302</v>
      </c>
      <c r="C914" s="82">
        <v>37049</v>
      </c>
      <c r="D914" s="43"/>
      <c r="E914" s="29" cm="1">
        <f t="array" ref="E914">_xlfn.IFS(C914=":",":",C914&gt;=N$19,1,C914&gt;=N$20,2,C914&gt;=N$21,3,C914&gt;=N$22,4,C914&gt;=N$23,5,C914&gt;=N$24,6,C914&lt;N$24,7)</f>
        <v>1</v>
      </c>
      <c r="F914" s="30"/>
      <c r="G914" s="5"/>
      <c r="H914" s="5"/>
    </row>
    <row r="915" spans="1:8" ht="12" customHeight="1">
      <c r="A915" s="10" t="s">
        <v>2308</v>
      </c>
      <c r="B915" s="112" t="s">
        <v>2309</v>
      </c>
      <c r="C915" s="82">
        <v>5101</v>
      </c>
      <c r="D915" s="43"/>
      <c r="E915" s="29" cm="1">
        <f t="array" ref="E915">_xlfn.IFS(C915=":",":",C915&gt;=N$19,1,C915&gt;=N$20,2,C915&gt;=N$21,3,C915&gt;=N$22,4,C915&gt;=N$23,5,C915&gt;=N$24,6,C915&lt;N$24,7)</f>
        <v>1</v>
      </c>
      <c r="F915" s="30"/>
      <c r="G915" s="5"/>
      <c r="H915" s="5"/>
    </row>
    <row r="916" spans="1:8" ht="12" customHeight="1">
      <c r="A916" s="10" t="s">
        <v>2310</v>
      </c>
      <c r="B916" s="112" t="s">
        <v>2311</v>
      </c>
      <c r="C916" s="82">
        <v>8834</v>
      </c>
      <c r="D916" s="43"/>
      <c r="E916" s="29" cm="1">
        <f t="array" ref="E916">_xlfn.IFS(C916=":",":",C916&gt;=N$19,1,C916&gt;=N$20,2,C916&gt;=N$21,3,C916&gt;=N$22,4,C916&gt;=N$23,5,C916&gt;=N$24,6,C916&lt;N$24,7)</f>
        <v>1</v>
      </c>
      <c r="F916" s="30"/>
      <c r="G916" s="5"/>
      <c r="H916" s="5"/>
    </row>
    <row r="917" spans="1:8" ht="12" customHeight="1">
      <c r="A917" s="16" t="s">
        <v>3087</v>
      </c>
      <c r="B917" s="11" t="s">
        <v>340</v>
      </c>
      <c r="C917" s="82">
        <v>3076</v>
      </c>
      <c r="D917" s="43"/>
      <c r="E917" s="29" cm="1">
        <f t="array" ref="E917">_xlfn.IFS(C917=":",":",C917&gt;=N$19,1,C917&gt;=N$20,2,C917&gt;=N$21,3,C917&gt;=N$22,4,C917&gt;=N$23,5,C917&gt;=N$24,6,C917&lt;N$24,7)</f>
        <v>2</v>
      </c>
      <c r="F917" s="30"/>
      <c r="G917" s="5"/>
      <c r="H917" s="5"/>
    </row>
    <row r="918" spans="1:8" ht="12" customHeight="1">
      <c r="A918" s="16" t="s">
        <v>3088</v>
      </c>
      <c r="B918" s="11" t="s">
        <v>2906</v>
      </c>
      <c r="C918" s="82">
        <v>17748</v>
      </c>
      <c r="D918" s="43"/>
      <c r="E918" s="29" cm="1">
        <f t="array" ref="E918">_xlfn.IFS(C918=":",":",C918&gt;=N$19,1,C918&gt;=N$20,2,C918&gt;=N$21,3,C918&gt;=N$22,4,C918&gt;=N$23,5,C918&gt;=N$24,6,C918&lt;N$24,7)</f>
        <v>1</v>
      </c>
      <c r="F918" s="30"/>
      <c r="G918" s="5"/>
      <c r="H918" s="5"/>
    </row>
    <row r="919" spans="1:8" ht="12" customHeight="1">
      <c r="A919" s="16" t="s">
        <v>3089</v>
      </c>
      <c r="B919" s="11" t="s">
        <v>2303</v>
      </c>
      <c r="C919" s="82">
        <v>5320</v>
      </c>
      <c r="D919" s="43"/>
      <c r="E919" s="29" cm="1">
        <f t="array" ref="E919">_xlfn.IFS(C919=":",":",C919&gt;=N$19,1,C919&gt;=N$20,2,C919&gt;=N$21,3,C919&gt;=N$22,4,C919&gt;=N$23,5,C919&gt;=N$24,6,C919&lt;N$24,7)</f>
        <v>1</v>
      </c>
      <c r="F919" s="30"/>
      <c r="G919" s="5"/>
      <c r="H919" s="5"/>
    </row>
    <row r="920" spans="1:8" ht="12" customHeight="1">
      <c r="A920" s="16" t="s">
        <v>3090</v>
      </c>
      <c r="B920" s="11" t="s">
        <v>2304</v>
      </c>
      <c r="C920" s="82">
        <v>9203</v>
      </c>
      <c r="D920" s="43"/>
      <c r="E920" s="29" cm="1">
        <f t="array" ref="E920">_xlfn.IFS(C920=":",":",C920&gt;=N$19,1,C920&gt;=N$20,2,C920&gt;=N$21,3,C920&gt;=N$22,4,C920&gt;=N$23,5,C920&gt;=N$24,6,C920&lt;N$24,7)</f>
        <v>1</v>
      </c>
      <c r="F920" s="30"/>
      <c r="G920" s="5"/>
      <c r="H920" s="5"/>
    </row>
    <row r="921" spans="1:8" ht="12" customHeight="1">
      <c r="A921" s="16" t="s">
        <v>3091</v>
      </c>
      <c r="B921" s="11" t="s">
        <v>2305</v>
      </c>
      <c r="C921" s="82">
        <v>1636</v>
      </c>
      <c r="D921" s="43"/>
      <c r="E921" s="29" cm="1">
        <f t="array" ref="E921">_xlfn.IFS(C921=":",":",C921&gt;=N$19,1,C921&gt;=N$20,2,C921&gt;=N$21,3,C921&gt;=N$22,4,C921&gt;=N$23,5,C921&gt;=N$24,6,C921&lt;N$24,7)</f>
        <v>2</v>
      </c>
      <c r="F921" s="30"/>
      <c r="G921" s="5"/>
      <c r="H921" s="5"/>
    </row>
    <row r="922" spans="1:8" ht="12" customHeight="1">
      <c r="A922" s="16" t="s">
        <v>3092</v>
      </c>
      <c r="B922" s="11" t="s">
        <v>2306</v>
      </c>
      <c r="C922" s="82">
        <v>1559</v>
      </c>
      <c r="D922" s="43"/>
      <c r="E922" s="29" cm="1">
        <f t="array" ref="E922">_xlfn.IFS(C922=":",":",C922&gt;=N$19,1,C922&gt;=N$20,2,C922&gt;=N$21,3,C922&gt;=N$22,4,C922&gt;=N$23,5,C922&gt;=N$24,6,C922&lt;N$24,7)</f>
        <v>2</v>
      </c>
      <c r="F922" s="30"/>
      <c r="G922" s="5"/>
      <c r="H922" s="5"/>
    </row>
    <row r="923" spans="1:8" ht="12" customHeight="1">
      <c r="A923" s="16" t="s">
        <v>3093</v>
      </c>
      <c r="B923" s="11" t="s">
        <v>2307</v>
      </c>
      <c r="C923" s="82">
        <v>5848</v>
      </c>
      <c r="D923" s="43"/>
      <c r="E923" s="29" cm="1">
        <f t="array" ref="E923">_xlfn.IFS(C923=":",":",C923&gt;=N$19,1,C923&gt;=N$20,2,C923&gt;=N$21,3,C923&gt;=N$22,4,C923&gt;=N$23,5,C923&gt;=N$24,6,C923&lt;N$24,7)</f>
        <v>1</v>
      </c>
      <c r="F923" s="30"/>
      <c r="G923" s="5"/>
      <c r="H923" s="5"/>
    </row>
    <row r="924" spans="1:8" ht="12" customHeight="1">
      <c r="A924" s="10" t="s">
        <v>2312</v>
      </c>
      <c r="B924" s="112" t="s">
        <v>2313</v>
      </c>
      <c r="C924" s="82">
        <v>1870</v>
      </c>
      <c r="D924" s="43"/>
      <c r="E924" s="29" cm="1">
        <f t="array" ref="E924">_xlfn.IFS(C924=":",":",C924&gt;=N$19,1,C924&gt;=N$20,2,C924&gt;=N$21,3,C924&gt;=N$22,4,C924&gt;=N$23,5,C924&gt;=N$24,6,C924&lt;N$24,7)</f>
        <v>2</v>
      </c>
      <c r="F924" s="30"/>
      <c r="G924" s="5"/>
      <c r="H924" s="5"/>
    </row>
    <row r="925" spans="1:8" ht="12" customHeight="1">
      <c r="A925" s="10" t="s">
        <v>2316</v>
      </c>
      <c r="B925" s="112" t="s">
        <v>2317</v>
      </c>
      <c r="C925" s="82">
        <v>4015</v>
      </c>
      <c r="D925" s="43"/>
      <c r="E925" s="29" cm="1">
        <f t="array" ref="E925">_xlfn.IFS(C925=":",":",C925&gt;=N$19,1,C925&gt;=N$20,2,C925&gt;=N$21,3,C925&gt;=N$22,4,C925&gt;=N$23,5,C925&gt;=N$24,6,C925&lt;N$24,7)</f>
        <v>2</v>
      </c>
      <c r="F925" s="30"/>
      <c r="G925" s="5"/>
      <c r="H925" s="5"/>
    </row>
    <row r="926" spans="1:8" ht="12" customHeight="1">
      <c r="A926" s="16" t="s">
        <v>3094</v>
      </c>
      <c r="B926" s="11" t="s">
        <v>2314</v>
      </c>
      <c r="C926" s="82">
        <v>4161</v>
      </c>
      <c r="D926" s="43"/>
      <c r="E926" s="29" cm="1">
        <f t="array" ref="E926">_xlfn.IFS(C926=":",":",C926&gt;=N$19,1,C926&gt;=N$20,2,C926&gt;=N$21,3,C926&gt;=N$22,4,C926&gt;=N$23,5,C926&gt;=N$24,6,C926&lt;N$24,7)</f>
        <v>2</v>
      </c>
      <c r="F926" s="30"/>
      <c r="G926" s="5"/>
      <c r="H926" s="5"/>
    </row>
    <row r="927" spans="1:8" ht="12" customHeight="1">
      <c r="A927" s="16" t="s">
        <v>3095</v>
      </c>
      <c r="B927" s="11" t="s">
        <v>2315</v>
      </c>
      <c r="C927" s="82">
        <v>1388</v>
      </c>
      <c r="D927" s="43"/>
      <c r="E927" s="29" cm="1">
        <f t="array" ref="E927">_xlfn.IFS(C927=":",":",C927&gt;=N$19,1,C927&gt;=N$20,2,C927&gt;=N$21,3,C927&gt;=N$22,4,C927&gt;=N$23,5,C927&gt;=N$24,6,C927&lt;N$24,7)</f>
        <v>3</v>
      </c>
      <c r="F927" s="30"/>
      <c r="G927" s="5"/>
      <c r="H927" s="5"/>
    </row>
    <row r="928" spans="1:8" ht="12" customHeight="1">
      <c r="A928" s="10" t="s">
        <v>2318</v>
      </c>
      <c r="B928" s="112" t="s">
        <v>2319</v>
      </c>
      <c r="C928" s="82">
        <v>6223</v>
      </c>
      <c r="D928" s="43"/>
      <c r="E928" s="29" cm="1">
        <f t="array" ref="E928">_xlfn.IFS(C928=":",":",C928&gt;=N$19,1,C928&gt;=N$20,2,C928&gt;=N$21,3,C928&gt;=N$22,4,C928&gt;=N$23,5,C928&gt;=N$24,6,C928&lt;N$24,7)</f>
        <v>1</v>
      </c>
      <c r="F928" s="30"/>
      <c r="G928" s="5"/>
      <c r="H928" s="5"/>
    </row>
    <row r="929" spans="1:8" ht="12" customHeight="1">
      <c r="A929" s="10" t="s">
        <v>2320</v>
      </c>
      <c r="B929" s="112" t="s">
        <v>2321</v>
      </c>
      <c r="C929" s="82">
        <v>4314</v>
      </c>
      <c r="D929" s="43"/>
      <c r="E929" s="29" cm="1">
        <f t="array" ref="E929">_xlfn.IFS(C929=":",":",C929&gt;=N$19,1,C929&gt;=N$20,2,C929&gt;=N$21,3,C929&gt;=N$22,4,C929&gt;=N$23,5,C929&gt;=N$24,6,C929&lt;N$24,7)</f>
        <v>2</v>
      </c>
      <c r="F929" s="30"/>
      <c r="G929" s="5"/>
      <c r="H929" s="5"/>
    </row>
    <row r="930" spans="1:8" ht="12" customHeight="1">
      <c r="A930" s="10" t="s">
        <v>2322</v>
      </c>
      <c r="B930" s="112" t="s">
        <v>2323</v>
      </c>
      <c r="C930" s="82">
        <v>8845</v>
      </c>
      <c r="D930" s="43"/>
      <c r="E930" s="29" cm="1">
        <f t="array" ref="E930">_xlfn.IFS(C930=":",":",C930&gt;=N$19,1,C930&gt;=N$20,2,C930&gt;=N$21,3,C930&gt;=N$22,4,C930&gt;=N$23,5,C930&gt;=N$24,6,C930&lt;N$24,7)</f>
        <v>1</v>
      </c>
      <c r="F930" s="30"/>
      <c r="G930" s="5"/>
      <c r="H930" s="5"/>
    </row>
    <row r="931" spans="1:8" ht="12" customHeight="1">
      <c r="A931" s="10" t="s">
        <v>2324</v>
      </c>
      <c r="B931" s="112" t="s">
        <v>2325</v>
      </c>
      <c r="C931" s="82">
        <v>459</v>
      </c>
      <c r="D931" s="43"/>
      <c r="E931" s="29" cm="1">
        <f t="array" ref="E931">_xlfn.IFS(C931=":",":",C931&gt;=N$19,1,C931&gt;=N$20,2,C931&gt;=N$21,3,C931&gt;=N$22,4,C931&gt;=N$23,5,C931&gt;=N$24,6,C931&lt;N$24,7)</f>
        <v>4</v>
      </c>
      <c r="F931" s="30"/>
      <c r="G931" s="5"/>
      <c r="H931" s="5"/>
    </row>
    <row r="932" spans="1:8" ht="12" customHeight="1">
      <c r="A932" s="10" t="s">
        <v>2326</v>
      </c>
      <c r="B932" s="112" t="s">
        <v>2327</v>
      </c>
      <c r="C932" s="82">
        <v>1040</v>
      </c>
      <c r="D932" s="43"/>
      <c r="E932" s="29" cm="1">
        <f t="array" ref="E932">_xlfn.IFS(C932=":",":",C932&gt;=N$19,1,C932&gt;=N$20,2,C932&gt;=N$21,3,C932&gt;=N$22,4,C932&gt;=N$23,5,C932&gt;=N$24,6,C932&lt;N$24,7)</f>
        <v>3</v>
      </c>
      <c r="F932" s="30"/>
      <c r="G932" s="5"/>
      <c r="H932" s="5"/>
    </row>
    <row r="933" spans="1:8" ht="12" customHeight="1">
      <c r="A933" s="10" t="s">
        <v>2328</v>
      </c>
      <c r="B933" s="112" t="s">
        <v>2329</v>
      </c>
      <c r="C933" s="82">
        <v>663</v>
      </c>
      <c r="D933" s="43"/>
      <c r="E933" s="29" cm="1">
        <f t="array" ref="E933">_xlfn.IFS(C933=":",":",C933&gt;=N$19,1,C933&gt;=N$20,2,C933&gt;=N$21,3,C933&gt;=N$22,4,C933&gt;=N$23,5,C933&gt;=N$24,6,C933&lt;N$24,7)</f>
        <v>3</v>
      </c>
      <c r="F933" s="30"/>
      <c r="G933" s="5"/>
      <c r="H933" s="5"/>
    </row>
    <row r="934" spans="1:8" ht="12" customHeight="1">
      <c r="A934" s="10" t="s">
        <v>2330</v>
      </c>
      <c r="B934" s="112" t="s">
        <v>2331</v>
      </c>
      <c r="C934" s="82">
        <v>218</v>
      </c>
      <c r="D934" s="43"/>
      <c r="E934" s="29" cm="1">
        <f t="array" ref="E934">_xlfn.IFS(C934=":",":",C934&gt;=N$19,1,C934&gt;=N$20,2,C934&gt;=N$21,3,C934&gt;=N$22,4,C934&gt;=N$23,5,C934&gt;=N$24,6,C934&lt;N$24,7)</f>
        <v>4</v>
      </c>
      <c r="F934" s="30"/>
      <c r="G934" s="5"/>
      <c r="H934" s="5"/>
    </row>
    <row r="935" spans="1:8" ht="12" customHeight="1">
      <c r="A935" s="10" t="s">
        <v>2332</v>
      </c>
      <c r="B935" s="112" t="s">
        <v>2333</v>
      </c>
      <c r="C935" s="82">
        <v>353</v>
      </c>
      <c r="D935" s="43"/>
      <c r="E935" s="29" cm="1">
        <f t="array" ref="E935">_xlfn.IFS(C935=":",":",C935&gt;=N$19,1,C935&gt;=N$20,2,C935&gt;=N$21,3,C935&gt;=N$22,4,C935&gt;=N$23,5,C935&gt;=N$24,6,C935&lt;N$24,7)</f>
        <v>4</v>
      </c>
      <c r="F935" s="30"/>
      <c r="G935" s="5"/>
      <c r="H935" s="5"/>
    </row>
    <row r="936" spans="1:8" ht="12" customHeight="1">
      <c r="A936" s="10" t="s">
        <v>2334</v>
      </c>
      <c r="B936" s="112" t="s">
        <v>2335</v>
      </c>
      <c r="C936" s="82">
        <v>314</v>
      </c>
      <c r="D936" s="43"/>
      <c r="E936" s="29" cm="1">
        <f t="array" ref="E936">_xlfn.IFS(C936=":",":",C936&gt;=N$19,1,C936&gt;=N$20,2,C936&gt;=N$21,3,C936&gt;=N$22,4,C936&gt;=N$23,5,C936&gt;=N$24,6,C936&lt;N$24,7)</f>
        <v>4</v>
      </c>
      <c r="F936" s="30"/>
      <c r="G936" s="5"/>
      <c r="H936" s="5"/>
    </row>
    <row r="937" spans="1:8" ht="12" customHeight="1">
      <c r="A937" s="10" t="s">
        <v>2336</v>
      </c>
      <c r="B937" s="112" t="s">
        <v>2337</v>
      </c>
      <c r="C937" s="82">
        <v>348</v>
      </c>
      <c r="D937" s="43"/>
      <c r="E937" s="29" cm="1">
        <f t="array" ref="E937">_xlfn.IFS(C937=":",":",C937&gt;=N$19,1,C937&gt;=N$20,2,C937&gt;=N$21,3,C937&gt;=N$22,4,C937&gt;=N$23,5,C937&gt;=N$24,6,C937&lt;N$24,7)</f>
        <v>4</v>
      </c>
      <c r="F937" s="30"/>
      <c r="G937" s="5"/>
      <c r="H937" s="5"/>
    </row>
    <row r="938" spans="1:8" ht="12" customHeight="1">
      <c r="A938" s="10" t="s">
        <v>2338</v>
      </c>
      <c r="B938" s="112" t="s">
        <v>2339</v>
      </c>
      <c r="C938" s="82">
        <v>78</v>
      </c>
      <c r="D938" s="43"/>
      <c r="E938" s="29" cm="1">
        <f t="array" ref="E938">_xlfn.IFS(C938=":",":",C938&gt;=N$19,1,C938&gt;=N$20,2,C938&gt;=N$21,3,C938&gt;=N$22,4,C938&gt;=N$23,5,C938&gt;=N$24,6,C938&lt;N$24,7)</f>
        <v>5</v>
      </c>
      <c r="F938" s="30"/>
      <c r="G938" s="5"/>
      <c r="H938" s="5"/>
    </row>
    <row r="939" spans="1:8" ht="12" customHeight="1">
      <c r="A939" s="10" t="s">
        <v>2340</v>
      </c>
      <c r="B939" s="112" t="s">
        <v>2341</v>
      </c>
      <c r="C939" s="82">
        <v>273</v>
      </c>
      <c r="D939" s="43"/>
      <c r="E939" s="29" cm="1">
        <f t="array" ref="E939">_xlfn.IFS(C939=":",":",C939&gt;=N$19,1,C939&gt;=N$20,2,C939&gt;=N$21,3,C939&gt;=N$22,4,C939&gt;=N$23,5,C939&gt;=N$24,6,C939&lt;N$24,7)</f>
        <v>4</v>
      </c>
      <c r="F939" s="30"/>
      <c r="G939" s="5"/>
      <c r="H939" s="5"/>
    </row>
    <row r="940" spans="1:8" ht="12" customHeight="1">
      <c r="A940" s="10" t="s">
        <v>2342</v>
      </c>
      <c r="B940" s="112" t="s">
        <v>2343</v>
      </c>
      <c r="C940" s="82">
        <v>1266</v>
      </c>
      <c r="D940" s="43"/>
      <c r="E940" s="29" cm="1">
        <f t="array" ref="E940">_xlfn.IFS(C940=":",":",C940&gt;=N$19,1,C940&gt;=N$20,2,C940&gt;=N$21,3,C940&gt;=N$22,4,C940&gt;=N$23,5,C940&gt;=N$24,6,C940&lt;N$24,7)</f>
        <v>3</v>
      </c>
      <c r="F940" s="30"/>
      <c r="G940" s="5"/>
      <c r="H940" s="5"/>
    </row>
    <row r="941" spans="1:8" ht="12" customHeight="1">
      <c r="A941" s="10" t="s">
        <v>2344</v>
      </c>
      <c r="B941" s="112" t="s">
        <v>353</v>
      </c>
      <c r="C941" s="82">
        <v>45899</v>
      </c>
      <c r="D941" s="43"/>
      <c r="E941" s="29" cm="1">
        <f t="array" ref="E941">_xlfn.IFS(C941=":",":",C941&gt;=N$19,1,C941&gt;=N$20,2,C941&gt;=N$21,3,C941&gt;=N$22,4,C941&gt;=N$23,5,C941&gt;=N$24,6,C941&lt;N$24,7)</f>
        <v>1</v>
      </c>
      <c r="F941" s="30"/>
      <c r="G941" s="5"/>
      <c r="H941" s="5"/>
    </row>
    <row r="942" spans="1:8" ht="12" customHeight="1">
      <c r="A942" s="10" t="s">
        <v>2345</v>
      </c>
      <c r="B942" s="112" t="s">
        <v>2346</v>
      </c>
      <c r="C942" s="82">
        <v>2056</v>
      </c>
      <c r="D942" s="43"/>
      <c r="E942" s="29" cm="1">
        <f t="array" ref="E942">_xlfn.IFS(C942=":",":",C942&gt;=N$19,1,C942&gt;=N$20,2,C942&gt;=N$21,3,C942&gt;=N$22,4,C942&gt;=N$23,5,C942&gt;=N$24,6,C942&lt;N$24,7)</f>
        <v>2</v>
      </c>
      <c r="F942" s="30"/>
      <c r="G942" s="5"/>
      <c r="H942" s="5"/>
    </row>
    <row r="943" spans="1:8" ht="12" customHeight="1">
      <c r="A943" s="10" t="s">
        <v>2347</v>
      </c>
      <c r="B943" s="112" t="s">
        <v>2348</v>
      </c>
      <c r="C943" s="82">
        <v>1392</v>
      </c>
      <c r="D943" s="43"/>
      <c r="E943" s="29" cm="1">
        <f t="array" ref="E943">_xlfn.IFS(C943=":",":",C943&gt;=N$19,1,C943&gt;=N$20,2,C943&gt;=N$21,3,C943&gt;=N$22,4,C943&gt;=N$23,5,C943&gt;=N$24,6,C943&lt;N$24,7)</f>
        <v>3</v>
      </c>
      <c r="F943" s="30"/>
      <c r="G943" s="5"/>
      <c r="H943" s="5"/>
    </row>
    <row r="944" spans="1:8" ht="12" customHeight="1">
      <c r="A944" s="10" t="s">
        <v>2349</v>
      </c>
      <c r="B944" s="112" t="s">
        <v>2350</v>
      </c>
      <c r="C944" s="82">
        <v>500</v>
      </c>
      <c r="D944" s="43"/>
      <c r="E944" s="29" cm="1">
        <f t="array" ref="E944">_xlfn.IFS(C944=":",":",C944&gt;=N$19,1,C944&gt;=N$20,2,C944&gt;=N$21,3,C944&gt;=N$22,4,C944&gt;=N$23,5,C944&gt;=N$24,6,C944&lt;N$24,7)</f>
        <v>3</v>
      </c>
      <c r="F944" s="30"/>
      <c r="G944" s="5"/>
      <c r="H944" s="5"/>
    </row>
    <row r="945" spans="1:8" ht="12" customHeight="1">
      <c r="A945" s="10" t="s">
        <v>2351</v>
      </c>
      <c r="B945" s="112" t="s">
        <v>2352</v>
      </c>
      <c r="C945" s="82">
        <v>1612</v>
      </c>
      <c r="D945" s="43"/>
      <c r="E945" s="29" cm="1">
        <f t="array" ref="E945">_xlfn.IFS(C945=":",":",C945&gt;=N$19,1,C945&gt;=N$20,2,C945&gt;=N$21,3,C945&gt;=N$22,4,C945&gt;=N$23,5,C945&gt;=N$24,6,C945&lt;N$24,7)</f>
        <v>2</v>
      </c>
      <c r="F945" s="30"/>
      <c r="G945" s="5"/>
      <c r="H945" s="5"/>
    </row>
    <row r="946" spans="1:8" ht="12" customHeight="1">
      <c r="A946" s="10" t="s">
        <v>2353</v>
      </c>
      <c r="B946" s="112" t="s">
        <v>2354</v>
      </c>
      <c r="C946" s="82">
        <v>1325</v>
      </c>
      <c r="D946" s="43"/>
      <c r="E946" s="29" cm="1">
        <f t="array" ref="E946">_xlfn.IFS(C946=":",":",C946&gt;=N$19,1,C946&gt;=N$20,2,C946&gt;=N$21,3,C946&gt;=N$22,4,C946&gt;=N$23,5,C946&gt;=N$24,6,C946&lt;N$24,7)</f>
        <v>3</v>
      </c>
      <c r="F946" s="30"/>
      <c r="G946" s="5"/>
      <c r="H946" s="5"/>
    </row>
    <row r="947" spans="1:8" ht="12" customHeight="1">
      <c r="A947" s="10" t="s">
        <v>2355</v>
      </c>
      <c r="B947" s="112" t="s">
        <v>2356</v>
      </c>
      <c r="C947" s="82">
        <v>226</v>
      </c>
      <c r="D947" s="43"/>
      <c r="E947" s="29" cm="1">
        <f t="array" ref="E947">_xlfn.IFS(C947=":",":",C947&gt;=N$19,1,C947&gt;=N$20,2,C947&gt;=N$21,3,C947&gt;=N$22,4,C947&gt;=N$23,5,C947&gt;=N$24,6,C947&lt;N$24,7)</f>
        <v>4</v>
      </c>
      <c r="F947" s="30"/>
      <c r="G947" s="5"/>
      <c r="H947" s="5"/>
    </row>
    <row r="948" spans="1:8" ht="12" customHeight="1">
      <c r="A948" s="16" t="s">
        <v>2357</v>
      </c>
      <c r="B948" s="11" t="s">
        <v>2358</v>
      </c>
      <c r="C948" s="82">
        <v>829</v>
      </c>
      <c r="D948" s="43"/>
      <c r="E948" s="29" cm="1">
        <f t="array" ref="E948">_xlfn.IFS(C948=":",":",C948&gt;=N$19,1,C948&gt;=N$20,2,C948&gt;=N$21,3,C948&gt;=N$22,4,C948&gt;=N$23,5,C948&gt;=N$24,6,C948&lt;N$24,7)</f>
        <v>3</v>
      </c>
      <c r="F948" s="30"/>
      <c r="G948" s="5"/>
      <c r="H948" s="5"/>
    </row>
    <row r="949" spans="1:8" ht="12" customHeight="1">
      <c r="A949" s="16" t="s">
        <v>2359</v>
      </c>
      <c r="B949" s="11" t="s">
        <v>2360</v>
      </c>
      <c r="C949" s="82">
        <v>330</v>
      </c>
      <c r="D949" s="43"/>
      <c r="E949" s="29" cm="1">
        <f t="array" ref="E949">_xlfn.IFS(C949=":",":",C949&gt;=N$19,1,C949&gt;=N$20,2,C949&gt;=N$21,3,C949&gt;=N$22,4,C949&gt;=N$23,5,C949&gt;=N$24,6,C949&lt;N$24,7)</f>
        <v>4</v>
      </c>
      <c r="F949" s="30"/>
      <c r="G949" s="5"/>
      <c r="H949" s="5"/>
    </row>
    <row r="950" spans="1:8" ht="12" customHeight="1">
      <c r="A950" s="10" t="s">
        <v>2361</v>
      </c>
      <c r="B950" s="112" t="s">
        <v>2362</v>
      </c>
      <c r="C950" s="82">
        <v>492</v>
      </c>
      <c r="D950" s="43"/>
      <c r="E950" s="29" cm="1">
        <f t="array" ref="E950">_xlfn.IFS(C950=":",":",C950&gt;=N$19,1,C950&gt;=N$20,2,C950&gt;=N$21,3,C950&gt;=N$22,4,C950&gt;=N$23,5,C950&gt;=N$24,6,C950&lt;N$24,7)</f>
        <v>4</v>
      </c>
      <c r="F950" s="30"/>
      <c r="G950" s="5"/>
      <c r="H950" s="5"/>
    </row>
    <row r="951" spans="1:8" ht="12" customHeight="1">
      <c r="A951" s="10" t="s">
        <v>2363</v>
      </c>
      <c r="B951" s="112" t="s">
        <v>2364</v>
      </c>
      <c r="C951" s="82">
        <v>406</v>
      </c>
      <c r="D951" s="43"/>
      <c r="E951" s="29" cm="1">
        <f t="array" ref="E951">_xlfn.IFS(C951=":",":",C951&gt;=N$19,1,C951&gt;=N$20,2,C951&gt;=N$21,3,C951&gt;=N$22,4,C951&gt;=N$23,5,C951&gt;=N$24,6,C951&lt;N$24,7)</f>
        <v>4</v>
      </c>
      <c r="F951" s="30"/>
      <c r="G951" s="5"/>
      <c r="H951" s="5"/>
    </row>
    <row r="952" spans="1:8" ht="12" customHeight="1">
      <c r="A952" s="10" t="s">
        <v>2365</v>
      </c>
      <c r="B952" s="112" t="s">
        <v>2366</v>
      </c>
      <c r="C952" s="82">
        <v>1039</v>
      </c>
      <c r="D952" s="43"/>
      <c r="E952" s="29" cm="1">
        <f t="array" ref="E952">_xlfn.IFS(C952=":",":",C952&gt;=N$19,1,C952&gt;=N$20,2,C952&gt;=N$21,3,C952&gt;=N$22,4,C952&gt;=N$23,5,C952&gt;=N$24,6,C952&lt;N$24,7)</f>
        <v>3</v>
      </c>
      <c r="F952" s="30"/>
      <c r="G952" s="5"/>
      <c r="H952" s="5"/>
    </row>
    <row r="953" spans="1:8" ht="12" customHeight="1">
      <c r="A953" s="10" t="s">
        <v>2367</v>
      </c>
      <c r="B953" s="112" t="s">
        <v>2368</v>
      </c>
      <c r="C953" s="82">
        <v>369</v>
      </c>
      <c r="D953" s="43"/>
      <c r="E953" s="29" cm="1">
        <f t="array" ref="E953">_xlfn.IFS(C953=":",":",C953&gt;=N$19,1,C953&gt;=N$20,2,C953&gt;=N$21,3,C953&gt;=N$22,4,C953&gt;=N$23,5,C953&gt;=N$24,6,C953&lt;N$24,7)</f>
        <v>4</v>
      </c>
      <c r="F953" s="30"/>
      <c r="G953" s="5"/>
      <c r="H953" s="5"/>
    </row>
    <row r="954" spans="1:8" ht="12" customHeight="1">
      <c r="A954" s="10" t="s">
        <v>2369</v>
      </c>
      <c r="B954" s="112" t="s">
        <v>2370</v>
      </c>
      <c r="C954" s="82">
        <v>481</v>
      </c>
      <c r="D954" s="43"/>
      <c r="E954" s="29" cm="1">
        <f t="array" ref="E954">_xlfn.IFS(C954=":",":",C954&gt;=N$19,1,C954&gt;=N$20,2,C954&gt;=N$21,3,C954&gt;=N$22,4,C954&gt;=N$23,5,C954&gt;=N$24,6,C954&lt;N$24,7)</f>
        <v>4</v>
      </c>
      <c r="F954" s="30"/>
      <c r="G954" s="5"/>
      <c r="H954" s="5"/>
    </row>
    <row r="955" spans="1:8" ht="12" customHeight="1">
      <c r="A955" s="10" t="s">
        <v>2371</v>
      </c>
      <c r="B955" s="112" t="s">
        <v>2372</v>
      </c>
      <c r="C955" s="82">
        <v>1278</v>
      </c>
      <c r="D955" s="43"/>
      <c r="E955" s="29" cm="1">
        <f t="array" ref="E955">_xlfn.IFS(C955=":",":",C955&gt;=N$19,1,C955&gt;=N$20,2,C955&gt;=N$21,3,C955&gt;=N$22,4,C955&gt;=N$23,5,C955&gt;=N$24,6,C955&lt;N$24,7)</f>
        <v>3</v>
      </c>
      <c r="F955" s="30"/>
      <c r="G955" s="5"/>
      <c r="H955" s="5"/>
    </row>
    <row r="956" spans="1:8" ht="12" customHeight="1">
      <c r="A956" s="10" t="s">
        <v>2373</v>
      </c>
      <c r="B956" s="112" t="s">
        <v>2374</v>
      </c>
      <c r="C956" s="82">
        <v>912</v>
      </c>
      <c r="D956" s="43"/>
      <c r="E956" s="29" cm="1">
        <f t="array" ref="E956">_xlfn.IFS(C956=":",":",C956&gt;=N$19,1,C956&gt;=N$20,2,C956&gt;=N$21,3,C956&gt;=N$22,4,C956&gt;=N$23,5,C956&gt;=N$24,6,C956&lt;N$24,7)</f>
        <v>3</v>
      </c>
      <c r="F956" s="30"/>
      <c r="G956" s="5"/>
      <c r="H956" s="5"/>
    </row>
    <row r="957" spans="1:8" ht="12" customHeight="1">
      <c r="A957" s="10" t="s">
        <v>2375</v>
      </c>
      <c r="B957" s="112" t="s">
        <v>2376</v>
      </c>
      <c r="C957" s="82">
        <v>4278</v>
      </c>
      <c r="D957" s="43"/>
      <c r="E957" s="29" cm="1">
        <f t="array" ref="E957">_xlfn.IFS(C957=":",":",C957&gt;=N$19,1,C957&gt;=N$20,2,C957&gt;=N$21,3,C957&gt;=N$22,4,C957&gt;=N$23,5,C957&gt;=N$24,6,C957&lt;N$24,7)</f>
        <v>2</v>
      </c>
      <c r="F957" s="30"/>
      <c r="G957" s="5"/>
      <c r="H957" s="5"/>
    </row>
    <row r="958" spans="1:8" ht="12" customHeight="1">
      <c r="A958" s="10" t="s">
        <v>2377</v>
      </c>
      <c r="B958" s="112" t="s">
        <v>2378</v>
      </c>
      <c r="C958" s="82">
        <v>3365</v>
      </c>
      <c r="D958" s="43"/>
      <c r="E958" s="29" cm="1">
        <f t="array" ref="E958">_xlfn.IFS(C958=":",":",C958&gt;=N$19,1,C958&gt;=N$20,2,C958&gt;=N$21,3,C958&gt;=N$22,4,C958&gt;=N$23,5,C958&gt;=N$24,6,C958&lt;N$24,7)</f>
        <v>2</v>
      </c>
      <c r="F958" s="30"/>
      <c r="G958" s="5"/>
      <c r="H958" s="5"/>
    </row>
    <row r="959" spans="1:8" ht="12" customHeight="1">
      <c r="A959" s="10" t="s">
        <v>2379</v>
      </c>
      <c r="B959" s="112" t="s">
        <v>2380</v>
      </c>
      <c r="C959" s="82">
        <v>2646</v>
      </c>
      <c r="D959" s="43"/>
      <c r="E959" s="29" cm="1">
        <f t="array" ref="E959">_xlfn.IFS(C959=":",":",C959&gt;=N$19,1,C959&gt;=N$20,2,C959&gt;=N$21,3,C959&gt;=N$22,4,C959&gt;=N$23,5,C959&gt;=N$24,6,C959&lt;N$24,7)</f>
        <v>2</v>
      </c>
      <c r="F959" s="30"/>
      <c r="G959" s="5"/>
      <c r="H959" s="5"/>
    </row>
    <row r="960" spans="1:8" ht="12" customHeight="1">
      <c r="A960" s="10" t="s">
        <v>2381</v>
      </c>
      <c r="B960" s="112" t="s">
        <v>2382</v>
      </c>
      <c r="C960" s="82">
        <v>3063</v>
      </c>
      <c r="D960" s="43"/>
      <c r="E960" s="29" cm="1">
        <f t="array" ref="E960">_xlfn.IFS(C960=":",":",C960&gt;=N$19,1,C960&gt;=N$20,2,C960&gt;=N$21,3,C960&gt;=N$22,4,C960&gt;=N$23,5,C960&gt;=N$24,6,C960&lt;N$24,7)</f>
        <v>2</v>
      </c>
      <c r="F960" s="30"/>
      <c r="G960" s="5"/>
      <c r="H960" s="5"/>
    </row>
    <row r="961" spans="1:8" ht="12" customHeight="1">
      <c r="A961" s="10" t="s">
        <v>2383</v>
      </c>
      <c r="B961" s="112" t="s">
        <v>2384</v>
      </c>
      <c r="C961" s="82">
        <v>865</v>
      </c>
      <c r="D961" s="43"/>
      <c r="E961" s="29" cm="1">
        <f t="array" ref="E961">_xlfn.IFS(C961=":",":",C961&gt;=N$19,1,C961&gt;=N$20,2,C961&gt;=N$21,3,C961&gt;=N$22,4,C961&gt;=N$23,5,C961&gt;=N$24,6,C961&lt;N$24,7)</f>
        <v>3</v>
      </c>
      <c r="F961" s="30"/>
      <c r="G961" s="5"/>
      <c r="H961" s="5"/>
    </row>
    <row r="962" spans="1:8" ht="12" customHeight="1">
      <c r="A962" s="10" t="s">
        <v>2385</v>
      </c>
      <c r="B962" s="112" t="s">
        <v>2386</v>
      </c>
      <c r="C962" s="82">
        <v>3727</v>
      </c>
      <c r="D962" s="43"/>
      <c r="E962" s="29" cm="1">
        <f t="array" ref="E962">_xlfn.IFS(C962=":",":",C962&gt;=N$19,1,C962&gt;=N$20,2,C962&gt;=N$21,3,C962&gt;=N$22,4,C962&gt;=N$23,5,C962&gt;=N$24,6,C962&lt;N$24,7)</f>
        <v>2</v>
      </c>
      <c r="F962" s="30"/>
      <c r="G962" s="5"/>
      <c r="H962" s="5"/>
    </row>
    <row r="963" spans="1:8" ht="12" customHeight="1">
      <c r="A963" s="10" t="s">
        <v>2387</v>
      </c>
      <c r="B963" s="112" t="s">
        <v>2388</v>
      </c>
      <c r="C963" s="82">
        <v>4007</v>
      </c>
      <c r="D963" s="43"/>
      <c r="E963" s="29" cm="1">
        <f t="array" ref="E963">_xlfn.IFS(C963=":",":",C963&gt;=N$19,1,C963&gt;=N$20,2,C963&gt;=N$21,3,C963&gt;=N$22,4,C963&gt;=N$23,5,C963&gt;=N$24,6,C963&lt;N$24,7)</f>
        <v>2</v>
      </c>
      <c r="F963" s="30"/>
      <c r="G963" s="5"/>
      <c r="H963" s="5"/>
    </row>
    <row r="964" spans="1:8" ht="12" customHeight="1">
      <c r="A964" s="10" t="s">
        <v>2389</v>
      </c>
      <c r="B964" s="112" t="s">
        <v>2390</v>
      </c>
      <c r="C964" s="82">
        <v>3330</v>
      </c>
      <c r="D964" s="43"/>
      <c r="E964" s="29" cm="1">
        <f t="array" ref="E964">_xlfn.IFS(C964=":",":",C964&gt;=N$19,1,C964&gt;=N$20,2,C964&gt;=N$21,3,C964&gt;=N$22,4,C964&gt;=N$23,5,C964&gt;=N$24,6,C964&lt;N$24,7)</f>
        <v>2</v>
      </c>
      <c r="F964" s="30"/>
      <c r="G964" s="5"/>
      <c r="H964" s="5"/>
    </row>
    <row r="965" spans="1:8" ht="12" customHeight="1">
      <c r="A965" s="10" t="s">
        <v>2391</v>
      </c>
      <c r="B965" s="112" t="s">
        <v>2392</v>
      </c>
      <c r="C965" s="82">
        <v>2178</v>
      </c>
      <c r="D965" s="43"/>
      <c r="E965" s="29" cm="1">
        <f t="array" ref="E965">_xlfn.IFS(C965=":",":",C965&gt;=N$19,1,C965&gt;=N$20,2,C965&gt;=N$21,3,C965&gt;=N$22,4,C965&gt;=N$23,5,C965&gt;=N$24,6,C965&lt;N$24,7)</f>
        <v>2</v>
      </c>
      <c r="F965" s="30"/>
      <c r="G965" s="5"/>
      <c r="H965" s="5"/>
    </row>
    <row r="966" spans="1:8" ht="12" customHeight="1">
      <c r="A966" s="10" t="s">
        <v>2393</v>
      </c>
      <c r="B966" s="112" t="s">
        <v>2394</v>
      </c>
      <c r="C966" s="82">
        <v>20459</v>
      </c>
      <c r="D966" s="43"/>
      <c r="E966" s="29" cm="1">
        <f t="array" ref="E966">_xlfn.IFS(C966=":",":",C966&gt;=N$19,1,C966&gt;=N$20,2,C966&gt;=N$21,3,C966&gt;=N$22,4,C966&gt;=N$23,5,C966&gt;=N$24,6,C966&lt;N$24,7)</f>
        <v>1</v>
      </c>
      <c r="F966" s="30"/>
      <c r="G966" s="5"/>
      <c r="H966" s="5"/>
    </row>
    <row r="967" spans="1:8" ht="12" customHeight="1">
      <c r="A967" s="10" t="s">
        <v>2395</v>
      </c>
      <c r="B967" s="112" t="s">
        <v>2396</v>
      </c>
      <c r="C967" s="82">
        <v>197</v>
      </c>
      <c r="D967" s="43"/>
      <c r="E967" s="29" cm="1">
        <f t="array" ref="E967">_xlfn.IFS(C967=":",":",C967&gt;=N$19,1,C967&gt;=N$20,2,C967&gt;=N$21,3,C967&gt;=N$22,4,C967&gt;=N$23,5,C967&gt;=N$24,6,C967&lt;N$24,7)</f>
        <v>5</v>
      </c>
      <c r="F967" s="30"/>
      <c r="G967" s="5"/>
      <c r="H967" s="5"/>
    </row>
    <row r="968" spans="1:8" ht="12" customHeight="1">
      <c r="A968" s="10" t="s">
        <v>2397</v>
      </c>
      <c r="B968" s="112" t="s">
        <v>2398</v>
      </c>
      <c r="C968" s="82">
        <v>74</v>
      </c>
      <c r="D968" s="43"/>
      <c r="E968" s="29" cm="1">
        <f t="array" ref="E968">_xlfn.IFS(C968=":",":",C968&gt;=N$19,1,C968&gt;=N$20,2,C968&gt;=N$21,3,C968&gt;=N$22,4,C968&gt;=N$23,5,C968&gt;=N$24,6,C968&lt;N$24,7)</f>
        <v>6</v>
      </c>
      <c r="F968" s="30"/>
      <c r="G968" s="5"/>
      <c r="H968" s="5"/>
    </row>
    <row r="969" spans="1:8" ht="12" customHeight="1">
      <c r="A969" s="10" t="s">
        <v>2399</v>
      </c>
      <c r="B969" s="112" t="s">
        <v>2907</v>
      </c>
      <c r="C969" s="82">
        <v>723</v>
      </c>
      <c r="D969" s="43"/>
      <c r="E969" s="29" cm="1">
        <f t="array" ref="E969">_xlfn.IFS(C969=":",":",C969&gt;=N$19,1,C969&gt;=N$20,2,C969&gt;=N$21,3,C969&gt;=N$22,4,C969&gt;=N$23,5,C969&gt;=N$24,6,C969&lt;N$24,7)</f>
        <v>3</v>
      </c>
      <c r="F969" s="30"/>
      <c r="G969" s="5"/>
      <c r="H969" s="5"/>
    </row>
    <row r="970" spans="1:8" ht="12" customHeight="1">
      <c r="A970" s="10" t="s">
        <v>2400</v>
      </c>
      <c r="B970" s="112" t="s">
        <v>2401</v>
      </c>
      <c r="C970" s="82">
        <v>1878</v>
      </c>
      <c r="D970" s="43"/>
      <c r="E970" s="29" cm="1">
        <f t="array" ref="E970">_xlfn.IFS(C970=":",":",C970&gt;=N$19,1,C970&gt;=N$20,2,C970&gt;=N$21,3,C970&gt;=N$22,4,C970&gt;=N$23,5,C970&gt;=N$24,6,C970&lt;N$24,7)</f>
        <v>2</v>
      </c>
      <c r="F970" s="30"/>
      <c r="G970" s="5"/>
      <c r="H970" s="5"/>
    </row>
    <row r="971" spans="1:8" ht="12" customHeight="1">
      <c r="A971" s="10" t="s">
        <v>2402</v>
      </c>
      <c r="B971" s="112" t="s">
        <v>2908</v>
      </c>
      <c r="C971" s="82">
        <v>276</v>
      </c>
      <c r="D971" s="43"/>
      <c r="E971" s="29" cm="1">
        <f t="array" ref="E971">_xlfn.IFS(C971=":",":",C971&gt;=N$19,1,C971&gt;=N$20,2,C971&gt;=N$21,3,C971&gt;=N$22,4,C971&gt;=N$23,5,C971&gt;=N$24,6,C971&lt;N$24,7)</f>
        <v>4</v>
      </c>
      <c r="F971" s="30"/>
      <c r="G971" s="5"/>
      <c r="H971" s="5"/>
    </row>
    <row r="972" spans="1:8" ht="12" customHeight="1">
      <c r="A972" s="10" t="s">
        <v>2403</v>
      </c>
      <c r="B972" s="112" t="s">
        <v>2909</v>
      </c>
      <c r="C972" s="82">
        <v>128</v>
      </c>
      <c r="D972" s="43"/>
      <c r="E972" s="29" cm="1">
        <f t="array" ref="E972">_xlfn.IFS(C972=":",":",C972&gt;=N$19,1,C972&gt;=N$20,2,C972&gt;=N$21,3,C972&gt;=N$22,4,C972&gt;=N$23,5,C972&gt;=N$24,6,C972&lt;N$24,7)</f>
        <v>5</v>
      </c>
      <c r="F972" s="30"/>
      <c r="G972" s="5"/>
      <c r="H972" s="5"/>
    </row>
    <row r="973" spans="1:8" ht="12" customHeight="1">
      <c r="A973" s="10" t="s">
        <v>2404</v>
      </c>
      <c r="B973" s="112" t="s">
        <v>2405</v>
      </c>
      <c r="C973" s="82">
        <v>1385</v>
      </c>
      <c r="D973" s="43"/>
      <c r="E973" s="29" cm="1">
        <f t="array" ref="E973">_xlfn.IFS(C973=":",":",C973&gt;=N$19,1,C973&gt;=N$20,2,C973&gt;=N$21,3,C973&gt;=N$22,4,C973&gt;=N$23,5,C973&gt;=N$24,6,C973&lt;N$24,7)</f>
        <v>3</v>
      </c>
      <c r="F973" s="30"/>
      <c r="G973" s="5"/>
      <c r="H973" s="5"/>
    </row>
    <row r="974" spans="1:8" ht="12" customHeight="1">
      <c r="A974" s="10" t="s">
        <v>2406</v>
      </c>
      <c r="B974" s="112" t="s">
        <v>2407</v>
      </c>
      <c r="C974" s="82">
        <v>171</v>
      </c>
      <c r="D974" s="43"/>
      <c r="E974" s="29" cm="1">
        <f t="array" ref="E974">_xlfn.IFS(C974=":",":",C974&gt;=N$19,1,C974&gt;=N$20,2,C974&gt;=N$21,3,C974&gt;=N$22,4,C974&gt;=N$23,5,C974&gt;=N$24,6,C974&lt;N$24,7)</f>
        <v>5</v>
      </c>
      <c r="F974" s="30"/>
      <c r="G974" s="5"/>
      <c r="H974" s="5"/>
    </row>
    <row r="975" spans="1:8" ht="12" customHeight="1">
      <c r="A975" s="10" t="s">
        <v>2408</v>
      </c>
      <c r="B975" s="112" t="s">
        <v>2409</v>
      </c>
      <c r="C975" s="82">
        <v>204</v>
      </c>
      <c r="D975" s="43"/>
      <c r="E975" s="29" cm="1">
        <f t="array" ref="E975">_xlfn.IFS(C975=":",":",C975&gt;=N$19,1,C975&gt;=N$20,2,C975&gt;=N$21,3,C975&gt;=N$22,4,C975&gt;=N$23,5,C975&gt;=N$24,6,C975&lt;N$24,7)</f>
        <v>4</v>
      </c>
      <c r="F975" s="30"/>
      <c r="G975" s="5"/>
      <c r="H975" s="5"/>
    </row>
    <row r="976" spans="1:8" ht="12" customHeight="1">
      <c r="A976" s="10" t="s">
        <v>2410</v>
      </c>
      <c r="B976" s="112" t="s">
        <v>2411</v>
      </c>
      <c r="C976" s="82">
        <v>464</v>
      </c>
      <c r="D976" s="43"/>
      <c r="E976" s="29" cm="1">
        <f t="array" ref="E976">_xlfn.IFS(C976=":",":",C976&gt;=N$19,1,C976&gt;=N$20,2,C976&gt;=N$21,3,C976&gt;=N$22,4,C976&gt;=N$23,5,C976&gt;=N$24,6,C976&lt;N$24,7)</f>
        <v>4</v>
      </c>
      <c r="F976" s="30"/>
      <c r="G976" s="5"/>
      <c r="H976" s="5"/>
    </row>
    <row r="977" spans="1:8" ht="12" customHeight="1">
      <c r="A977" s="10" t="s">
        <v>2412</v>
      </c>
      <c r="B977" s="112" t="s">
        <v>2413</v>
      </c>
      <c r="C977" s="82">
        <v>2513</v>
      </c>
      <c r="D977" s="43"/>
      <c r="E977" s="29" cm="1">
        <f t="array" ref="E977">_xlfn.IFS(C977=":",":",C977&gt;=N$19,1,C977&gt;=N$20,2,C977&gt;=N$21,3,C977&gt;=N$22,4,C977&gt;=N$23,5,C977&gt;=N$24,6,C977&lt;N$24,7)</f>
        <v>2</v>
      </c>
      <c r="F977" s="30"/>
      <c r="G977" s="5"/>
      <c r="H977" s="5"/>
    </row>
    <row r="978" spans="1:8" ht="12" customHeight="1">
      <c r="A978" s="10" t="s">
        <v>2414</v>
      </c>
      <c r="B978" s="112" t="s">
        <v>2415</v>
      </c>
      <c r="C978" s="82">
        <v>276</v>
      </c>
      <c r="D978" s="43"/>
      <c r="E978" s="29" cm="1">
        <f t="array" ref="E978">_xlfn.IFS(C978=":",":",C978&gt;=N$19,1,C978&gt;=N$20,2,C978&gt;=N$21,3,C978&gt;=N$22,4,C978&gt;=N$23,5,C978&gt;=N$24,6,C978&lt;N$24,7)</f>
        <v>4</v>
      </c>
      <c r="F978" s="30"/>
      <c r="G978" s="5"/>
      <c r="H978" s="5"/>
    </row>
    <row r="979" spans="1:8" ht="12" customHeight="1">
      <c r="A979" s="10" t="s">
        <v>2416</v>
      </c>
      <c r="B979" s="112" t="s">
        <v>2417</v>
      </c>
      <c r="C979" s="82">
        <v>207</v>
      </c>
      <c r="D979" s="43"/>
      <c r="E979" s="29" cm="1">
        <f t="array" ref="E979">_xlfn.IFS(C979=":",":",C979&gt;=N$19,1,C979&gt;=N$20,2,C979&gt;=N$21,3,C979&gt;=N$22,4,C979&gt;=N$23,5,C979&gt;=N$24,6,C979&lt;N$24,7)</f>
        <v>4</v>
      </c>
      <c r="F979" s="30"/>
      <c r="G979" s="5"/>
      <c r="H979" s="5"/>
    </row>
    <row r="980" spans="1:8" ht="12" customHeight="1">
      <c r="A980" s="10" t="s">
        <v>2418</v>
      </c>
      <c r="B980" s="112" t="s">
        <v>2419</v>
      </c>
      <c r="C980" s="82">
        <v>41</v>
      </c>
      <c r="D980" s="43"/>
      <c r="E980" s="29" cm="1">
        <f t="array" ref="E980">_xlfn.IFS(C980=":",":",C980&gt;=N$19,1,C980&gt;=N$20,2,C980&gt;=N$21,3,C980&gt;=N$22,4,C980&gt;=N$23,5,C980&gt;=N$24,6,C980&lt;N$24,7)</f>
        <v>6</v>
      </c>
      <c r="F980" s="30"/>
      <c r="G980" s="5"/>
      <c r="H980" s="5"/>
    </row>
    <row r="981" spans="1:8" ht="12" customHeight="1">
      <c r="A981" s="10" t="s">
        <v>2420</v>
      </c>
      <c r="B981" s="112" t="s">
        <v>2910</v>
      </c>
      <c r="C981" s="82">
        <v>100</v>
      </c>
      <c r="D981" s="43"/>
      <c r="E981" s="29" cm="1">
        <f t="array" ref="E981">_xlfn.IFS(C981=":",":",C981&gt;=N$19,1,C981&gt;=N$20,2,C981&gt;=N$21,3,C981&gt;=N$22,4,C981&gt;=N$23,5,C981&gt;=N$24,6,C981&lt;N$24,7)</f>
        <v>5</v>
      </c>
      <c r="F981" s="30"/>
      <c r="G981" s="5"/>
      <c r="H981" s="5"/>
    </row>
    <row r="982" spans="1:8" ht="12" customHeight="1">
      <c r="A982" s="10" t="s">
        <v>2421</v>
      </c>
      <c r="B982" s="112" t="s">
        <v>2911</v>
      </c>
      <c r="C982" s="82">
        <v>5786</v>
      </c>
      <c r="D982" s="43"/>
      <c r="E982" s="29" cm="1">
        <f t="array" ref="E982">_xlfn.IFS(C982=":",":",C982&gt;=N$19,1,C982&gt;=N$20,2,C982&gt;=N$21,3,C982&gt;=N$22,4,C982&gt;=N$23,5,C982&gt;=N$24,6,C982&lt;N$24,7)</f>
        <v>1</v>
      </c>
      <c r="F982" s="30"/>
      <c r="G982" s="5"/>
      <c r="H982" s="5"/>
    </row>
    <row r="983" spans="1:8" ht="12" customHeight="1">
      <c r="A983" s="10" t="s">
        <v>2422</v>
      </c>
      <c r="B983" s="112" t="s">
        <v>2423</v>
      </c>
      <c r="C983" s="82">
        <v>60</v>
      </c>
      <c r="D983" s="43"/>
      <c r="E983" s="29" cm="1">
        <f t="array" ref="E983">_xlfn.IFS(C983=":",":",C983&gt;=N$19,1,C983&gt;=N$20,2,C983&gt;=N$21,3,C983&gt;=N$22,4,C983&gt;=N$23,5,C983&gt;=N$24,6,C983&lt;N$24,7)</f>
        <v>6</v>
      </c>
      <c r="F983" s="30"/>
      <c r="G983" s="5"/>
      <c r="H983" s="5"/>
    </row>
    <row r="984" spans="1:8" ht="12" customHeight="1">
      <c r="A984" s="10" t="s">
        <v>2424</v>
      </c>
      <c r="B984" s="112" t="s">
        <v>2912</v>
      </c>
      <c r="C984" s="82">
        <v>104</v>
      </c>
      <c r="D984" s="43"/>
      <c r="E984" s="29" cm="1">
        <f t="array" ref="E984">_xlfn.IFS(C984=":",":",C984&gt;=N$19,1,C984&gt;=N$20,2,C984&gt;=N$21,3,C984&gt;=N$22,4,C984&gt;=N$23,5,C984&gt;=N$24,6,C984&lt;N$24,7)</f>
        <v>5</v>
      </c>
      <c r="F984" s="30"/>
      <c r="G984" s="5"/>
      <c r="H984" s="5"/>
    </row>
    <row r="985" spans="1:8" ht="12" customHeight="1">
      <c r="A985" s="10" t="s">
        <v>2425</v>
      </c>
      <c r="B985" s="112" t="s">
        <v>2913</v>
      </c>
      <c r="C985" s="82">
        <v>106</v>
      </c>
      <c r="D985" s="43"/>
      <c r="E985" s="29" cm="1">
        <f t="array" ref="E985">_xlfn.IFS(C985=":",":",C985&gt;=N$19,1,C985&gt;=N$20,2,C985&gt;=N$21,3,C985&gt;=N$22,4,C985&gt;=N$23,5,C985&gt;=N$24,6,C985&lt;N$24,7)</f>
        <v>5</v>
      </c>
      <c r="F985" s="30"/>
      <c r="G985" s="5"/>
      <c r="H985" s="5"/>
    </row>
    <row r="986" spans="1:8" ht="12" customHeight="1">
      <c r="A986" s="10" t="s">
        <v>2426</v>
      </c>
      <c r="B986" s="112" t="s">
        <v>2427</v>
      </c>
      <c r="C986" s="82">
        <v>4596</v>
      </c>
      <c r="D986" s="43"/>
      <c r="E986" s="29" cm="1">
        <f t="array" ref="E986">_xlfn.IFS(C986=":",":",C986&gt;=N$19,1,C986&gt;=N$20,2,C986&gt;=N$21,3,C986&gt;=N$22,4,C986&gt;=N$23,5,C986&gt;=N$24,6,C986&lt;N$24,7)</f>
        <v>2</v>
      </c>
      <c r="F986" s="30"/>
      <c r="G986" s="5"/>
      <c r="H986" s="5"/>
    </row>
    <row r="987" spans="1:8" ht="12" customHeight="1">
      <c r="A987" s="10" t="s">
        <v>2428</v>
      </c>
      <c r="B987" s="112" t="s">
        <v>2914</v>
      </c>
      <c r="C987" s="82">
        <v>2142</v>
      </c>
      <c r="D987" s="43"/>
      <c r="E987" s="29" cm="1">
        <f t="array" ref="E987">_xlfn.IFS(C987=":",":",C987&gt;=N$19,1,C987&gt;=N$20,2,C987&gt;=N$21,3,C987&gt;=N$22,4,C987&gt;=N$23,5,C987&gt;=N$24,6,C987&lt;N$24,7)</f>
        <v>2</v>
      </c>
      <c r="F987" s="30"/>
      <c r="G987" s="5"/>
      <c r="H987" s="5"/>
    </row>
    <row r="988" spans="1:8" ht="12" customHeight="1">
      <c r="A988" s="10" t="s">
        <v>2429</v>
      </c>
      <c r="B988" s="112" t="s">
        <v>2430</v>
      </c>
      <c r="C988" s="82">
        <v>48</v>
      </c>
      <c r="D988" s="43"/>
      <c r="E988" s="29" cm="1">
        <f t="array" ref="E988">_xlfn.IFS(C988=":",":",C988&gt;=N$19,1,C988&gt;=N$20,2,C988&gt;=N$21,3,C988&gt;=N$22,4,C988&gt;=N$23,5,C988&gt;=N$24,6,C988&lt;N$24,7)</f>
        <v>6</v>
      </c>
      <c r="F988" s="30"/>
      <c r="G988" s="5"/>
      <c r="H988" s="5"/>
    </row>
    <row r="989" spans="1:8" ht="12" customHeight="1">
      <c r="A989" s="10" t="s">
        <v>2431</v>
      </c>
      <c r="B989" s="112" t="s">
        <v>2915</v>
      </c>
      <c r="C989" s="82">
        <v>792</v>
      </c>
      <c r="D989" s="43"/>
      <c r="E989" s="29" cm="1">
        <f t="array" ref="E989">_xlfn.IFS(C989=":",":",C989&gt;=N$19,1,C989&gt;=N$20,2,C989&gt;=N$21,3,C989&gt;=N$22,4,C989&gt;=N$23,5,C989&gt;=N$24,6,C989&lt;N$24,7)</f>
        <v>3</v>
      </c>
      <c r="F989" s="30"/>
      <c r="G989" s="5"/>
      <c r="H989" s="5"/>
    </row>
    <row r="990" spans="1:8" ht="12" customHeight="1">
      <c r="A990" s="10" t="s">
        <v>2432</v>
      </c>
      <c r="B990" s="112" t="s">
        <v>2433</v>
      </c>
      <c r="C990" s="82">
        <v>122</v>
      </c>
      <c r="D990" s="43"/>
      <c r="E990" s="29" cm="1">
        <f t="array" ref="E990">_xlfn.IFS(C990=":",":",C990&gt;=N$19,1,C990&gt;=N$20,2,C990&gt;=N$21,3,C990&gt;=N$22,4,C990&gt;=N$23,5,C990&gt;=N$24,6,C990&lt;N$24,7)</f>
        <v>5</v>
      </c>
      <c r="F990" s="30"/>
      <c r="G990" s="5"/>
      <c r="H990" s="5"/>
    </row>
    <row r="991" spans="1:8" ht="12" customHeight="1">
      <c r="A991" s="10" t="s">
        <v>2434</v>
      </c>
      <c r="B991" s="112" t="s">
        <v>2435</v>
      </c>
      <c r="C991" s="82">
        <v>94</v>
      </c>
      <c r="D991" s="43"/>
      <c r="E991" s="29" cm="1">
        <f t="array" ref="E991">_xlfn.IFS(C991=":",":",C991&gt;=N$19,1,C991&gt;=N$20,2,C991&gt;=N$21,3,C991&gt;=N$22,4,C991&gt;=N$23,5,C991&gt;=N$24,6,C991&lt;N$24,7)</f>
        <v>5</v>
      </c>
      <c r="F991" s="30"/>
      <c r="G991" s="5"/>
      <c r="H991" s="5"/>
    </row>
    <row r="992" spans="1:8" ht="12" customHeight="1">
      <c r="A992" s="10" t="s">
        <v>2436</v>
      </c>
      <c r="B992" s="112" t="s">
        <v>2916</v>
      </c>
      <c r="C992" s="82">
        <v>8133</v>
      </c>
      <c r="D992" s="43"/>
      <c r="E992" s="29" cm="1">
        <f t="array" ref="E992">_xlfn.IFS(C992=":",":",C992&gt;=N$19,1,C992&gt;=N$20,2,C992&gt;=N$21,3,C992&gt;=N$22,4,C992&gt;=N$23,5,C992&gt;=N$24,6,C992&lt;N$24,7)</f>
        <v>1</v>
      </c>
      <c r="F992" s="30"/>
      <c r="G992" s="5"/>
      <c r="H992" s="5"/>
    </row>
    <row r="993" spans="1:8" ht="12" customHeight="1">
      <c r="A993" s="10" t="s">
        <v>2437</v>
      </c>
      <c r="B993" s="112" t="s">
        <v>2438</v>
      </c>
      <c r="C993" s="82">
        <v>930</v>
      </c>
      <c r="D993" s="43"/>
      <c r="E993" s="29" cm="1">
        <f t="array" ref="E993">_xlfn.IFS(C993=":",":",C993&gt;=N$19,1,C993&gt;=N$20,2,C993&gt;=N$21,3,C993&gt;=N$22,4,C993&gt;=N$23,5,C993&gt;=N$24,6,C993&lt;N$24,7)</f>
        <v>3</v>
      </c>
      <c r="F993" s="30"/>
      <c r="G993" s="5"/>
      <c r="H993" s="5"/>
    </row>
    <row r="994" spans="1:8" ht="12" customHeight="1">
      <c r="A994" s="10" t="s">
        <v>2439</v>
      </c>
      <c r="B994" s="112" t="s">
        <v>2917</v>
      </c>
      <c r="C994" s="82">
        <v>109</v>
      </c>
      <c r="D994" s="43"/>
      <c r="E994" s="29" cm="1">
        <f t="array" ref="E994">_xlfn.IFS(C994=":",":",C994&gt;=N$19,1,C994&gt;=N$20,2,C994&gt;=N$21,3,C994&gt;=N$22,4,C994&gt;=N$23,5,C994&gt;=N$24,6,C994&lt;N$24,7)</f>
        <v>5</v>
      </c>
      <c r="F994" s="30"/>
      <c r="G994" s="5"/>
      <c r="H994" s="5"/>
    </row>
    <row r="995" spans="1:8" ht="12" customHeight="1">
      <c r="A995" s="10" t="s">
        <v>2440</v>
      </c>
      <c r="B995" s="112" t="s">
        <v>2918</v>
      </c>
      <c r="C995" s="82">
        <v>686</v>
      </c>
      <c r="D995" s="43"/>
      <c r="E995" s="29" cm="1">
        <f t="array" ref="E995">_xlfn.IFS(C995=":",":",C995&gt;=N$19,1,C995&gt;=N$20,2,C995&gt;=N$21,3,C995&gt;=N$22,4,C995&gt;=N$23,5,C995&gt;=N$24,6,C995&lt;N$24,7)</f>
        <v>3</v>
      </c>
      <c r="F995" s="30"/>
      <c r="G995" s="5"/>
      <c r="H995" s="5"/>
    </row>
    <row r="996" spans="1:8" ht="12" customHeight="1">
      <c r="A996" s="10" t="s">
        <v>2441</v>
      </c>
      <c r="B996" s="112" t="s">
        <v>2919</v>
      </c>
      <c r="C996" s="82">
        <v>85</v>
      </c>
      <c r="D996" s="43"/>
      <c r="E996" s="29" cm="1">
        <f t="array" ref="E996">_xlfn.IFS(C996=":",":",C996&gt;=N$19,1,C996&gt;=N$20,2,C996&gt;=N$21,3,C996&gt;=N$22,4,C996&gt;=N$23,5,C996&gt;=N$24,6,C996&lt;N$24,7)</f>
        <v>5</v>
      </c>
      <c r="F996" s="30"/>
      <c r="G996" s="5"/>
      <c r="H996" s="5"/>
    </row>
    <row r="997" spans="1:8" ht="12" customHeight="1">
      <c r="A997" s="10" t="s">
        <v>2442</v>
      </c>
      <c r="B997" s="112" t="s">
        <v>2443</v>
      </c>
      <c r="C997" s="82">
        <v>79</v>
      </c>
      <c r="D997" s="43"/>
      <c r="E997" s="29" cm="1">
        <f t="array" ref="E997">_xlfn.IFS(C997=":",":",C997&gt;=N$19,1,C997&gt;=N$20,2,C997&gt;=N$21,3,C997&gt;=N$22,4,C997&gt;=N$23,5,C997&gt;=N$24,6,C997&lt;N$24,7)</f>
        <v>5</v>
      </c>
      <c r="F997" s="30"/>
      <c r="G997" s="5"/>
      <c r="H997" s="5"/>
    </row>
    <row r="998" spans="1:8" ht="12" customHeight="1">
      <c r="A998" s="10" t="s">
        <v>2444</v>
      </c>
      <c r="B998" s="112" t="s">
        <v>2445</v>
      </c>
      <c r="C998" s="82">
        <v>86</v>
      </c>
      <c r="D998" s="43"/>
      <c r="E998" s="29" cm="1">
        <f t="array" ref="E998">_xlfn.IFS(C998=":",":",C998&gt;=N$19,1,C998&gt;=N$20,2,C998&gt;=N$21,3,C998&gt;=N$22,4,C998&gt;=N$23,5,C998&gt;=N$24,6,C998&lt;N$24,7)</f>
        <v>5</v>
      </c>
      <c r="F998" s="30"/>
      <c r="G998" s="5"/>
      <c r="H998" s="5"/>
    </row>
    <row r="999" spans="1:8" ht="12" customHeight="1">
      <c r="A999" s="10" t="s">
        <v>2446</v>
      </c>
      <c r="B999" s="112" t="s">
        <v>2920</v>
      </c>
      <c r="C999" s="82">
        <v>462</v>
      </c>
      <c r="D999" s="43"/>
      <c r="E999" s="29" cm="1">
        <f t="array" ref="E999">_xlfn.IFS(C999=":",":",C999&gt;=N$19,1,C999&gt;=N$20,2,C999&gt;=N$21,3,C999&gt;=N$22,4,C999&gt;=N$23,5,C999&gt;=N$24,6,C999&lt;N$24,7)</f>
        <v>4</v>
      </c>
      <c r="F999" s="30"/>
      <c r="G999" s="5"/>
      <c r="H999" s="5"/>
    </row>
    <row r="1000" spans="1:8" ht="12" customHeight="1">
      <c r="A1000" s="10" t="s">
        <v>2447</v>
      </c>
      <c r="B1000" s="112" t="s">
        <v>2921</v>
      </c>
      <c r="C1000" s="82">
        <v>79</v>
      </c>
      <c r="D1000" s="43"/>
      <c r="E1000" s="29" cm="1">
        <f t="array" ref="E1000">_xlfn.IFS(C1000=":",":",C1000&gt;=N$19,1,C1000&gt;=N$20,2,C1000&gt;=N$21,3,C1000&gt;=N$22,4,C1000&gt;=N$23,5,C1000&gt;=N$24,6,C1000&lt;N$24,7)</f>
        <v>5</v>
      </c>
      <c r="F1000" s="30"/>
      <c r="G1000" s="5"/>
      <c r="H1000" s="5"/>
    </row>
    <row r="1001" spans="1:8" ht="12" customHeight="1">
      <c r="A1001" s="10" t="s">
        <v>2448</v>
      </c>
      <c r="B1001" s="112" t="s">
        <v>2922</v>
      </c>
      <c r="C1001" s="82">
        <v>245</v>
      </c>
      <c r="D1001" s="43"/>
      <c r="E1001" s="29" cm="1">
        <f t="array" ref="E1001">_xlfn.IFS(C1001=":",":",C1001&gt;=N$19,1,C1001&gt;=N$20,2,C1001&gt;=N$21,3,C1001&gt;=N$22,4,C1001&gt;=N$23,5,C1001&gt;=N$24,6,C1001&lt;N$24,7)</f>
        <v>4</v>
      </c>
      <c r="F1001" s="30"/>
      <c r="G1001" s="5"/>
      <c r="H1001" s="5"/>
    </row>
    <row r="1002" spans="1:8" ht="12" customHeight="1">
      <c r="A1002" s="10" t="s">
        <v>2449</v>
      </c>
      <c r="B1002" s="112" t="s">
        <v>2923</v>
      </c>
      <c r="C1002" s="82">
        <v>70</v>
      </c>
      <c r="D1002" s="43"/>
      <c r="E1002" s="29" cm="1">
        <f t="array" ref="E1002">_xlfn.IFS(C1002=":",":",C1002&gt;=N$19,1,C1002&gt;=N$20,2,C1002&gt;=N$21,3,C1002&gt;=N$22,4,C1002&gt;=N$23,5,C1002&gt;=N$24,6,C1002&lt;N$24,7)</f>
        <v>6</v>
      </c>
      <c r="F1002" s="30"/>
      <c r="G1002" s="5"/>
      <c r="H1002" s="5"/>
    </row>
    <row r="1003" spans="1:8" ht="12" customHeight="1">
      <c r="A1003" s="10" t="s">
        <v>2450</v>
      </c>
      <c r="B1003" s="112" t="s">
        <v>2924</v>
      </c>
      <c r="C1003" s="82">
        <v>535</v>
      </c>
      <c r="D1003" s="43"/>
      <c r="E1003" s="29" cm="1">
        <f t="array" ref="E1003">_xlfn.IFS(C1003=":",":",C1003&gt;=N$19,1,C1003&gt;=N$20,2,C1003&gt;=N$21,3,C1003&gt;=N$22,4,C1003&gt;=N$23,5,C1003&gt;=N$24,6,C1003&lt;N$24,7)</f>
        <v>3</v>
      </c>
      <c r="F1003" s="30"/>
      <c r="G1003" s="5"/>
      <c r="H1003" s="5"/>
    </row>
    <row r="1004" spans="1:8" ht="12" customHeight="1">
      <c r="A1004" s="10" t="s">
        <v>2451</v>
      </c>
      <c r="B1004" s="112" t="s">
        <v>2925</v>
      </c>
      <c r="C1004" s="82">
        <v>97</v>
      </c>
      <c r="D1004" s="43"/>
      <c r="E1004" s="29" cm="1">
        <f t="array" ref="E1004">_xlfn.IFS(C1004=":",":",C1004&gt;=N$19,1,C1004&gt;=N$20,2,C1004&gt;=N$21,3,C1004&gt;=N$22,4,C1004&gt;=N$23,5,C1004&gt;=N$24,6,C1004&lt;N$24,7)</f>
        <v>5</v>
      </c>
      <c r="F1004" s="30"/>
      <c r="G1004" s="5"/>
      <c r="H1004" s="5"/>
    </row>
    <row r="1005" spans="1:8" ht="12" customHeight="1">
      <c r="A1005" s="10" t="s">
        <v>2452</v>
      </c>
      <c r="B1005" s="112" t="s">
        <v>2926</v>
      </c>
      <c r="C1005" s="82">
        <v>183</v>
      </c>
      <c r="D1005" s="43"/>
      <c r="E1005" s="29" cm="1">
        <f t="array" ref="E1005">_xlfn.IFS(C1005=":",":",C1005&gt;=N$19,1,C1005&gt;=N$20,2,C1005&gt;=N$21,3,C1005&gt;=N$22,4,C1005&gt;=N$23,5,C1005&gt;=N$24,6,C1005&lt;N$24,7)</f>
        <v>5</v>
      </c>
      <c r="F1005" s="30"/>
      <c r="G1005" s="5"/>
      <c r="H1005" s="5"/>
    </row>
    <row r="1006" spans="1:8" ht="12" customHeight="1">
      <c r="A1006" s="10" t="s">
        <v>2453</v>
      </c>
      <c r="B1006" s="112" t="s">
        <v>2927</v>
      </c>
      <c r="C1006" s="82">
        <v>165</v>
      </c>
      <c r="D1006" s="43"/>
      <c r="E1006" s="29" cm="1">
        <f t="array" ref="E1006">_xlfn.IFS(C1006=":",":",C1006&gt;=N$19,1,C1006&gt;=N$20,2,C1006&gt;=N$21,3,C1006&gt;=N$22,4,C1006&gt;=N$23,5,C1006&gt;=N$24,6,C1006&lt;N$24,7)</f>
        <v>5</v>
      </c>
      <c r="F1006" s="30"/>
      <c r="G1006" s="5"/>
      <c r="H1006" s="5"/>
    </row>
    <row r="1007" spans="1:8" ht="12" customHeight="1">
      <c r="A1007" s="10" t="s">
        <v>2454</v>
      </c>
      <c r="B1007" s="112" t="s">
        <v>2928</v>
      </c>
      <c r="C1007" s="82">
        <v>12085</v>
      </c>
      <c r="D1007" s="43"/>
      <c r="E1007" s="29" cm="1">
        <f t="array" ref="E1007">_xlfn.IFS(C1007=":",":",C1007&gt;=N$19,1,C1007&gt;=N$20,2,C1007&gt;=N$21,3,C1007&gt;=N$22,4,C1007&gt;=N$23,5,C1007&gt;=N$24,6,C1007&lt;N$24,7)</f>
        <v>1</v>
      </c>
      <c r="F1007" s="30"/>
      <c r="G1007" s="5"/>
      <c r="H1007" s="5"/>
    </row>
    <row r="1008" spans="1:8" ht="12" customHeight="1">
      <c r="A1008" s="10" t="s">
        <v>2455</v>
      </c>
      <c r="B1008" s="112" t="s">
        <v>2929</v>
      </c>
      <c r="C1008" s="82">
        <v>765</v>
      </c>
      <c r="D1008" s="43"/>
      <c r="E1008" s="29" cm="1">
        <f t="array" ref="E1008">_xlfn.IFS(C1008=":",":",C1008&gt;=N$19,1,C1008&gt;=N$20,2,C1008&gt;=N$21,3,C1008&gt;=N$22,4,C1008&gt;=N$23,5,C1008&gt;=N$24,6,C1008&lt;N$24,7)</f>
        <v>3</v>
      </c>
      <c r="F1008" s="30"/>
      <c r="G1008" s="5"/>
      <c r="H1008" s="5"/>
    </row>
    <row r="1009" spans="1:8" ht="12" customHeight="1">
      <c r="A1009" s="10" t="s">
        <v>2456</v>
      </c>
      <c r="B1009" s="112" t="s">
        <v>2930</v>
      </c>
      <c r="C1009" s="82">
        <v>391</v>
      </c>
      <c r="D1009" s="43"/>
      <c r="E1009" s="29" cm="1">
        <f t="array" ref="E1009">_xlfn.IFS(C1009=":",":",C1009&gt;=N$19,1,C1009&gt;=N$20,2,C1009&gt;=N$21,3,C1009&gt;=N$22,4,C1009&gt;=N$23,5,C1009&gt;=N$24,6,C1009&lt;N$24,7)</f>
        <v>4</v>
      </c>
      <c r="F1009" s="30"/>
      <c r="G1009" s="5"/>
      <c r="H1009" s="5"/>
    </row>
    <row r="1010" spans="1:8" ht="12" customHeight="1">
      <c r="A1010" s="10" t="s">
        <v>2457</v>
      </c>
      <c r="B1010" s="112" t="s">
        <v>2458</v>
      </c>
      <c r="C1010" s="82">
        <v>140</v>
      </c>
      <c r="D1010" s="43"/>
      <c r="E1010" s="29" cm="1">
        <f t="array" ref="E1010">_xlfn.IFS(C1010=":",":",C1010&gt;=N$19,1,C1010&gt;=N$20,2,C1010&gt;=N$21,3,C1010&gt;=N$22,4,C1010&gt;=N$23,5,C1010&gt;=N$24,6,C1010&lt;N$24,7)</f>
        <v>5</v>
      </c>
      <c r="F1010" s="30"/>
      <c r="G1010" s="5"/>
      <c r="H1010" s="5"/>
    </row>
    <row r="1011" spans="1:8" ht="12" customHeight="1">
      <c r="A1011" s="10" t="s">
        <v>2459</v>
      </c>
      <c r="B1011" s="112" t="s">
        <v>2460</v>
      </c>
      <c r="C1011" s="82">
        <v>77</v>
      </c>
      <c r="D1011" s="43"/>
      <c r="E1011" s="29" cm="1">
        <f t="array" ref="E1011">_xlfn.IFS(C1011=":",":",C1011&gt;=N$19,1,C1011&gt;=N$20,2,C1011&gt;=N$21,3,C1011&gt;=N$22,4,C1011&gt;=N$23,5,C1011&gt;=N$24,6,C1011&lt;N$24,7)</f>
        <v>5</v>
      </c>
      <c r="F1011" s="30"/>
      <c r="G1011" s="5"/>
      <c r="H1011" s="5"/>
    </row>
    <row r="1012" spans="1:8" ht="12" customHeight="1">
      <c r="A1012" s="10" t="s">
        <v>2461</v>
      </c>
      <c r="B1012" s="112" t="s">
        <v>2931</v>
      </c>
      <c r="C1012" s="82">
        <v>3871</v>
      </c>
      <c r="D1012" s="43"/>
      <c r="E1012" s="29" cm="1">
        <f t="array" ref="E1012">_xlfn.IFS(C1012=":",":",C1012&gt;=N$19,1,C1012&gt;=N$20,2,C1012&gt;=N$21,3,C1012&gt;=N$22,4,C1012&gt;=N$23,5,C1012&gt;=N$24,6,C1012&lt;N$24,7)</f>
        <v>2</v>
      </c>
      <c r="F1012" s="30"/>
      <c r="G1012" s="5"/>
      <c r="H1012" s="5"/>
    </row>
    <row r="1013" spans="1:8" ht="12" customHeight="1">
      <c r="A1013" s="10" t="s">
        <v>2462</v>
      </c>
      <c r="B1013" s="112" t="s">
        <v>2932</v>
      </c>
      <c r="C1013" s="82">
        <v>132</v>
      </c>
      <c r="D1013" s="43"/>
      <c r="E1013" s="29" cm="1">
        <f t="array" ref="E1013">_xlfn.IFS(C1013=":",":",C1013&gt;=N$19,1,C1013&gt;=N$20,2,C1013&gt;=N$21,3,C1013&gt;=N$22,4,C1013&gt;=N$23,5,C1013&gt;=N$24,6,C1013&lt;N$24,7)</f>
        <v>5</v>
      </c>
      <c r="F1013" s="30"/>
      <c r="G1013" s="5"/>
      <c r="H1013" s="5"/>
    </row>
    <row r="1014" spans="1:8" ht="12" customHeight="1">
      <c r="A1014" s="10" t="s">
        <v>2463</v>
      </c>
      <c r="B1014" s="112" t="s">
        <v>2464</v>
      </c>
      <c r="C1014" s="82">
        <v>92</v>
      </c>
      <c r="D1014" s="43"/>
      <c r="E1014" s="29" cm="1">
        <f t="array" ref="E1014">_xlfn.IFS(C1014=":",":",C1014&gt;=N$19,1,C1014&gt;=N$20,2,C1014&gt;=N$21,3,C1014&gt;=N$22,4,C1014&gt;=N$23,5,C1014&gt;=N$24,6,C1014&lt;N$24,7)</f>
        <v>5</v>
      </c>
      <c r="F1014" s="30"/>
      <c r="G1014" s="5"/>
      <c r="H1014" s="5"/>
    </row>
    <row r="1015" spans="1:8" ht="12" customHeight="1">
      <c r="A1015" s="10" t="s">
        <v>2465</v>
      </c>
      <c r="B1015" s="112" t="s">
        <v>2466</v>
      </c>
      <c r="C1015" s="82">
        <v>78</v>
      </c>
      <c r="D1015" s="43"/>
      <c r="E1015" s="29" cm="1">
        <f t="array" ref="E1015">_xlfn.IFS(C1015=":",":",C1015&gt;=N$19,1,C1015&gt;=N$20,2,C1015&gt;=N$21,3,C1015&gt;=N$22,4,C1015&gt;=N$23,5,C1015&gt;=N$24,6,C1015&lt;N$24,7)</f>
        <v>5</v>
      </c>
      <c r="F1015" s="30"/>
      <c r="G1015" s="5"/>
      <c r="H1015" s="5"/>
    </row>
    <row r="1016" spans="1:8" ht="12" customHeight="1">
      <c r="A1016" s="10" t="s">
        <v>2467</v>
      </c>
      <c r="B1016" s="112" t="s">
        <v>2468</v>
      </c>
      <c r="C1016" s="82">
        <v>39</v>
      </c>
      <c r="D1016" s="43"/>
      <c r="E1016" s="29" cm="1">
        <f t="array" ref="E1016">_xlfn.IFS(C1016=":",":",C1016&gt;=N$19,1,C1016&gt;=N$20,2,C1016&gt;=N$21,3,C1016&gt;=N$22,4,C1016&gt;=N$23,5,C1016&gt;=N$24,6,C1016&lt;N$24,7)</f>
        <v>6</v>
      </c>
      <c r="F1016" s="30"/>
      <c r="G1016" s="5"/>
      <c r="H1016" s="5"/>
    </row>
    <row r="1017" spans="1:8" ht="12" customHeight="1">
      <c r="A1017" s="10" t="s">
        <v>2469</v>
      </c>
      <c r="B1017" s="112" t="s">
        <v>2470</v>
      </c>
      <c r="C1017" s="82">
        <v>193</v>
      </c>
      <c r="D1017" s="43"/>
      <c r="E1017" s="29" cm="1">
        <f t="array" ref="E1017">_xlfn.IFS(C1017=":",":",C1017&gt;=N$19,1,C1017&gt;=N$20,2,C1017&gt;=N$21,3,C1017&gt;=N$22,4,C1017&gt;=N$23,5,C1017&gt;=N$24,6,C1017&lt;N$24,7)</f>
        <v>5</v>
      </c>
      <c r="F1017" s="30"/>
      <c r="G1017" s="5"/>
      <c r="H1017" s="5"/>
    </row>
    <row r="1018" spans="1:8" ht="12" customHeight="1">
      <c r="A1018" s="10" t="s">
        <v>2471</v>
      </c>
      <c r="B1018" s="112" t="s">
        <v>2933</v>
      </c>
      <c r="C1018" s="82">
        <v>163</v>
      </c>
      <c r="D1018" s="43"/>
      <c r="E1018" s="29" cm="1">
        <f t="array" ref="E1018">_xlfn.IFS(C1018=":",":",C1018&gt;=N$19,1,C1018&gt;=N$20,2,C1018&gt;=N$21,3,C1018&gt;=N$22,4,C1018&gt;=N$23,5,C1018&gt;=N$24,6,C1018&lt;N$24,7)</f>
        <v>5</v>
      </c>
      <c r="F1018" s="30"/>
      <c r="G1018" s="5"/>
      <c r="H1018" s="5"/>
    </row>
    <row r="1019" spans="1:8" ht="12" customHeight="1">
      <c r="A1019" s="10" t="s">
        <v>2472</v>
      </c>
      <c r="B1019" s="112" t="s">
        <v>2473</v>
      </c>
      <c r="C1019" s="82">
        <v>52</v>
      </c>
      <c r="D1019" s="43"/>
      <c r="E1019" s="29" cm="1">
        <f t="array" ref="E1019">_xlfn.IFS(C1019=":",":",C1019&gt;=N$19,1,C1019&gt;=N$20,2,C1019&gt;=N$21,3,C1019&gt;=N$22,4,C1019&gt;=N$23,5,C1019&gt;=N$24,6,C1019&lt;N$24,7)</f>
        <v>6</v>
      </c>
      <c r="F1019" s="30"/>
      <c r="G1019" s="5"/>
      <c r="H1019" s="5"/>
    </row>
    <row r="1020" spans="1:8" ht="12" customHeight="1">
      <c r="A1020" s="10" t="s">
        <v>2474</v>
      </c>
      <c r="B1020" s="112" t="s">
        <v>2934</v>
      </c>
      <c r="C1020" s="82">
        <v>59</v>
      </c>
      <c r="D1020" s="43"/>
      <c r="E1020" s="29" cm="1">
        <f t="array" ref="E1020">_xlfn.IFS(C1020=":",":",C1020&gt;=N$19,1,C1020&gt;=N$20,2,C1020&gt;=N$21,3,C1020&gt;=N$22,4,C1020&gt;=N$23,5,C1020&gt;=N$24,6,C1020&lt;N$24,7)</f>
        <v>6</v>
      </c>
      <c r="F1020" s="30"/>
      <c r="G1020" s="5"/>
      <c r="H1020" s="5"/>
    </row>
    <row r="1021" spans="1:8" ht="12" customHeight="1">
      <c r="A1021" s="10" t="s">
        <v>2475</v>
      </c>
      <c r="B1021" s="112" t="s">
        <v>2476</v>
      </c>
      <c r="C1021" s="82">
        <v>193</v>
      </c>
      <c r="D1021" s="43"/>
      <c r="E1021" s="29" cm="1">
        <f t="array" ref="E1021">_xlfn.IFS(C1021=":",":",C1021&gt;=N$19,1,C1021&gt;=N$20,2,C1021&gt;=N$21,3,C1021&gt;=N$22,4,C1021&gt;=N$23,5,C1021&gt;=N$24,6,C1021&lt;N$24,7)</f>
        <v>5</v>
      </c>
      <c r="F1021" s="30"/>
      <c r="G1021" s="5"/>
      <c r="H1021" s="5"/>
    </row>
    <row r="1022" spans="1:8" ht="12" customHeight="1">
      <c r="A1022" s="10" t="s">
        <v>2477</v>
      </c>
      <c r="B1022" s="112" t="s">
        <v>2935</v>
      </c>
      <c r="C1022" s="82">
        <v>130</v>
      </c>
      <c r="D1022" s="43"/>
      <c r="E1022" s="29" cm="1">
        <f t="array" ref="E1022">_xlfn.IFS(C1022=":",":",C1022&gt;=N$19,1,C1022&gt;=N$20,2,C1022&gt;=N$21,3,C1022&gt;=N$22,4,C1022&gt;=N$23,5,C1022&gt;=N$24,6,C1022&lt;N$24,7)</f>
        <v>5</v>
      </c>
      <c r="F1022" s="30"/>
      <c r="G1022" s="5"/>
      <c r="H1022" s="5"/>
    </row>
    <row r="1023" spans="1:8" ht="12" customHeight="1">
      <c r="A1023" s="10" t="s">
        <v>2478</v>
      </c>
      <c r="B1023" s="112" t="s">
        <v>2936</v>
      </c>
      <c r="C1023" s="82">
        <v>345</v>
      </c>
      <c r="D1023" s="43"/>
      <c r="E1023" s="29" cm="1">
        <f t="array" ref="E1023">_xlfn.IFS(C1023=":",":",C1023&gt;=N$19,1,C1023&gt;=N$20,2,C1023&gt;=N$21,3,C1023&gt;=N$22,4,C1023&gt;=N$23,5,C1023&gt;=N$24,6,C1023&lt;N$24,7)</f>
        <v>4</v>
      </c>
      <c r="F1023" s="30"/>
      <c r="G1023" s="5"/>
      <c r="H1023" s="5"/>
    </row>
    <row r="1024" spans="1:8" ht="12" customHeight="1">
      <c r="A1024" s="10" t="s">
        <v>2479</v>
      </c>
      <c r="B1024" s="112" t="s">
        <v>2480</v>
      </c>
      <c r="C1024" s="82">
        <v>124</v>
      </c>
      <c r="D1024" s="43"/>
      <c r="E1024" s="29" cm="1">
        <f t="array" ref="E1024">_xlfn.IFS(C1024=":",":",C1024&gt;=N$19,1,C1024&gt;=N$20,2,C1024&gt;=N$21,3,C1024&gt;=N$22,4,C1024&gt;=N$23,5,C1024&gt;=N$24,6,C1024&lt;N$24,7)</f>
        <v>5</v>
      </c>
      <c r="F1024" s="30"/>
      <c r="G1024" s="5"/>
      <c r="H1024" s="5"/>
    </row>
    <row r="1025" spans="1:8" ht="12" customHeight="1">
      <c r="A1025" s="10" t="s">
        <v>2481</v>
      </c>
      <c r="B1025" s="112" t="s">
        <v>2482</v>
      </c>
      <c r="C1025" s="82">
        <v>224</v>
      </c>
      <c r="D1025" s="43"/>
      <c r="E1025" s="29" cm="1">
        <f t="array" ref="E1025">_xlfn.IFS(C1025=":",":",C1025&gt;=N$19,1,C1025&gt;=N$20,2,C1025&gt;=N$21,3,C1025&gt;=N$22,4,C1025&gt;=N$23,5,C1025&gt;=N$24,6,C1025&lt;N$24,7)</f>
        <v>4</v>
      </c>
      <c r="F1025" s="30"/>
      <c r="G1025" s="5"/>
      <c r="H1025" s="5"/>
    </row>
    <row r="1026" spans="1:8" ht="12" customHeight="1">
      <c r="A1026" s="10" t="s">
        <v>2483</v>
      </c>
      <c r="B1026" s="112" t="s">
        <v>2484</v>
      </c>
      <c r="C1026" s="82">
        <v>80</v>
      </c>
      <c r="D1026" s="43"/>
      <c r="E1026" s="29" cm="1">
        <f t="array" ref="E1026">_xlfn.IFS(C1026=":",":",C1026&gt;=N$19,1,C1026&gt;=N$20,2,C1026&gt;=N$21,3,C1026&gt;=N$22,4,C1026&gt;=N$23,5,C1026&gt;=N$24,6,C1026&lt;N$24,7)</f>
        <v>5</v>
      </c>
      <c r="F1026" s="30"/>
      <c r="G1026" s="5"/>
      <c r="H1026" s="5"/>
    </row>
    <row r="1027" spans="1:8" ht="12" customHeight="1">
      <c r="A1027" s="10" t="s">
        <v>2485</v>
      </c>
      <c r="B1027" s="112" t="s">
        <v>2937</v>
      </c>
      <c r="C1027" s="82">
        <v>96</v>
      </c>
      <c r="D1027" s="43"/>
      <c r="E1027" s="29" cm="1">
        <f t="array" ref="E1027">_xlfn.IFS(C1027=":",":",C1027&gt;=N$19,1,C1027&gt;=N$20,2,C1027&gt;=N$21,3,C1027&gt;=N$22,4,C1027&gt;=N$23,5,C1027&gt;=N$24,6,C1027&lt;N$24,7)</f>
        <v>5</v>
      </c>
      <c r="F1027" s="30"/>
      <c r="G1027" s="5"/>
      <c r="H1027" s="5"/>
    </row>
    <row r="1028" spans="1:8" ht="12" customHeight="1">
      <c r="A1028" s="10" t="s">
        <v>2486</v>
      </c>
      <c r="B1028" s="112" t="s">
        <v>2938</v>
      </c>
      <c r="C1028" s="82">
        <v>38</v>
      </c>
      <c r="D1028" s="43"/>
      <c r="E1028" s="29" cm="1">
        <f t="array" ref="E1028">_xlfn.IFS(C1028=":",":",C1028&gt;=N$19,1,C1028&gt;=N$20,2,C1028&gt;=N$21,3,C1028&gt;=N$22,4,C1028&gt;=N$23,5,C1028&gt;=N$24,6,C1028&lt;N$24,7)</f>
        <v>6</v>
      </c>
      <c r="F1028" s="30"/>
      <c r="G1028" s="5"/>
      <c r="H1028" s="5"/>
    </row>
    <row r="1029" spans="1:8" ht="12" customHeight="1">
      <c r="A1029" s="10" t="s">
        <v>2487</v>
      </c>
      <c r="B1029" s="112" t="s">
        <v>2488</v>
      </c>
      <c r="C1029" s="82">
        <v>74</v>
      </c>
      <c r="D1029" s="43"/>
      <c r="E1029" s="29" cm="1">
        <f t="array" ref="E1029">_xlfn.IFS(C1029=":",":",C1029&gt;=N$19,1,C1029&gt;=N$20,2,C1029&gt;=N$21,3,C1029&gt;=N$22,4,C1029&gt;=N$23,5,C1029&gt;=N$24,6,C1029&lt;N$24,7)</f>
        <v>6</v>
      </c>
      <c r="F1029" s="30"/>
      <c r="G1029" s="5"/>
      <c r="H1029" s="5"/>
    </row>
    <row r="1030" spans="1:8" ht="12" customHeight="1">
      <c r="A1030" s="10" t="s">
        <v>2489</v>
      </c>
      <c r="B1030" s="112" t="s">
        <v>2490</v>
      </c>
      <c r="C1030" s="82">
        <v>15853</v>
      </c>
      <c r="D1030" s="43"/>
      <c r="E1030" s="29" cm="1">
        <f t="array" ref="E1030">_xlfn.IFS(C1030=":",":",C1030&gt;=N$19,1,C1030&gt;=N$20,2,C1030&gt;=N$21,3,C1030&gt;=N$22,4,C1030&gt;=N$23,5,C1030&gt;=N$24,6,C1030&lt;N$24,7)</f>
        <v>1</v>
      </c>
      <c r="F1030" s="30"/>
      <c r="G1030" s="5"/>
      <c r="H1030" s="5"/>
    </row>
    <row r="1031" spans="1:8" ht="12" customHeight="1">
      <c r="A1031" s="10" t="s">
        <v>2491</v>
      </c>
      <c r="B1031" s="112" t="s">
        <v>2492</v>
      </c>
      <c r="C1031" s="82">
        <v>223</v>
      </c>
      <c r="D1031" s="43"/>
      <c r="E1031" s="29" cm="1">
        <f t="array" ref="E1031">_xlfn.IFS(C1031=":",":",C1031&gt;=N$19,1,C1031&gt;=N$20,2,C1031&gt;=N$21,3,C1031&gt;=N$22,4,C1031&gt;=N$23,5,C1031&gt;=N$24,6,C1031&lt;N$24,7)</f>
        <v>4</v>
      </c>
      <c r="F1031" s="30"/>
      <c r="G1031" s="5"/>
      <c r="H1031" s="5"/>
    </row>
    <row r="1032" spans="1:8" ht="12" customHeight="1">
      <c r="A1032" s="10" t="s">
        <v>2493</v>
      </c>
      <c r="B1032" s="112" t="s">
        <v>2494</v>
      </c>
      <c r="C1032" s="82">
        <v>345</v>
      </c>
      <c r="D1032" s="43"/>
      <c r="E1032" s="29" cm="1">
        <f t="array" ref="E1032">_xlfn.IFS(C1032=":",":",C1032&gt;=N$19,1,C1032&gt;=N$20,2,C1032&gt;=N$21,3,C1032&gt;=N$22,4,C1032&gt;=N$23,5,C1032&gt;=N$24,6,C1032&lt;N$24,7)</f>
        <v>4</v>
      </c>
      <c r="F1032" s="30"/>
      <c r="G1032" s="5"/>
      <c r="H1032" s="5"/>
    </row>
    <row r="1033" spans="1:8" ht="12" customHeight="1">
      <c r="A1033" s="10" t="s">
        <v>2495</v>
      </c>
      <c r="B1033" s="112" t="s">
        <v>2496</v>
      </c>
      <c r="C1033" s="82">
        <v>67</v>
      </c>
      <c r="D1033" s="43"/>
      <c r="E1033" s="29" cm="1">
        <f t="array" ref="E1033">_xlfn.IFS(C1033=":",":",C1033&gt;=N$19,1,C1033&gt;=N$20,2,C1033&gt;=N$21,3,C1033&gt;=N$22,4,C1033&gt;=N$23,5,C1033&gt;=N$24,6,C1033&lt;N$24,7)</f>
        <v>6</v>
      </c>
      <c r="F1033" s="30"/>
      <c r="G1033" s="5"/>
      <c r="H1033" s="5"/>
    </row>
    <row r="1034" spans="1:8" ht="12" customHeight="1">
      <c r="A1034" s="10" t="s">
        <v>2497</v>
      </c>
      <c r="B1034" s="112" t="s">
        <v>2498</v>
      </c>
      <c r="C1034" s="82">
        <v>24</v>
      </c>
      <c r="D1034" s="43"/>
      <c r="E1034" s="29" cm="1">
        <f t="array" ref="E1034">_xlfn.IFS(C1034=":",":",C1034&gt;=N$19,1,C1034&gt;=N$20,2,C1034&gt;=N$21,3,C1034&gt;=N$22,4,C1034&gt;=N$23,5,C1034&gt;=N$24,6,C1034&lt;N$24,7)</f>
        <v>6</v>
      </c>
      <c r="F1034" s="30"/>
      <c r="G1034" s="5"/>
      <c r="H1034" s="5"/>
    </row>
    <row r="1035" spans="1:8" ht="12" customHeight="1">
      <c r="A1035" s="10" t="s">
        <v>2499</v>
      </c>
      <c r="B1035" s="112" t="s">
        <v>2939</v>
      </c>
      <c r="C1035" s="82">
        <v>54</v>
      </c>
      <c r="D1035" s="43"/>
      <c r="E1035" s="29" cm="1">
        <f t="array" ref="E1035">_xlfn.IFS(C1035=":",":",C1035&gt;=N$19,1,C1035&gt;=N$20,2,C1035&gt;=N$21,3,C1035&gt;=N$22,4,C1035&gt;=N$23,5,C1035&gt;=N$24,6,C1035&lt;N$24,7)</f>
        <v>6</v>
      </c>
      <c r="F1035" s="30"/>
      <c r="G1035" s="5"/>
      <c r="H1035" s="5"/>
    </row>
    <row r="1036" spans="1:8" ht="12" customHeight="1">
      <c r="A1036" s="10" t="s">
        <v>2500</v>
      </c>
      <c r="B1036" s="112" t="s">
        <v>2940</v>
      </c>
      <c r="C1036" s="82">
        <v>20</v>
      </c>
      <c r="D1036" s="43"/>
      <c r="E1036" s="29" cm="1">
        <f t="array" ref="E1036">_xlfn.IFS(C1036=":",":",C1036&gt;=N$19,1,C1036&gt;=N$20,2,C1036&gt;=N$21,3,C1036&gt;=N$22,4,C1036&gt;=N$23,5,C1036&gt;=N$24,6,C1036&lt;N$24,7)</f>
        <v>6</v>
      </c>
      <c r="F1036" s="30"/>
      <c r="G1036" s="5"/>
      <c r="H1036" s="5"/>
    </row>
    <row r="1037" spans="1:8" ht="12" customHeight="1">
      <c r="A1037" s="10" t="s">
        <v>2501</v>
      </c>
      <c r="B1037" s="112" t="s">
        <v>2502</v>
      </c>
      <c r="C1037" s="82">
        <v>72</v>
      </c>
      <c r="D1037" s="43"/>
      <c r="E1037" s="29" cm="1">
        <f t="array" ref="E1037">_xlfn.IFS(C1037=":",":",C1037&gt;=N$19,1,C1037&gt;=N$20,2,C1037&gt;=N$21,3,C1037&gt;=N$22,4,C1037&gt;=N$23,5,C1037&gt;=N$24,6,C1037&lt;N$24,7)</f>
        <v>6</v>
      </c>
      <c r="F1037" s="30"/>
      <c r="G1037" s="5"/>
      <c r="H1037" s="5"/>
    </row>
    <row r="1038" spans="1:8" ht="12" customHeight="1">
      <c r="A1038" s="10" t="s">
        <v>2503</v>
      </c>
      <c r="B1038" s="112" t="s">
        <v>2941</v>
      </c>
      <c r="C1038" s="82">
        <v>143</v>
      </c>
      <c r="D1038" s="43"/>
      <c r="E1038" s="29" cm="1">
        <f t="array" ref="E1038">_xlfn.IFS(C1038=":",":",C1038&gt;=N$19,1,C1038&gt;=N$20,2,C1038&gt;=N$21,3,C1038&gt;=N$22,4,C1038&gt;=N$23,5,C1038&gt;=N$24,6,C1038&lt;N$24,7)</f>
        <v>5</v>
      </c>
      <c r="F1038" s="30"/>
      <c r="G1038" s="5"/>
      <c r="H1038" s="5"/>
    </row>
    <row r="1039" spans="1:8" ht="12" customHeight="1">
      <c r="A1039" s="10" t="s">
        <v>2504</v>
      </c>
      <c r="B1039" s="112" t="s">
        <v>2505</v>
      </c>
      <c r="C1039" s="82">
        <v>547</v>
      </c>
      <c r="D1039" s="43"/>
      <c r="E1039" s="29" cm="1">
        <f t="array" ref="E1039">_xlfn.IFS(C1039=":",":",C1039&gt;=N$19,1,C1039&gt;=N$20,2,C1039&gt;=N$21,3,C1039&gt;=N$22,4,C1039&gt;=N$23,5,C1039&gt;=N$24,6,C1039&lt;N$24,7)</f>
        <v>3</v>
      </c>
      <c r="F1039" s="30"/>
      <c r="G1039" s="5"/>
      <c r="H1039" s="5"/>
    </row>
    <row r="1040" spans="1:8" ht="12" customHeight="1">
      <c r="A1040" s="10" t="s">
        <v>2506</v>
      </c>
      <c r="B1040" s="112" t="s">
        <v>2507</v>
      </c>
      <c r="C1040" s="82">
        <v>1062</v>
      </c>
      <c r="D1040" s="43"/>
      <c r="E1040" s="29" cm="1">
        <f t="array" ref="E1040">_xlfn.IFS(C1040=":",":",C1040&gt;=N$19,1,C1040&gt;=N$20,2,C1040&gt;=N$21,3,C1040&gt;=N$22,4,C1040&gt;=N$23,5,C1040&gt;=N$24,6,C1040&lt;N$24,7)</f>
        <v>3</v>
      </c>
      <c r="F1040" s="30"/>
      <c r="G1040" s="5"/>
      <c r="H1040" s="5"/>
    </row>
    <row r="1041" spans="1:8" ht="12" customHeight="1">
      <c r="A1041" s="10" t="s">
        <v>2508</v>
      </c>
      <c r="B1041" s="112" t="s">
        <v>2509</v>
      </c>
      <c r="C1041" s="82">
        <v>491</v>
      </c>
      <c r="D1041" s="43"/>
      <c r="E1041" s="29" cm="1">
        <f t="array" ref="E1041">_xlfn.IFS(C1041=":",":",C1041&gt;=N$19,1,C1041&gt;=N$20,2,C1041&gt;=N$21,3,C1041&gt;=N$22,4,C1041&gt;=N$23,5,C1041&gt;=N$24,6,C1041&lt;N$24,7)</f>
        <v>4</v>
      </c>
      <c r="F1041" s="30"/>
      <c r="G1041" s="5"/>
      <c r="H1041" s="5"/>
    </row>
    <row r="1042" spans="1:8" ht="12" customHeight="1">
      <c r="A1042" s="10" t="s">
        <v>2510</v>
      </c>
      <c r="B1042" s="112" t="s">
        <v>2511</v>
      </c>
      <c r="C1042" s="82">
        <v>4933</v>
      </c>
      <c r="D1042" s="43"/>
      <c r="E1042" s="29" cm="1">
        <f t="array" ref="E1042">_xlfn.IFS(C1042=":",":",C1042&gt;=N$19,1,C1042&gt;=N$20,2,C1042&gt;=N$21,3,C1042&gt;=N$22,4,C1042&gt;=N$23,5,C1042&gt;=N$24,6,C1042&lt;N$24,7)</f>
        <v>2</v>
      </c>
      <c r="F1042" s="30"/>
      <c r="G1042" s="5"/>
      <c r="H1042" s="5"/>
    </row>
    <row r="1043" spans="1:8" ht="12" customHeight="1">
      <c r="A1043" s="16" t="s">
        <v>2512</v>
      </c>
      <c r="B1043" s="11" t="s">
        <v>3025</v>
      </c>
      <c r="C1043" s="82">
        <v>139</v>
      </c>
      <c r="D1043" s="43"/>
      <c r="E1043" s="29" cm="1">
        <f t="array" ref="E1043">_xlfn.IFS(C1043=":",":",C1043&gt;=N$19,1,C1043&gt;=N$20,2,C1043&gt;=N$21,3,C1043&gt;=N$22,4,C1043&gt;=N$23,5,C1043&gt;=N$24,6,C1043&lt;N$24,7)</f>
        <v>5</v>
      </c>
      <c r="F1043" s="30"/>
      <c r="G1043" s="5"/>
      <c r="H1043" s="5"/>
    </row>
    <row r="1044" spans="1:8" ht="12" customHeight="1">
      <c r="A1044" s="10" t="s">
        <v>2513</v>
      </c>
      <c r="B1044" s="112" t="s">
        <v>2514</v>
      </c>
      <c r="C1044" s="82">
        <v>290</v>
      </c>
      <c r="D1044" s="43"/>
      <c r="E1044" s="29" cm="1">
        <f t="array" ref="E1044">_xlfn.IFS(C1044=":",":",C1044&gt;=N$19,1,C1044&gt;=N$20,2,C1044&gt;=N$21,3,C1044&gt;=N$22,4,C1044&gt;=N$23,5,C1044&gt;=N$24,6,C1044&lt;N$24,7)</f>
        <v>4</v>
      </c>
      <c r="F1044" s="30"/>
      <c r="G1044" s="5"/>
      <c r="H1044" s="5"/>
    </row>
    <row r="1045" spans="1:8" ht="12" customHeight="1">
      <c r="A1045" s="10" t="s">
        <v>2515</v>
      </c>
      <c r="B1045" s="112" t="s">
        <v>2516</v>
      </c>
      <c r="C1045" s="82">
        <v>179</v>
      </c>
      <c r="D1045" s="43"/>
      <c r="E1045" s="29" cm="1">
        <f t="array" ref="E1045">_xlfn.IFS(C1045=":",":",C1045&gt;=N$19,1,C1045&gt;=N$20,2,C1045&gt;=N$21,3,C1045&gt;=N$22,4,C1045&gt;=N$23,5,C1045&gt;=N$24,6,C1045&lt;N$24,7)</f>
        <v>5</v>
      </c>
      <c r="F1045" s="30"/>
      <c r="G1045" s="5"/>
      <c r="H1045" s="5"/>
    </row>
    <row r="1046" spans="1:8" ht="12" customHeight="1">
      <c r="A1046" s="10" t="s">
        <v>2517</v>
      </c>
      <c r="B1046" s="112" t="s">
        <v>2518</v>
      </c>
      <c r="C1046" s="82">
        <v>65</v>
      </c>
      <c r="D1046" s="43"/>
      <c r="E1046" s="29" cm="1">
        <f t="array" ref="E1046">_xlfn.IFS(C1046=":",":",C1046&gt;=N$19,1,C1046&gt;=N$20,2,C1046&gt;=N$21,3,C1046&gt;=N$22,4,C1046&gt;=N$23,5,C1046&gt;=N$24,6,C1046&lt;N$24,7)</f>
        <v>6</v>
      </c>
      <c r="F1046" s="30"/>
      <c r="G1046" s="5"/>
      <c r="H1046" s="5"/>
    </row>
    <row r="1047" spans="1:8" ht="12" customHeight="1">
      <c r="A1047" s="10" t="s">
        <v>2519</v>
      </c>
      <c r="B1047" s="112" t="s">
        <v>395</v>
      </c>
      <c r="C1047" s="82">
        <v>4659</v>
      </c>
      <c r="D1047" s="43"/>
      <c r="E1047" s="29" cm="1">
        <f t="array" ref="E1047">_xlfn.IFS(C1047=":",":",C1047&gt;=N$19,1,C1047&gt;=N$20,2,C1047&gt;=N$21,3,C1047&gt;=N$22,4,C1047&gt;=N$23,5,C1047&gt;=N$24,6,C1047&lt;N$24,7)</f>
        <v>2</v>
      </c>
      <c r="F1047" s="30"/>
      <c r="G1047" s="5"/>
      <c r="H1047" s="5"/>
    </row>
    <row r="1048" spans="1:8" ht="12" customHeight="1">
      <c r="A1048" s="16" t="s">
        <v>3050</v>
      </c>
      <c r="B1048" s="112" t="s">
        <v>2521</v>
      </c>
      <c r="C1048" s="82">
        <v>744</v>
      </c>
      <c r="D1048" s="43"/>
      <c r="E1048" s="29" cm="1">
        <f t="array" ref="E1048">_xlfn.IFS(C1048=":",":",C1048&gt;=N$19,1,C1048&gt;=N$20,2,C1048&gt;=N$21,3,C1048&gt;=N$22,4,C1048&gt;=N$23,5,C1048&gt;=N$24,6,C1048&lt;N$24,7)</f>
        <v>3</v>
      </c>
      <c r="F1048" s="30"/>
      <c r="G1048" s="5"/>
      <c r="H1048" s="5"/>
    </row>
    <row r="1049" spans="1:8" ht="12" customHeight="1">
      <c r="A1049" s="16" t="s">
        <v>3051</v>
      </c>
      <c r="B1049" s="11" t="s">
        <v>2522</v>
      </c>
      <c r="C1049" s="82">
        <v>477</v>
      </c>
      <c r="D1049" s="43"/>
      <c r="E1049" s="29" cm="1">
        <f t="array" ref="E1049">_xlfn.IFS(C1049=":",":",C1049&gt;=N$19,1,C1049&gt;=N$20,2,C1049&gt;=N$21,3,C1049&gt;=N$22,4,C1049&gt;=N$23,5,C1049&gt;=N$24,6,C1049&lt;N$24,7)</f>
        <v>4</v>
      </c>
      <c r="F1049" s="30"/>
      <c r="G1049" s="5"/>
      <c r="H1049" s="5"/>
    </row>
    <row r="1050" spans="1:8" ht="12" customHeight="1">
      <c r="A1050" s="16" t="s">
        <v>3052</v>
      </c>
      <c r="B1050" s="11" t="s">
        <v>2523</v>
      </c>
      <c r="C1050" s="82">
        <v>347</v>
      </c>
      <c r="D1050" s="43"/>
      <c r="E1050" s="29" cm="1">
        <f t="array" ref="E1050">_xlfn.IFS(C1050=":",":",C1050&gt;=N$19,1,C1050&gt;=N$20,2,C1050&gt;=N$21,3,C1050&gt;=N$22,4,C1050&gt;=N$23,5,C1050&gt;=N$24,6,C1050&lt;N$24,7)</f>
        <v>4</v>
      </c>
      <c r="F1050" s="30"/>
      <c r="G1050" s="5"/>
      <c r="H1050" s="5"/>
    </row>
    <row r="1051" spans="1:8" ht="12" customHeight="1">
      <c r="A1051" s="16" t="s">
        <v>3053</v>
      </c>
      <c r="B1051" s="11" t="s">
        <v>2524</v>
      </c>
      <c r="C1051" s="82">
        <v>209</v>
      </c>
      <c r="D1051" s="43"/>
      <c r="E1051" s="29" cm="1">
        <f t="array" ref="E1051">_xlfn.IFS(C1051=":",":",C1051&gt;=N$19,1,C1051&gt;=N$20,2,C1051&gt;=N$21,3,C1051&gt;=N$22,4,C1051&gt;=N$23,5,C1051&gt;=N$24,6,C1051&lt;N$24,7)</f>
        <v>4</v>
      </c>
      <c r="F1051" s="30"/>
      <c r="G1051" s="5"/>
      <c r="H1051" s="5"/>
    </row>
    <row r="1052" spans="1:8" ht="12" customHeight="1">
      <c r="A1052" s="16" t="s">
        <v>3054</v>
      </c>
      <c r="B1052" s="11" t="s">
        <v>2525</v>
      </c>
      <c r="C1052" s="82">
        <v>68</v>
      </c>
      <c r="D1052" s="43"/>
      <c r="E1052" s="29" cm="1">
        <f t="array" ref="E1052">_xlfn.IFS(C1052=":",":",C1052&gt;=N$19,1,C1052&gt;=N$20,2,C1052&gt;=N$21,3,C1052&gt;=N$22,4,C1052&gt;=N$23,5,C1052&gt;=N$24,6,C1052&lt;N$24,7)</f>
        <v>6</v>
      </c>
      <c r="F1052" s="30"/>
      <c r="G1052" s="5"/>
      <c r="H1052" s="5"/>
    </row>
    <row r="1053" spans="1:8" ht="12" customHeight="1">
      <c r="A1053" s="16" t="s">
        <v>3055</v>
      </c>
      <c r="B1053" s="11" t="s">
        <v>2527</v>
      </c>
      <c r="C1053" s="82">
        <v>166</v>
      </c>
      <c r="D1053" s="43"/>
      <c r="E1053" s="29" cm="1">
        <f t="array" ref="E1053">_xlfn.IFS(C1053=":",":",C1053&gt;=N$19,1,C1053&gt;=N$20,2,C1053&gt;=N$21,3,C1053&gt;=N$22,4,C1053&gt;=N$23,5,C1053&gt;=N$24,6,C1053&lt;N$24,7)</f>
        <v>5</v>
      </c>
      <c r="F1053" s="30"/>
      <c r="G1053" s="5"/>
      <c r="H1053" s="5"/>
    </row>
    <row r="1054" spans="1:8" ht="12" customHeight="1">
      <c r="A1054" s="16" t="s">
        <v>3056</v>
      </c>
      <c r="B1054" s="11" t="s">
        <v>3057</v>
      </c>
      <c r="C1054" s="82">
        <v>15049</v>
      </c>
      <c r="D1054" s="43"/>
      <c r="E1054" s="29" cm="1">
        <f t="array" ref="E1054">_xlfn.IFS(C1054=":",":",C1054&gt;=N$19,1,C1054&gt;=N$20,2,C1054&gt;=N$21,3,C1054&gt;=N$22,4,C1054&gt;=N$23,5,C1054&gt;=N$24,6,C1054&lt;N$24,7)</f>
        <v>1</v>
      </c>
      <c r="F1054" s="30"/>
      <c r="G1054" s="5"/>
      <c r="H1054" s="5"/>
    </row>
    <row r="1055" spans="1:8" ht="12" customHeight="1">
      <c r="A1055" s="16" t="s">
        <v>3058</v>
      </c>
      <c r="B1055" s="112" t="s">
        <v>3059</v>
      </c>
      <c r="C1055" s="82">
        <v>1666</v>
      </c>
      <c r="D1055" s="43"/>
      <c r="E1055" s="29" cm="1">
        <f t="array" ref="E1055">_xlfn.IFS(C1055=":",":",C1055&gt;=N$19,1,C1055&gt;=N$20,2,C1055&gt;=N$21,3,C1055&gt;=N$22,4,C1055&gt;=N$23,5,C1055&gt;=N$24,6,C1055&lt;N$24,7)</f>
        <v>2</v>
      </c>
      <c r="F1055" s="30"/>
      <c r="G1055" s="5"/>
      <c r="H1055" s="5"/>
    </row>
    <row r="1056" spans="1:8" ht="12" customHeight="1">
      <c r="A1056" s="16" t="s">
        <v>3060</v>
      </c>
      <c r="B1056" s="112" t="s">
        <v>2528</v>
      </c>
      <c r="C1056" s="82">
        <v>414</v>
      </c>
      <c r="D1056" s="43"/>
      <c r="E1056" s="29" cm="1">
        <f t="array" ref="E1056">_xlfn.IFS(C1056=":",":",C1056&gt;=N$19,1,C1056&gt;=N$20,2,C1056&gt;=N$21,3,C1056&gt;=N$22,4,C1056&gt;=N$23,5,C1056&gt;=N$24,6,C1056&lt;N$24,7)</f>
        <v>4</v>
      </c>
      <c r="F1056" s="30"/>
      <c r="G1056" s="5"/>
      <c r="H1056" s="5"/>
    </row>
    <row r="1057" spans="1:8" ht="12" customHeight="1">
      <c r="A1057" s="16" t="s">
        <v>3061</v>
      </c>
      <c r="B1057" s="11" t="s">
        <v>2529</v>
      </c>
      <c r="C1057" s="82">
        <v>68</v>
      </c>
      <c r="D1057" s="43"/>
      <c r="E1057" s="29" cm="1">
        <f t="array" ref="E1057">_xlfn.IFS(C1057=":",":",C1057&gt;=N$19,1,C1057&gt;=N$20,2,C1057&gt;=N$21,3,C1057&gt;=N$22,4,C1057&gt;=N$23,5,C1057&gt;=N$24,6,C1057&lt;N$24,7)</f>
        <v>6</v>
      </c>
      <c r="F1057" s="30"/>
      <c r="G1057" s="5"/>
      <c r="H1057" s="5"/>
    </row>
    <row r="1058" spans="1:8" ht="12" customHeight="1">
      <c r="A1058" s="16" t="s">
        <v>3062</v>
      </c>
      <c r="B1058" s="112" t="s">
        <v>2531</v>
      </c>
      <c r="C1058" s="82">
        <v>94</v>
      </c>
      <c r="D1058" s="43"/>
      <c r="E1058" s="29" cm="1">
        <f t="array" ref="E1058">_xlfn.IFS(C1058=":",":",C1058&gt;=N$19,1,C1058&gt;=N$20,2,C1058&gt;=N$21,3,C1058&gt;=N$22,4,C1058&gt;=N$23,5,C1058&gt;=N$24,6,C1058&lt;N$24,7)</f>
        <v>5</v>
      </c>
      <c r="F1058" s="30"/>
      <c r="G1058" s="5"/>
      <c r="H1058" s="5"/>
    </row>
    <row r="1059" spans="1:8" ht="12" customHeight="1">
      <c r="A1059" s="16" t="s">
        <v>3063</v>
      </c>
      <c r="B1059" s="11" t="s">
        <v>2532</v>
      </c>
      <c r="C1059" s="82">
        <v>161</v>
      </c>
      <c r="D1059" s="43"/>
      <c r="E1059" s="29" cm="1">
        <f t="array" ref="E1059">_xlfn.IFS(C1059=":",":",C1059&gt;=N$19,1,C1059&gt;=N$20,2,C1059&gt;=N$21,3,C1059&gt;=N$22,4,C1059&gt;=N$23,5,C1059&gt;=N$24,6,C1059&lt;N$24,7)</f>
        <v>5</v>
      </c>
      <c r="F1059" s="30"/>
      <c r="G1059" s="5"/>
      <c r="H1059" s="5"/>
    </row>
    <row r="1060" spans="1:8" ht="12" customHeight="1">
      <c r="A1060" s="16" t="s">
        <v>3064</v>
      </c>
      <c r="B1060" s="11" t="s">
        <v>2520</v>
      </c>
      <c r="C1060" s="82">
        <v>999</v>
      </c>
      <c r="D1060" s="43"/>
      <c r="E1060" s="29" cm="1">
        <f t="array" ref="E1060">_xlfn.IFS(C1060=":",":",C1060&gt;=N$19,1,C1060&gt;=N$20,2,C1060&gt;=N$21,3,C1060&gt;=N$22,4,C1060&gt;=N$23,5,C1060&gt;=N$24,6,C1060&lt;N$24,7)</f>
        <v>3</v>
      </c>
      <c r="F1060" s="30"/>
      <c r="G1060" s="5"/>
      <c r="H1060" s="5"/>
    </row>
    <row r="1061" spans="1:8" ht="12" customHeight="1">
      <c r="A1061" s="16" t="s">
        <v>3065</v>
      </c>
      <c r="B1061" s="11" t="s">
        <v>2526</v>
      </c>
      <c r="C1061" s="82">
        <v>617</v>
      </c>
      <c r="D1061" s="43"/>
      <c r="E1061" s="29" cm="1">
        <f t="array" ref="E1061">_xlfn.IFS(C1061=":",":",C1061&gt;=N$19,1,C1061&gt;=N$20,2,C1061&gt;=N$21,3,C1061&gt;=N$22,4,C1061&gt;=N$23,5,C1061&gt;=N$24,6,C1061&lt;N$24,7)</f>
        <v>3</v>
      </c>
      <c r="F1061" s="30"/>
      <c r="G1061" s="5"/>
      <c r="H1061" s="5"/>
    </row>
    <row r="1062" spans="1:8" ht="12" customHeight="1">
      <c r="A1062" s="16" t="s">
        <v>3066</v>
      </c>
      <c r="B1062" s="11" t="s">
        <v>2530</v>
      </c>
      <c r="C1062" s="82">
        <v>81</v>
      </c>
      <c r="D1062" s="43"/>
      <c r="E1062" s="29" cm="1">
        <f t="array" ref="E1062">_xlfn.IFS(C1062=":",":",C1062&gt;=N$19,1,C1062&gt;=N$20,2,C1062&gt;=N$21,3,C1062&gt;=N$22,4,C1062&gt;=N$23,5,C1062&gt;=N$24,6,C1062&lt;N$24,7)</f>
        <v>5</v>
      </c>
      <c r="F1062" s="30"/>
      <c r="G1062" s="5"/>
      <c r="H1062" s="5"/>
    </row>
    <row r="1063" spans="1:8" ht="12" customHeight="1">
      <c r="A1063" s="10" t="s">
        <v>2533</v>
      </c>
      <c r="B1063" s="112" t="s">
        <v>537</v>
      </c>
      <c r="C1063" s="82">
        <v>1329</v>
      </c>
      <c r="D1063" s="43"/>
      <c r="E1063" s="29" cm="1">
        <f t="array" ref="E1063">_xlfn.IFS(C1063=":",":",C1063&gt;=N$19,1,C1063&gt;=N$20,2,C1063&gt;=N$21,3,C1063&gt;=N$22,4,C1063&gt;=N$23,5,C1063&gt;=N$24,6,C1063&lt;N$24,7)</f>
        <v>3</v>
      </c>
      <c r="F1063" s="30"/>
      <c r="G1063" s="5"/>
      <c r="H1063" s="5"/>
    </row>
    <row r="1064" spans="1:8" ht="12" customHeight="1">
      <c r="A1064" s="10" t="s">
        <v>2534</v>
      </c>
      <c r="B1064" s="112" t="s">
        <v>538</v>
      </c>
      <c r="C1064" s="82">
        <v>11986</v>
      </c>
      <c r="D1064" s="43"/>
      <c r="E1064" s="29" cm="1">
        <f t="array" ref="E1064">_xlfn.IFS(C1064=":",":",C1064&gt;=N$19,1,C1064&gt;=N$20,2,C1064&gt;=N$21,3,C1064&gt;=N$22,4,C1064&gt;=N$23,5,C1064&gt;=N$24,6,C1064&lt;N$24,7)</f>
        <v>1</v>
      </c>
      <c r="F1064" s="30"/>
      <c r="G1064" s="5"/>
      <c r="H1064" s="5"/>
    </row>
    <row r="1065" spans="1:8" ht="12" customHeight="1">
      <c r="A1065" s="10" t="s">
        <v>2535</v>
      </c>
      <c r="B1065" s="112" t="s">
        <v>2536</v>
      </c>
      <c r="C1065" s="82">
        <v>201</v>
      </c>
      <c r="D1065" s="43"/>
      <c r="E1065" s="29" cm="1">
        <f t="array" ref="E1065">_xlfn.IFS(C1065=":",":",C1065&gt;=N$19,1,C1065&gt;=N$20,2,C1065&gt;=N$21,3,C1065&gt;=N$22,4,C1065&gt;=N$23,5,C1065&gt;=N$24,6,C1065&lt;N$24,7)</f>
        <v>4</v>
      </c>
      <c r="F1065" s="30"/>
      <c r="G1065" s="5"/>
      <c r="H1065" s="5"/>
    </row>
    <row r="1066" spans="1:8" ht="12" customHeight="1">
      <c r="A1066" s="10" t="s">
        <v>2537</v>
      </c>
      <c r="B1066" s="112" t="s">
        <v>2942</v>
      </c>
      <c r="C1066" s="82">
        <v>39</v>
      </c>
      <c r="D1066" s="43"/>
      <c r="E1066" s="29" cm="1">
        <f t="array" ref="E1066">_xlfn.IFS(C1066=":",":",C1066&gt;=N$19,1,C1066&gt;=N$20,2,C1066&gt;=N$21,3,C1066&gt;=N$22,4,C1066&gt;=N$23,5,C1066&gt;=N$24,6,C1066&lt;N$24,7)</f>
        <v>6</v>
      </c>
      <c r="F1066" s="30"/>
      <c r="G1066" s="5"/>
      <c r="H1066" s="5"/>
    </row>
    <row r="1067" spans="1:8" ht="12" customHeight="1">
      <c r="A1067" s="10" t="s">
        <v>2538</v>
      </c>
      <c r="B1067" s="112" t="s">
        <v>2539</v>
      </c>
      <c r="C1067" s="82">
        <v>176</v>
      </c>
      <c r="D1067" s="43"/>
      <c r="E1067" s="29" cm="1">
        <f t="array" ref="E1067">_xlfn.IFS(C1067=":",":",C1067&gt;=N$19,1,C1067&gt;=N$20,2,C1067&gt;=N$21,3,C1067&gt;=N$22,4,C1067&gt;=N$23,5,C1067&gt;=N$24,6,C1067&lt;N$24,7)</f>
        <v>5</v>
      </c>
      <c r="F1067" s="30"/>
      <c r="G1067" s="5"/>
      <c r="H1067" s="5"/>
    </row>
    <row r="1068" spans="1:8" ht="12" customHeight="1">
      <c r="A1068" s="10" t="s">
        <v>2540</v>
      </c>
      <c r="B1068" s="112" t="s">
        <v>2943</v>
      </c>
      <c r="C1068" s="82">
        <v>93</v>
      </c>
      <c r="D1068" s="43"/>
      <c r="E1068" s="29" cm="1">
        <f t="array" ref="E1068">_xlfn.IFS(C1068=":",":",C1068&gt;=N$19,1,C1068&gt;=N$20,2,C1068&gt;=N$21,3,C1068&gt;=N$22,4,C1068&gt;=N$23,5,C1068&gt;=N$24,6,C1068&lt;N$24,7)</f>
        <v>5</v>
      </c>
      <c r="F1068" s="30"/>
      <c r="G1068" s="5"/>
      <c r="H1068" s="5"/>
    </row>
    <row r="1069" spans="1:8" ht="12" customHeight="1">
      <c r="A1069" s="10" t="s">
        <v>2541</v>
      </c>
      <c r="B1069" s="112" t="s">
        <v>2542</v>
      </c>
      <c r="C1069" s="82">
        <v>47</v>
      </c>
      <c r="D1069" s="43"/>
      <c r="E1069" s="29" cm="1">
        <f t="array" ref="E1069">_xlfn.IFS(C1069=":",":",C1069&gt;=N$19,1,C1069&gt;=N$20,2,C1069&gt;=N$21,3,C1069&gt;=N$22,4,C1069&gt;=N$23,5,C1069&gt;=N$24,6,C1069&lt;N$24,7)</f>
        <v>6</v>
      </c>
      <c r="F1069" s="30"/>
      <c r="G1069" s="5"/>
      <c r="H1069" s="5"/>
    </row>
    <row r="1070" spans="1:8" ht="12" customHeight="1">
      <c r="A1070" s="10" t="s">
        <v>2543</v>
      </c>
      <c r="B1070" s="112" t="s">
        <v>2944</v>
      </c>
      <c r="C1070" s="82">
        <v>21</v>
      </c>
      <c r="D1070" s="43"/>
      <c r="E1070" s="29" cm="1">
        <f t="array" ref="E1070">_xlfn.IFS(C1070=":",":",C1070&gt;=N$19,1,C1070&gt;=N$20,2,C1070&gt;=N$21,3,C1070&gt;=N$22,4,C1070&gt;=N$23,5,C1070&gt;=N$24,6,C1070&lt;N$24,7)</f>
        <v>6</v>
      </c>
      <c r="F1070" s="30"/>
      <c r="G1070" s="5"/>
      <c r="H1070" s="5"/>
    </row>
    <row r="1071" spans="1:8" ht="12" customHeight="1">
      <c r="A1071" s="10" t="s">
        <v>2544</v>
      </c>
      <c r="B1071" s="112" t="s">
        <v>2545</v>
      </c>
      <c r="C1071" s="82">
        <v>74</v>
      </c>
      <c r="D1071" s="43"/>
      <c r="E1071" s="29" cm="1">
        <f t="array" ref="E1071">_xlfn.IFS(C1071=":",":",C1071&gt;=N$19,1,C1071&gt;=N$20,2,C1071&gt;=N$21,3,C1071&gt;=N$22,4,C1071&gt;=N$23,5,C1071&gt;=N$24,6,C1071&lt;N$24,7)</f>
        <v>6</v>
      </c>
      <c r="F1071" s="30"/>
      <c r="G1071" s="5"/>
      <c r="H1071" s="5"/>
    </row>
    <row r="1072" spans="1:8" ht="12" customHeight="1">
      <c r="A1072" s="10" t="s">
        <v>2546</v>
      </c>
      <c r="B1072" s="112" t="s">
        <v>2945</v>
      </c>
      <c r="C1072" s="82">
        <v>531</v>
      </c>
      <c r="D1072" s="43"/>
      <c r="E1072" s="29" cm="1">
        <f t="array" ref="E1072">_xlfn.IFS(C1072=":",":",C1072&gt;=N$19,1,C1072&gt;=N$20,2,C1072&gt;=N$21,3,C1072&gt;=N$22,4,C1072&gt;=N$23,5,C1072&gt;=N$24,6,C1072&lt;N$24,7)</f>
        <v>3</v>
      </c>
      <c r="F1072" s="30"/>
      <c r="G1072" s="5"/>
      <c r="H1072" s="5"/>
    </row>
    <row r="1073" spans="1:8" ht="12" customHeight="1">
      <c r="A1073" s="10" t="s">
        <v>2547</v>
      </c>
      <c r="B1073" s="112" t="s">
        <v>2548</v>
      </c>
      <c r="C1073" s="82">
        <v>162</v>
      </c>
      <c r="D1073" s="43"/>
      <c r="E1073" s="29" cm="1">
        <f t="array" ref="E1073">_xlfn.IFS(C1073=":",":",C1073&gt;=N$19,1,C1073&gt;=N$20,2,C1073&gt;=N$21,3,C1073&gt;=N$22,4,C1073&gt;=N$23,5,C1073&gt;=N$24,6,C1073&lt;N$24,7)</f>
        <v>5</v>
      </c>
      <c r="F1073" s="30"/>
      <c r="G1073" s="5"/>
      <c r="H1073" s="5"/>
    </row>
    <row r="1074" spans="1:8" ht="12" customHeight="1">
      <c r="A1074" s="10" t="s">
        <v>2549</v>
      </c>
      <c r="B1074" s="112" t="s">
        <v>2550</v>
      </c>
      <c r="C1074" s="82">
        <v>76</v>
      </c>
      <c r="D1074" s="43"/>
      <c r="E1074" s="29" cm="1">
        <f t="array" ref="E1074">_xlfn.IFS(C1074=":",":",C1074&gt;=N$19,1,C1074&gt;=N$20,2,C1074&gt;=N$21,3,C1074&gt;=N$22,4,C1074&gt;=N$23,5,C1074&gt;=N$24,6,C1074&lt;N$24,7)</f>
        <v>5</v>
      </c>
      <c r="F1074" s="30"/>
      <c r="G1074" s="5"/>
      <c r="H1074" s="5"/>
    </row>
    <row r="1075" spans="1:8" ht="12" customHeight="1">
      <c r="A1075" s="10" t="s">
        <v>2551</v>
      </c>
      <c r="B1075" s="112" t="s">
        <v>2946</v>
      </c>
      <c r="C1075" s="82">
        <v>133</v>
      </c>
      <c r="D1075" s="43"/>
      <c r="E1075" s="29" cm="1">
        <f t="array" ref="E1075">_xlfn.IFS(C1075=":",":",C1075&gt;=N$19,1,C1075&gt;=N$20,2,C1075&gt;=N$21,3,C1075&gt;=N$22,4,C1075&gt;=N$23,5,C1075&gt;=N$24,6,C1075&lt;N$24,7)</f>
        <v>5</v>
      </c>
      <c r="F1075" s="30"/>
      <c r="G1075" s="5"/>
      <c r="H1075" s="5"/>
    </row>
    <row r="1076" spans="1:8" ht="12" customHeight="1">
      <c r="A1076" s="10" t="s">
        <v>2552</v>
      </c>
      <c r="B1076" s="112" t="s">
        <v>2553</v>
      </c>
      <c r="C1076" s="82">
        <v>169</v>
      </c>
      <c r="D1076" s="43"/>
      <c r="E1076" s="29" cm="1">
        <f t="array" ref="E1076">_xlfn.IFS(C1076=":",":",C1076&gt;=N$19,1,C1076&gt;=N$20,2,C1076&gt;=N$21,3,C1076&gt;=N$22,4,C1076&gt;=N$23,5,C1076&gt;=N$24,6,C1076&lt;N$24,7)</f>
        <v>5</v>
      </c>
      <c r="F1076" s="30"/>
      <c r="G1076" s="5"/>
      <c r="H1076" s="5"/>
    </row>
    <row r="1077" spans="1:8" ht="12" customHeight="1">
      <c r="A1077" s="10" t="s">
        <v>2554</v>
      </c>
      <c r="B1077" s="112" t="s">
        <v>2947</v>
      </c>
      <c r="C1077" s="82">
        <v>60</v>
      </c>
      <c r="D1077" s="43"/>
      <c r="E1077" s="29" cm="1">
        <f t="array" ref="E1077">_xlfn.IFS(C1077=":",":",C1077&gt;=N$19,1,C1077&gt;=N$20,2,C1077&gt;=N$21,3,C1077&gt;=N$22,4,C1077&gt;=N$23,5,C1077&gt;=N$24,6,C1077&lt;N$24,7)</f>
        <v>6</v>
      </c>
      <c r="F1077" s="30"/>
      <c r="G1077" s="5"/>
      <c r="H1077" s="5"/>
    </row>
    <row r="1078" spans="1:8" ht="12" customHeight="1">
      <c r="A1078" s="10" t="s">
        <v>2555</v>
      </c>
      <c r="B1078" s="112" t="s">
        <v>2948</v>
      </c>
      <c r="C1078" s="82">
        <v>16</v>
      </c>
      <c r="D1078" s="43"/>
      <c r="E1078" s="29" cm="1">
        <f t="array" ref="E1078">_xlfn.IFS(C1078=":",":",C1078&gt;=N$19,1,C1078&gt;=N$20,2,C1078&gt;=N$21,3,C1078&gt;=N$22,4,C1078&gt;=N$23,5,C1078&gt;=N$24,6,C1078&lt;N$24,7)</f>
        <v>6</v>
      </c>
      <c r="F1078" s="30"/>
      <c r="G1078" s="5"/>
      <c r="H1078" s="5"/>
    </row>
    <row r="1079" spans="1:8" ht="12" customHeight="1">
      <c r="A1079" s="10" t="s">
        <v>2556</v>
      </c>
      <c r="B1079" s="112" t="s">
        <v>2949</v>
      </c>
      <c r="C1079" s="82">
        <v>112</v>
      </c>
      <c r="D1079" s="43"/>
      <c r="E1079" s="29" cm="1">
        <f t="array" ref="E1079">_xlfn.IFS(C1079=":",":",C1079&gt;=N$19,1,C1079&gt;=N$20,2,C1079&gt;=N$21,3,C1079&gt;=N$22,4,C1079&gt;=N$23,5,C1079&gt;=N$24,6,C1079&lt;N$24,7)</f>
        <v>5</v>
      </c>
      <c r="F1079" s="30"/>
      <c r="G1079" s="5"/>
      <c r="H1079" s="5"/>
    </row>
    <row r="1080" spans="1:8" ht="12" customHeight="1">
      <c r="A1080" s="10" t="s">
        <v>2557</v>
      </c>
      <c r="B1080" s="112" t="s">
        <v>2950</v>
      </c>
      <c r="C1080" s="82">
        <v>92</v>
      </c>
      <c r="D1080" s="43"/>
      <c r="E1080" s="29" cm="1">
        <f t="array" ref="E1080">_xlfn.IFS(C1080=":",":",C1080&gt;=N$19,1,C1080&gt;=N$20,2,C1080&gt;=N$21,3,C1080&gt;=N$22,4,C1080&gt;=N$23,5,C1080&gt;=N$24,6,C1080&lt;N$24,7)</f>
        <v>5</v>
      </c>
      <c r="F1080" s="30"/>
      <c r="G1080" s="5"/>
      <c r="H1080" s="5"/>
    </row>
    <row r="1081" spans="1:8" ht="12" customHeight="1">
      <c r="A1081" s="10" t="s">
        <v>2558</v>
      </c>
      <c r="B1081" s="112" t="s">
        <v>2559</v>
      </c>
      <c r="C1081" s="82">
        <v>133</v>
      </c>
      <c r="D1081" s="43"/>
      <c r="E1081" s="29" cm="1">
        <f t="array" ref="E1081">_xlfn.IFS(C1081=":",":",C1081&gt;=N$19,1,C1081&gt;=N$20,2,C1081&gt;=N$21,3,C1081&gt;=N$22,4,C1081&gt;=N$23,5,C1081&gt;=N$24,6,C1081&lt;N$24,7)</f>
        <v>5</v>
      </c>
      <c r="F1081" s="30"/>
      <c r="G1081" s="5"/>
      <c r="H1081" s="5"/>
    </row>
    <row r="1082" spans="1:8" ht="12" customHeight="1">
      <c r="A1082" s="10" t="s">
        <v>2560</v>
      </c>
      <c r="B1082" s="112" t="s">
        <v>2561</v>
      </c>
      <c r="C1082" s="82">
        <v>15</v>
      </c>
      <c r="D1082" s="43"/>
      <c r="E1082" s="29" cm="1">
        <f t="array" ref="E1082">_xlfn.IFS(C1082=":",":",C1082&gt;=N$19,1,C1082&gt;=N$20,2,C1082&gt;=N$21,3,C1082&gt;=N$22,4,C1082&gt;=N$23,5,C1082&gt;=N$24,6,C1082&lt;N$24,7)</f>
        <v>6</v>
      </c>
      <c r="F1082" s="30"/>
      <c r="G1082" s="5"/>
      <c r="H1082" s="5"/>
    </row>
    <row r="1083" spans="1:8" ht="12" customHeight="1">
      <c r="A1083" s="10" t="s">
        <v>2562</v>
      </c>
      <c r="B1083" s="112" t="s">
        <v>2951</v>
      </c>
      <c r="C1083" s="82">
        <v>55</v>
      </c>
      <c r="D1083" s="43"/>
      <c r="E1083" s="29" cm="1">
        <f t="array" ref="E1083">_xlfn.IFS(C1083=":",":",C1083&gt;=N$19,1,C1083&gt;=N$20,2,C1083&gt;=N$21,3,C1083&gt;=N$22,4,C1083&gt;=N$23,5,C1083&gt;=N$24,6,C1083&lt;N$24,7)</f>
        <v>6</v>
      </c>
      <c r="F1083" s="30"/>
      <c r="G1083" s="5"/>
      <c r="H1083" s="5"/>
    </row>
    <row r="1084" spans="1:8" ht="12" customHeight="1">
      <c r="A1084" s="10" t="s">
        <v>2563</v>
      </c>
      <c r="B1084" s="112" t="s">
        <v>2952</v>
      </c>
      <c r="C1084" s="82">
        <v>33</v>
      </c>
      <c r="D1084" s="43"/>
      <c r="E1084" s="29" cm="1">
        <f t="array" ref="E1084">_xlfn.IFS(C1084=":",":",C1084&gt;=N$19,1,C1084&gt;=N$20,2,C1084&gt;=N$21,3,C1084&gt;=N$22,4,C1084&gt;=N$23,5,C1084&gt;=N$24,6,C1084&lt;N$24,7)</f>
        <v>6</v>
      </c>
      <c r="F1084" s="30"/>
      <c r="G1084" s="5"/>
      <c r="H1084" s="5"/>
    </row>
    <row r="1085" spans="1:8" ht="12" customHeight="1">
      <c r="A1085" s="10" t="s">
        <v>2564</v>
      </c>
      <c r="B1085" s="112" t="s">
        <v>2953</v>
      </c>
      <c r="C1085" s="82">
        <v>826</v>
      </c>
      <c r="D1085" s="43"/>
      <c r="E1085" s="29" cm="1">
        <f t="array" ref="E1085">_xlfn.IFS(C1085=":",":",C1085&gt;=N$19,1,C1085&gt;=N$20,2,C1085&gt;=N$21,3,C1085&gt;=N$22,4,C1085&gt;=N$23,5,C1085&gt;=N$24,6,C1085&lt;N$24,7)</f>
        <v>3</v>
      </c>
      <c r="F1085" s="30"/>
      <c r="G1085" s="5"/>
      <c r="H1085" s="5"/>
    </row>
    <row r="1086" spans="1:8" ht="12" customHeight="1">
      <c r="A1086" s="10" t="s">
        <v>2565</v>
      </c>
      <c r="B1086" s="112" t="s">
        <v>2954</v>
      </c>
      <c r="C1086" s="82">
        <v>39</v>
      </c>
      <c r="D1086" s="43"/>
      <c r="E1086" s="29" cm="1">
        <f t="array" ref="E1086">_xlfn.IFS(C1086=":",":",C1086&gt;=N$19,1,C1086&gt;=N$20,2,C1086&gt;=N$21,3,C1086&gt;=N$22,4,C1086&gt;=N$23,5,C1086&gt;=N$24,6,C1086&lt;N$24,7)</f>
        <v>6</v>
      </c>
      <c r="F1086" s="30"/>
      <c r="G1086" s="5"/>
      <c r="H1086" s="5"/>
    </row>
    <row r="1087" spans="1:8" ht="12" customHeight="1">
      <c r="A1087" s="10" t="s">
        <v>2566</v>
      </c>
      <c r="B1087" s="112" t="s">
        <v>2567</v>
      </c>
      <c r="C1087" s="82">
        <v>53</v>
      </c>
      <c r="D1087" s="43"/>
      <c r="E1087" s="29" cm="1">
        <f t="array" ref="E1087">_xlfn.IFS(C1087=":",":",C1087&gt;=N$19,1,C1087&gt;=N$20,2,C1087&gt;=N$21,3,C1087&gt;=N$22,4,C1087&gt;=N$23,5,C1087&gt;=N$24,6,C1087&lt;N$24,7)</f>
        <v>6</v>
      </c>
      <c r="F1087" s="30"/>
      <c r="G1087" s="5"/>
      <c r="H1087" s="5"/>
    </row>
    <row r="1088" spans="1:8" ht="12" customHeight="1">
      <c r="A1088" s="10" t="s">
        <v>2568</v>
      </c>
      <c r="B1088" s="112" t="s">
        <v>2569</v>
      </c>
      <c r="C1088" s="82">
        <v>15</v>
      </c>
      <c r="D1088" s="43"/>
      <c r="E1088" s="29" cm="1">
        <f t="array" ref="E1088">_xlfn.IFS(C1088=":",":",C1088&gt;=N$19,1,C1088&gt;=N$20,2,C1088&gt;=N$21,3,C1088&gt;=N$22,4,C1088&gt;=N$23,5,C1088&gt;=N$24,6,C1088&lt;N$24,7)</f>
        <v>6</v>
      </c>
      <c r="F1088" s="30"/>
      <c r="G1088" s="5"/>
      <c r="H1088" s="5"/>
    </row>
    <row r="1089" spans="1:8" ht="12" customHeight="1">
      <c r="A1089" s="10" t="s">
        <v>2570</v>
      </c>
      <c r="B1089" s="112" t="s">
        <v>2955</v>
      </c>
      <c r="C1089" s="82">
        <v>85</v>
      </c>
      <c r="D1089" s="43"/>
      <c r="E1089" s="29" cm="1">
        <f t="array" ref="E1089">_xlfn.IFS(C1089=":",":",C1089&gt;=N$19,1,C1089&gt;=N$20,2,C1089&gt;=N$21,3,C1089&gt;=N$22,4,C1089&gt;=N$23,5,C1089&gt;=N$24,6,C1089&lt;N$24,7)</f>
        <v>5</v>
      </c>
      <c r="F1089" s="30"/>
      <c r="G1089" s="5"/>
      <c r="H1089" s="5"/>
    </row>
    <row r="1090" spans="1:8" ht="12" customHeight="1">
      <c r="A1090" s="10" t="s">
        <v>2571</v>
      </c>
      <c r="B1090" s="112" t="s">
        <v>2956</v>
      </c>
      <c r="C1090" s="82">
        <v>6</v>
      </c>
      <c r="D1090" s="43"/>
      <c r="E1090" s="29" cm="1">
        <f t="array" ref="E1090">_xlfn.IFS(C1090=":",":",C1090&gt;=N$19,1,C1090&gt;=N$20,2,C1090&gt;=N$21,3,C1090&gt;=N$22,4,C1090&gt;=N$23,5,C1090&gt;=N$24,6,C1090&lt;N$24,7)</f>
        <v>6</v>
      </c>
      <c r="F1090" s="30"/>
      <c r="G1090" s="5"/>
      <c r="H1090" s="5"/>
    </row>
    <row r="1091" spans="1:8" ht="12" customHeight="1">
      <c r="A1091" s="10" t="s">
        <v>2572</v>
      </c>
      <c r="B1091" s="112" t="s">
        <v>2957</v>
      </c>
      <c r="C1091" s="82">
        <v>64</v>
      </c>
      <c r="D1091" s="43"/>
      <c r="E1091" s="29" cm="1">
        <f t="array" ref="E1091">_xlfn.IFS(C1091=":",":",C1091&gt;=N$19,1,C1091&gt;=N$20,2,C1091&gt;=N$21,3,C1091&gt;=N$22,4,C1091&gt;=N$23,5,C1091&gt;=N$24,6,C1091&lt;N$24,7)</f>
        <v>6</v>
      </c>
      <c r="F1091" s="30"/>
      <c r="G1091" s="5"/>
      <c r="H1091" s="5"/>
    </row>
    <row r="1092" spans="1:8" ht="12" customHeight="1">
      <c r="A1092" s="10" t="s">
        <v>2573</v>
      </c>
      <c r="B1092" s="112" t="s">
        <v>2574</v>
      </c>
      <c r="C1092" s="82">
        <v>20</v>
      </c>
      <c r="D1092" s="43"/>
      <c r="E1092" s="29" cm="1">
        <f t="array" ref="E1092">_xlfn.IFS(C1092=":",":",C1092&gt;=N$19,1,C1092&gt;=N$20,2,C1092&gt;=N$21,3,C1092&gt;=N$22,4,C1092&gt;=N$23,5,C1092&gt;=N$24,6,C1092&lt;N$24,7)</f>
        <v>6</v>
      </c>
      <c r="F1092" s="30"/>
      <c r="G1092" s="5"/>
      <c r="H1092" s="5"/>
    </row>
    <row r="1093" spans="1:8" ht="12" customHeight="1">
      <c r="A1093" s="10" t="s">
        <v>2575</v>
      </c>
      <c r="B1093" s="112" t="s">
        <v>2958</v>
      </c>
      <c r="C1093" s="82">
        <v>42</v>
      </c>
      <c r="D1093" s="43"/>
      <c r="E1093" s="29" cm="1">
        <f t="array" ref="E1093">_xlfn.IFS(C1093=":",":",C1093&gt;=N$19,1,C1093&gt;=N$20,2,C1093&gt;=N$21,3,C1093&gt;=N$22,4,C1093&gt;=N$23,5,C1093&gt;=N$24,6,C1093&lt;N$24,7)</f>
        <v>6</v>
      </c>
      <c r="F1093" s="30"/>
      <c r="G1093" s="5"/>
      <c r="H1093" s="5"/>
    </row>
    <row r="1094" spans="1:8" ht="12" customHeight="1">
      <c r="A1094" s="10" t="s">
        <v>2576</v>
      </c>
      <c r="B1094" s="112" t="s">
        <v>2577</v>
      </c>
      <c r="C1094" s="82">
        <v>267</v>
      </c>
      <c r="D1094" s="43"/>
      <c r="E1094" s="29" cm="1">
        <f t="array" ref="E1094">_xlfn.IFS(C1094=":",":",C1094&gt;=N$19,1,C1094&gt;=N$20,2,C1094&gt;=N$21,3,C1094&gt;=N$22,4,C1094&gt;=N$23,5,C1094&gt;=N$24,6,C1094&lt;N$24,7)</f>
        <v>4</v>
      </c>
      <c r="F1094" s="30"/>
      <c r="G1094" s="5"/>
      <c r="H1094" s="5"/>
    </row>
    <row r="1095" spans="1:8" ht="12" customHeight="1">
      <c r="A1095" s="10" t="s">
        <v>2578</v>
      </c>
      <c r="B1095" s="112" t="s">
        <v>2579</v>
      </c>
      <c r="C1095" s="82">
        <v>1</v>
      </c>
      <c r="D1095" s="43"/>
      <c r="E1095" s="29" cm="1">
        <f t="array" ref="E1095">_xlfn.IFS(C1095=":",":",C1095&gt;=N$19,1,C1095&gt;=N$20,2,C1095&gt;=N$21,3,C1095&gt;=N$22,4,C1095&gt;=N$23,5,C1095&gt;=N$24,6,C1095&lt;N$24,7)</f>
        <v>6</v>
      </c>
      <c r="F1095" s="30"/>
      <c r="G1095" s="5"/>
      <c r="H1095" s="5"/>
    </row>
    <row r="1096" spans="1:8" ht="12" customHeight="1">
      <c r="A1096" s="10" t="s">
        <v>2580</v>
      </c>
      <c r="B1096" s="112" t="s">
        <v>2959</v>
      </c>
      <c r="C1096" s="82">
        <v>17125</v>
      </c>
      <c r="D1096" s="43"/>
      <c r="E1096" s="29" cm="1">
        <f t="array" ref="E1096">_xlfn.IFS(C1096=":",":",C1096&gt;=N$19,1,C1096&gt;=N$20,2,C1096&gt;=N$21,3,C1096&gt;=N$22,4,C1096&gt;=N$23,5,C1096&gt;=N$24,6,C1096&lt;N$24,7)</f>
        <v>1</v>
      </c>
      <c r="F1096" s="30"/>
      <c r="G1096" s="5"/>
      <c r="H1096" s="5"/>
    </row>
    <row r="1097" spans="1:8" ht="12" customHeight="1">
      <c r="A1097" s="10" t="s">
        <v>2581</v>
      </c>
      <c r="B1097" s="112" t="s">
        <v>2582</v>
      </c>
      <c r="C1097" s="82">
        <v>173</v>
      </c>
      <c r="D1097" s="43"/>
      <c r="E1097" s="29" cm="1">
        <f t="array" ref="E1097">_xlfn.IFS(C1097=":",":",C1097&gt;=N$19,1,C1097&gt;=N$20,2,C1097&gt;=N$21,3,C1097&gt;=N$22,4,C1097&gt;=N$23,5,C1097&gt;=N$24,6,C1097&lt;N$24,7)</f>
        <v>5</v>
      </c>
      <c r="F1097" s="30"/>
      <c r="G1097" s="5"/>
      <c r="H1097" s="5"/>
    </row>
    <row r="1098" spans="1:8" ht="12" customHeight="1">
      <c r="A1098" s="10" t="s">
        <v>2583</v>
      </c>
      <c r="B1098" s="112" t="s">
        <v>2584</v>
      </c>
      <c r="C1098" s="82">
        <v>40</v>
      </c>
      <c r="D1098" s="43"/>
      <c r="E1098" s="29" cm="1">
        <f t="array" ref="E1098">_xlfn.IFS(C1098=":",":",C1098&gt;=N$19,1,C1098&gt;=N$20,2,C1098&gt;=N$21,3,C1098&gt;=N$22,4,C1098&gt;=N$23,5,C1098&gt;=N$24,6,C1098&lt;N$24,7)</f>
        <v>6</v>
      </c>
      <c r="F1098" s="30"/>
      <c r="G1098" s="5"/>
      <c r="H1098" s="5"/>
    </row>
    <row r="1099" spans="1:8" ht="12" customHeight="1">
      <c r="A1099" s="10" t="s">
        <v>2585</v>
      </c>
      <c r="B1099" s="112" t="s">
        <v>2586</v>
      </c>
      <c r="C1099" s="82">
        <v>40</v>
      </c>
      <c r="D1099" s="43"/>
      <c r="E1099" s="29" cm="1">
        <f t="array" ref="E1099">_xlfn.IFS(C1099=":",":",C1099&gt;=N$19,1,C1099&gt;=N$20,2,C1099&gt;=N$21,3,C1099&gt;=N$22,4,C1099&gt;=N$23,5,C1099&gt;=N$24,6,C1099&lt;N$24,7)</f>
        <v>6</v>
      </c>
      <c r="F1099" s="30"/>
      <c r="G1099" s="5"/>
      <c r="H1099" s="5"/>
    </row>
    <row r="1100" spans="1:8" ht="12" customHeight="1">
      <c r="A1100" s="10" t="s">
        <v>2587</v>
      </c>
      <c r="B1100" s="112" t="s">
        <v>2960</v>
      </c>
      <c r="C1100" s="82">
        <v>45</v>
      </c>
      <c r="D1100" s="43"/>
      <c r="E1100" s="29" cm="1">
        <f t="array" ref="E1100">_xlfn.IFS(C1100=":",":",C1100&gt;=N$19,1,C1100&gt;=N$20,2,C1100&gt;=N$21,3,C1100&gt;=N$22,4,C1100&gt;=N$23,5,C1100&gt;=N$24,6,C1100&lt;N$24,7)</f>
        <v>6</v>
      </c>
      <c r="F1100" s="30"/>
      <c r="G1100" s="5"/>
      <c r="H1100" s="5"/>
    </row>
    <row r="1101" spans="1:8" ht="12" customHeight="1">
      <c r="A1101" s="10" t="s">
        <v>2588</v>
      </c>
      <c r="B1101" s="112" t="s">
        <v>2589</v>
      </c>
      <c r="C1101" s="82">
        <v>15</v>
      </c>
      <c r="D1101" s="43"/>
      <c r="E1101" s="29" cm="1">
        <f t="array" ref="E1101">_xlfn.IFS(C1101=":",":",C1101&gt;=N$19,1,C1101&gt;=N$20,2,C1101&gt;=N$21,3,C1101&gt;=N$22,4,C1101&gt;=N$23,5,C1101&gt;=N$24,6,C1101&lt;N$24,7)</f>
        <v>6</v>
      </c>
      <c r="F1101" s="30"/>
      <c r="G1101" s="5"/>
      <c r="H1101" s="5"/>
    </row>
    <row r="1102" spans="1:8" ht="12" customHeight="1">
      <c r="A1102" s="10" t="s">
        <v>2590</v>
      </c>
      <c r="B1102" s="112" t="s">
        <v>2591</v>
      </c>
      <c r="C1102" s="82">
        <v>254</v>
      </c>
      <c r="D1102" s="43"/>
      <c r="E1102" s="29" cm="1">
        <f t="array" ref="E1102">_xlfn.IFS(C1102=":",":",C1102&gt;=N$19,1,C1102&gt;=N$20,2,C1102&gt;=N$21,3,C1102&gt;=N$22,4,C1102&gt;=N$23,5,C1102&gt;=N$24,6,C1102&lt;N$24,7)</f>
        <v>4</v>
      </c>
      <c r="F1102" s="30"/>
      <c r="G1102" s="5"/>
      <c r="H1102" s="5"/>
    </row>
    <row r="1103" spans="1:8" ht="12" customHeight="1">
      <c r="A1103" s="10" t="s">
        <v>2592</v>
      </c>
      <c r="B1103" s="112" t="s">
        <v>2593</v>
      </c>
      <c r="C1103" s="82">
        <v>42</v>
      </c>
      <c r="D1103" s="43"/>
      <c r="E1103" s="29" cm="1">
        <f t="array" ref="E1103">_xlfn.IFS(C1103=":",":",C1103&gt;=N$19,1,C1103&gt;=N$20,2,C1103&gt;=N$21,3,C1103&gt;=N$22,4,C1103&gt;=N$23,5,C1103&gt;=N$24,6,C1103&lt;N$24,7)</f>
        <v>6</v>
      </c>
      <c r="F1103" s="30"/>
      <c r="G1103" s="5"/>
      <c r="H1103" s="5"/>
    </row>
    <row r="1104" spans="1:8" ht="12" customHeight="1">
      <c r="A1104" s="10" t="s">
        <v>2594</v>
      </c>
      <c r="B1104" s="112" t="s">
        <v>2961</v>
      </c>
      <c r="C1104" s="82">
        <v>76</v>
      </c>
      <c r="D1104" s="43"/>
      <c r="E1104" s="29" cm="1">
        <f t="array" ref="E1104">_xlfn.IFS(C1104=":",":",C1104&gt;=N$19,1,C1104&gt;=N$20,2,C1104&gt;=N$21,3,C1104&gt;=N$22,4,C1104&gt;=N$23,5,C1104&gt;=N$24,6,C1104&lt;N$24,7)</f>
        <v>5</v>
      </c>
      <c r="F1104" s="30"/>
      <c r="G1104" s="5"/>
      <c r="H1104" s="5"/>
    </row>
    <row r="1105" spans="1:8" ht="12" customHeight="1">
      <c r="A1105" s="10" t="s">
        <v>2595</v>
      </c>
      <c r="B1105" s="112" t="s">
        <v>2596</v>
      </c>
      <c r="C1105" s="82">
        <v>43</v>
      </c>
      <c r="D1105" s="43"/>
      <c r="E1105" s="29" cm="1">
        <f t="array" ref="E1105">_xlfn.IFS(C1105=":",":",C1105&gt;=N$19,1,C1105&gt;=N$20,2,C1105&gt;=N$21,3,C1105&gt;=N$22,4,C1105&gt;=N$23,5,C1105&gt;=N$24,6,C1105&lt;N$24,7)</f>
        <v>6</v>
      </c>
      <c r="F1105" s="30"/>
      <c r="G1105" s="5"/>
      <c r="H1105" s="5"/>
    </row>
    <row r="1106" spans="1:8" ht="12" customHeight="1">
      <c r="A1106" s="10" t="s">
        <v>2597</v>
      </c>
      <c r="B1106" s="112" t="s">
        <v>2962</v>
      </c>
      <c r="C1106" s="82">
        <v>81</v>
      </c>
      <c r="D1106" s="43"/>
      <c r="E1106" s="29" cm="1">
        <f t="array" ref="E1106">_xlfn.IFS(C1106=":",":",C1106&gt;=N$19,1,C1106&gt;=N$20,2,C1106&gt;=N$21,3,C1106&gt;=N$22,4,C1106&gt;=N$23,5,C1106&gt;=N$24,6,C1106&lt;N$24,7)</f>
        <v>5</v>
      </c>
      <c r="F1106" s="30"/>
      <c r="G1106" s="5"/>
      <c r="H1106" s="5"/>
    </row>
    <row r="1107" spans="1:8" ht="12" customHeight="1">
      <c r="A1107" s="10" t="s">
        <v>2598</v>
      </c>
      <c r="B1107" s="112" t="s">
        <v>2599</v>
      </c>
      <c r="C1107" s="82">
        <v>758</v>
      </c>
      <c r="D1107" s="43"/>
      <c r="E1107" s="29" cm="1">
        <f t="array" ref="E1107">_xlfn.IFS(C1107=":",":",C1107&gt;=N$19,1,C1107&gt;=N$20,2,C1107&gt;=N$21,3,C1107&gt;=N$22,4,C1107&gt;=N$23,5,C1107&gt;=N$24,6,C1107&lt;N$24,7)</f>
        <v>3</v>
      </c>
      <c r="F1107" s="30"/>
      <c r="G1107" s="5"/>
      <c r="H1107" s="5"/>
    </row>
    <row r="1108" spans="1:8" ht="12" customHeight="1">
      <c r="A1108" s="10" t="s">
        <v>2600</v>
      </c>
      <c r="B1108" s="112" t="s">
        <v>2601</v>
      </c>
      <c r="C1108" s="82">
        <v>423</v>
      </c>
      <c r="D1108" s="43"/>
      <c r="E1108" s="29" cm="1">
        <f t="array" ref="E1108">_xlfn.IFS(C1108=":",":",C1108&gt;=N$19,1,C1108&gt;=N$20,2,C1108&gt;=N$21,3,C1108&gt;=N$22,4,C1108&gt;=N$23,5,C1108&gt;=N$24,6,C1108&lt;N$24,7)</f>
        <v>4</v>
      </c>
      <c r="F1108" s="30"/>
      <c r="G1108" s="5"/>
      <c r="H1108" s="5"/>
    </row>
    <row r="1109" spans="1:8" ht="12" customHeight="1">
      <c r="A1109" s="10" t="s">
        <v>2602</v>
      </c>
      <c r="B1109" s="112" t="s">
        <v>2963</v>
      </c>
      <c r="C1109" s="82">
        <v>141</v>
      </c>
      <c r="D1109" s="43"/>
      <c r="E1109" s="29" cm="1">
        <f t="array" ref="E1109">_xlfn.IFS(C1109=":",":",C1109&gt;=N$19,1,C1109&gt;=N$20,2,C1109&gt;=N$21,3,C1109&gt;=N$22,4,C1109&gt;=N$23,5,C1109&gt;=N$24,6,C1109&lt;N$24,7)</f>
        <v>5</v>
      </c>
      <c r="F1109" s="30"/>
      <c r="G1109" s="5"/>
      <c r="H1109" s="5"/>
    </row>
    <row r="1110" spans="1:8" ht="12" customHeight="1">
      <c r="A1110" s="10" t="s">
        <v>2603</v>
      </c>
      <c r="B1110" s="112" t="s">
        <v>2604</v>
      </c>
      <c r="C1110" s="82">
        <v>770</v>
      </c>
      <c r="D1110" s="43"/>
      <c r="E1110" s="29" cm="1">
        <f t="array" ref="E1110">_xlfn.IFS(C1110=":",":",C1110&gt;=N$19,1,C1110&gt;=N$20,2,C1110&gt;=N$21,3,C1110&gt;=N$22,4,C1110&gt;=N$23,5,C1110&gt;=N$24,6,C1110&lt;N$24,7)</f>
        <v>3</v>
      </c>
      <c r="F1110" s="30"/>
      <c r="G1110" s="5"/>
      <c r="H1110" s="5"/>
    </row>
    <row r="1111" spans="1:8" ht="12" customHeight="1">
      <c r="A1111" s="10" t="s">
        <v>2605</v>
      </c>
      <c r="B1111" s="112" t="s">
        <v>2606</v>
      </c>
      <c r="C1111" s="82">
        <v>47</v>
      </c>
      <c r="D1111" s="43"/>
      <c r="E1111" s="29" cm="1">
        <f t="array" ref="E1111">_xlfn.IFS(C1111=":",":",C1111&gt;=N$19,1,C1111&gt;=N$20,2,C1111&gt;=N$21,3,C1111&gt;=N$22,4,C1111&gt;=N$23,5,C1111&gt;=N$24,6,C1111&lt;N$24,7)</f>
        <v>6</v>
      </c>
      <c r="F1111" s="30"/>
      <c r="G1111" s="5"/>
      <c r="H1111" s="5"/>
    </row>
    <row r="1112" spans="1:8" ht="12" customHeight="1">
      <c r="A1112" s="10" t="s">
        <v>2607</v>
      </c>
      <c r="B1112" s="112" t="s">
        <v>2608</v>
      </c>
      <c r="C1112" s="82">
        <v>735</v>
      </c>
      <c r="D1112" s="43"/>
      <c r="E1112" s="29" cm="1">
        <f t="array" ref="E1112">_xlfn.IFS(C1112=":",":",C1112&gt;=N$19,1,C1112&gt;=N$20,2,C1112&gt;=N$21,3,C1112&gt;=N$22,4,C1112&gt;=N$23,5,C1112&gt;=N$24,6,C1112&lt;N$24,7)</f>
        <v>3</v>
      </c>
      <c r="F1112" s="30"/>
      <c r="G1112" s="5"/>
      <c r="H1112" s="5"/>
    </row>
    <row r="1113" spans="1:8" ht="12" customHeight="1">
      <c r="A1113" s="10" t="s">
        <v>2609</v>
      </c>
      <c r="B1113" s="112" t="s">
        <v>2610</v>
      </c>
      <c r="C1113" s="82">
        <v>194</v>
      </c>
      <c r="D1113" s="43"/>
      <c r="E1113" s="29" cm="1">
        <f t="array" ref="E1113">_xlfn.IFS(C1113=":",":",C1113&gt;=N$19,1,C1113&gt;=N$20,2,C1113&gt;=N$21,3,C1113&gt;=N$22,4,C1113&gt;=N$23,5,C1113&gt;=N$24,6,C1113&lt;N$24,7)</f>
        <v>5</v>
      </c>
      <c r="F1113" s="30"/>
      <c r="G1113" s="5"/>
      <c r="H1113" s="5"/>
    </row>
    <row r="1114" spans="1:8" ht="12" customHeight="1">
      <c r="A1114" s="10" t="s">
        <v>2611</v>
      </c>
      <c r="B1114" s="112" t="s">
        <v>2612</v>
      </c>
      <c r="C1114" s="82">
        <v>165</v>
      </c>
      <c r="D1114" s="43"/>
      <c r="E1114" s="29" cm="1">
        <f t="array" ref="E1114">_xlfn.IFS(C1114=":",":",C1114&gt;=N$19,1,C1114&gt;=N$20,2,C1114&gt;=N$21,3,C1114&gt;=N$22,4,C1114&gt;=N$23,5,C1114&gt;=N$24,6,C1114&lt;N$24,7)</f>
        <v>5</v>
      </c>
      <c r="F1114" s="30"/>
      <c r="G1114" s="5"/>
      <c r="H1114" s="5"/>
    </row>
    <row r="1115" spans="1:8" ht="12" customHeight="1">
      <c r="A1115" s="10" t="s">
        <v>2613</v>
      </c>
      <c r="B1115" s="112" t="s">
        <v>2614</v>
      </c>
      <c r="C1115" s="82">
        <v>1235</v>
      </c>
      <c r="D1115" s="43"/>
      <c r="E1115" s="29" cm="1">
        <f t="array" ref="E1115">_xlfn.IFS(C1115=":",":",C1115&gt;=N$19,1,C1115&gt;=N$20,2,C1115&gt;=N$21,3,C1115&gt;=N$22,4,C1115&gt;=N$23,5,C1115&gt;=N$24,6,C1115&lt;N$24,7)</f>
        <v>3</v>
      </c>
      <c r="F1115" s="30"/>
      <c r="G1115" s="5"/>
      <c r="H1115" s="5"/>
    </row>
    <row r="1116" spans="1:8" ht="12" customHeight="1">
      <c r="A1116" s="10" t="s">
        <v>2615</v>
      </c>
      <c r="B1116" s="112" t="s">
        <v>2616</v>
      </c>
      <c r="C1116" s="82">
        <v>1871</v>
      </c>
      <c r="D1116" s="43"/>
      <c r="E1116" s="29" cm="1">
        <f t="array" ref="E1116">_xlfn.IFS(C1116=":",":",C1116&gt;=N$19,1,C1116&gt;=N$20,2,C1116&gt;=N$21,3,C1116&gt;=N$22,4,C1116&gt;=N$23,5,C1116&gt;=N$24,6,C1116&lt;N$24,7)</f>
        <v>2</v>
      </c>
      <c r="F1116" s="30"/>
      <c r="G1116" s="5"/>
      <c r="H1116" s="5"/>
    </row>
    <row r="1117" spans="1:8" ht="12" customHeight="1">
      <c r="A1117" s="10" t="s">
        <v>2617</v>
      </c>
      <c r="B1117" s="112" t="s">
        <v>2964</v>
      </c>
      <c r="C1117" s="82">
        <v>585</v>
      </c>
      <c r="D1117" s="43"/>
      <c r="E1117" s="29" cm="1">
        <f t="array" ref="E1117">_xlfn.IFS(C1117=":",":",C1117&gt;=N$19,1,C1117&gt;=N$20,2,C1117&gt;=N$21,3,C1117&gt;=N$22,4,C1117&gt;=N$23,5,C1117&gt;=N$24,6,C1117&lt;N$24,7)</f>
        <v>3</v>
      </c>
      <c r="F1117" s="30"/>
      <c r="G1117" s="5"/>
      <c r="H1117" s="5"/>
    </row>
    <row r="1118" spans="1:8" ht="12" customHeight="1">
      <c r="A1118" s="10" t="s">
        <v>2618</v>
      </c>
      <c r="B1118" s="112" t="s">
        <v>2965</v>
      </c>
      <c r="C1118" s="82">
        <v>3190</v>
      </c>
      <c r="D1118" s="43"/>
      <c r="E1118" s="29" cm="1">
        <f t="array" ref="E1118">_xlfn.IFS(C1118=":",":",C1118&gt;=N$19,1,C1118&gt;=N$20,2,C1118&gt;=N$21,3,C1118&gt;=N$22,4,C1118&gt;=N$23,5,C1118&gt;=N$24,6,C1118&lt;N$24,7)</f>
        <v>2</v>
      </c>
      <c r="F1118" s="30"/>
      <c r="G1118" s="5"/>
      <c r="H1118" s="5"/>
    </row>
    <row r="1119" spans="1:8" ht="12" customHeight="1">
      <c r="A1119" s="10" t="s">
        <v>2619</v>
      </c>
      <c r="B1119" s="112" t="s">
        <v>416</v>
      </c>
      <c r="C1119" s="82">
        <v>1290</v>
      </c>
      <c r="D1119" s="43"/>
      <c r="E1119" s="29" cm="1">
        <f t="array" ref="E1119">_xlfn.IFS(C1119=":",":",C1119&gt;=N$19,1,C1119&gt;=N$20,2,C1119&gt;=N$21,3,C1119&gt;=N$22,4,C1119&gt;=N$23,5,C1119&gt;=N$24,6,C1119&lt;N$24,7)</f>
        <v>3</v>
      </c>
      <c r="F1119" s="30"/>
      <c r="G1119" s="5"/>
      <c r="H1119" s="5"/>
    </row>
    <row r="1120" spans="1:8" ht="12" customHeight="1">
      <c r="A1120" s="10" t="s">
        <v>2620</v>
      </c>
      <c r="B1120" s="112" t="s">
        <v>2621</v>
      </c>
      <c r="C1120" s="82">
        <v>329</v>
      </c>
      <c r="D1120" s="43"/>
      <c r="E1120" s="29" cm="1">
        <f t="array" ref="E1120">_xlfn.IFS(C1120=":",":",C1120&gt;=N$19,1,C1120&gt;=N$20,2,C1120&gt;=N$21,3,C1120&gt;=N$22,4,C1120&gt;=N$23,5,C1120&gt;=N$24,6,C1120&lt;N$24,7)</f>
        <v>4</v>
      </c>
      <c r="F1120" s="30"/>
      <c r="G1120" s="5"/>
      <c r="H1120" s="5"/>
    </row>
    <row r="1121" spans="1:8" ht="12" customHeight="1">
      <c r="A1121" s="10" t="s">
        <v>2622</v>
      </c>
      <c r="B1121" s="112" t="s">
        <v>2966</v>
      </c>
      <c r="C1121" s="82">
        <v>276</v>
      </c>
      <c r="D1121" s="43"/>
      <c r="E1121" s="29" cm="1">
        <f t="array" ref="E1121">_xlfn.IFS(C1121=":",":",C1121&gt;=N$19,1,C1121&gt;=N$20,2,C1121&gt;=N$21,3,C1121&gt;=N$22,4,C1121&gt;=N$23,5,C1121&gt;=N$24,6,C1121&lt;N$24,7)</f>
        <v>4</v>
      </c>
      <c r="F1121" s="30"/>
      <c r="G1121" s="5"/>
      <c r="H1121" s="5"/>
    </row>
    <row r="1122" spans="1:8" ht="12" customHeight="1">
      <c r="A1122" s="10" t="s">
        <v>2623</v>
      </c>
      <c r="B1122" s="112" t="s">
        <v>2624</v>
      </c>
      <c r="C1122" s="82">
        <v>116</v>
      </c>
      <c r="D1122" s="43"/>
      <c r="E1122" s="29" cm="1">
        <f t="array" ref="E1122">_xlfn.IFS(C1122=":",":",C1122&gt;=N$19,1,C1122&gt;=N$20,2,C1122&gt;=N$21,3,C1122&gt;=N$22,4,C1122&gt;=N$23,5,C1122&gt;=N$24,6,C1122&lt;N$24,7)</f>
        <v>5</v>
      </c>
      <c r="F1122" s="30"/>
      <c r="G1122" s="5"/>
      <c r="H1122" s="5"/>
    </row>
    <row r="1123" spans="1:8" ht="12" customHeight="1">
      <c r="A1123" s="10" t="s">
        <v>2625</v>
      </c>
      <c r="B1123" s="112" t="s">
        <v>2967</v>
      </c>
      <c r="C1123" s="82">
        <v>462</v>
      </c>
      <c r="D1123" s="43"/>
      <c r="E1123" s="29" cm="1">
        <f t="array" ref="E1123">_xlfn.IFS(C1123=":",":",C1123&gt;=N$19,1,C1123&gt;=N$20,2,C1123&gt;=N$21,3,C1123&gt;=N$22,4,C1123&gt;=N$23,5,C1123&gt;=N$24,6,C1123&lt;N$24,7)</f>
        <v>4</v>
      </c>
      <c r="F1123" s="30"/>
      <c r="G1123" s="5"/>
      <c r="H1123" s="5"/>
    </row>
    <row r="1124" spans="1:8" ht="12" customHeight="1">
      <c r="A1124" s="10" t="s">
        <v>2626</v>
      </c>
      <c r="B1124" s="112" t="s">
        <v>2627</v>
      </c>
      <c r="C1124" s="82">
        <v>196</v>
      </c>
      <c r="D1124" s="43"/>
      <c r="E1124" s="29" cm="1">
        <f t="array" ref="E1124">_xlfn.IFS(C1124=":",":",C1124&gt;=N$19,1,C1124&gt;=N$20,2,C1124&gt;=N$21,3,C1124&gt;=N$22,4,C1124&gt;=N$23,5,C1124&gt;=N$24,6,C1124&lt;N$24,7)</f>
        <v>5</v>
      </c>
      <c r="F1124" s="30"/>
      <c r="G1124" s="5"/>
      <c r="H1124" s="5"/>
    </row>
    <row r="1125" spans="1:8" ht="12" customHeight="1">
      <c r="A1125" s="10" t="s">
        <v>2628</v>
      </c>
      <c r="B1125" s="112" t="s">
        <v>2968</v>
      </c>
      <c r="C1125" s="82">
        <v>326</v>
      </c>
      <c r="D1125" s="43"/>
      <c r="E1125" s="29" cm="1">
        <f t="array" ref="E1125">_xlfn.IFS(C1125=":",":",C1125&gt;=N$19,1,C1125&gt;=N$20,2,C1125&gt;=N$21,3,C1125&gt;=N$22,4,C1125&gt;=N$23,5,C1125&gt;=N$24,6,C1125&lt;N$24,7)</f>
        <v>4</v>
      </c>
      <c r="F1125" s="30"/>
      <c r="G1125" s="5"/>
      <c r="H1125" s="5"/>
    </row>
    <row r="1126" spans="1:8" ht="12" customHeight="1">
      <c r="A1126" s="10" t="s">
        <v>2629</v>
      </c>
      <c r="B1126" s="112" t="s">
        <v>2969</v>
      </c>
      <c r="C1126" s="82">
        <v>129</v>
      </c>
      <c r="D1126" s="43"/>
      <c r="E1126" s="29" cm="1">
        <f t="array" ref="E1126">_xlfn.IFS(C1126=":",":",C1126&gt;=N$19,1,C1126&gt;=N$20,2,C1126&gt;=N$21,3,C1126&gt;=N$22,4,C1126&gt;=N$23,5,C1126&gt;=N$24,6,C1126&lt;N$24,7)</f>
        <v>5</v>
      </c>
      <c r="F1126" s="30"/>
      <c r="G1126" s="5"/>
      <c r="H1126" s="5"/>
    </row>
    <row r="1127" spans="1:8" ht="12" customHeight="1">
      <c r="A1127" s="10" t="s">
        <v>2633</v>
      </c>
      <c r="B1127" s="112" t="s">
        <v>2634</v>
      </c>
      <c r="C1127" s="82">
        <v>53</v>
      </c>
      <c r="D1127" s="43"/>
      <c r="E1127" s="29" cm="1">
        <f t="array" ref="E1127">_xlfn.IFS(C1127=":",":",C1127&gt;=N$19,1,C1127&gt;=N$20,2,C1127&gt;=N$21,3,C1127&gt;=N$22,4,C1127&gt;=N$23,5,C1127&gt;=N$24,6,C1127&lt;N$24,7)</f>
        <v>6</v>
      </c>
      <c r="F1127" s="30"/>
      <c r="G1127" s="5"/>
      <c r="H1127" s="5"/>
    </row>
    <row r="1128" spans="1:8" ht="12" customHeight="1">
      <c r="A1128" s="16" t="s">
        <v>3067</v>
      </c>
      <c r="B1128" s="11" t="s">
        <v>2630</v>
      </c>
      <c r="C1128" s="82">
        <v>68</v>
      </c>
      <c r="D1128" s="43"/>
      <c r="E1128" s="29" cm="1">
        <f t="array" ref="E1128">_xlfn.IFS(C1128=":",":",C1128&gt;=N$19,1,C1128&gt;=N$20,2,C1128&gt;=N$21,3,C1128&gt;=N$22,4,C1128&gt;=N$23,5,C1128&gt;=N$24,6,C1128&lt;N$24,7)</f>
        <v>6</v>
      </c>
      <c r="F1128" s="30"/>
      <c r="G1128" s="5"/>
      <c r="H1128" s="5"/>
    </row>
    <row r="1129" spans="1:8" ht="12" customHeight="1">
      <c r="A1129" s="16" t="s">
        <v>3068</v>
      </c>
      <c r="B1129" s="11" t="s">
        <v>2631</v>
      </c>
      <c r="C1129" s="82">
        <v>56</v>
      </c>
      <c r="D1129" s="43"/>
      <c r="E1129" s="29" cm="1">
        <f t="array" ref="E1129">_xlfn.IFS(C1129=":",":",C1129&gt;=N$19,1,C1129&gt;=N$20,2,C1129&gt;=N$21,3,C1129&gt;=N$22,4,C1129&gt;=N$23,5,C1129&gt;=N$24,6,C1129&lt;N$24,7)</f>
        <v>6</v>
      </c>
      <c r="F1129" s="30"/>
      <c r="G1129" s="5"/>
      <c r="H1129" s="5"/>
    </row>
    <row r="1130" spans="1:8" ht="12" customHeight="1">
      <c r="A1130" s="16" t="s">
        <v>3069</v>
      </c>
      <c r="B1130" s="11" t="s">
        <v>2632</v>
      </c>
      <c r="C1130" s="82">
        <v>55</v>
      </c>
      <c r="D1130" s="43"/>
      <c r="E1130" s="29" cm="1">
        <f t="array" ref="E1130">_xlfn.IFS(C1130=":",":",C1130&gt;=N$19,1,C1130&gt;=N$20,2,C1130&gt;=N$21,3,C1130&gt;=N$22,4,C1130&gt;=N$23,5,C1130&gt;=N$24,6,C1130&lt;N$24,7)</f>
        <v>6</v>
      </c>
      <c r="F1130" s="30"/>
      <c r="G1130" s="5"/>
      <c r="H1130" s="5"/>
    </row>
    <row r="1131" spans="1:8" ht="12" customHeight="1">
      <c r="A1131" s="16" t="s">
        <v>3070</v>
      </c>
      <c r="B1131" s="11" t="s">
        <v>2635</v>
      </c>
      <c r="C1131" s="82">
        <v>130</v>
      </c>
      <c r="D1131" s="43"/>
      <c r="E1131" s="29" cm="1">
        <f t="array" ref="E1131">_xlfn.IFS(C1131=":",":",C1131&gt;=N$19,1,C1131&gt;=N$20,2,C1131&gt;=N$21,3,C1131&gt;=N$22,4,C1131&gt;=N$23,5,C1131&gt;=N$24,6,C1131&lt;N$24,7)</f>
        <v>5</v>
      </c>
      <c r="F1131" s="30"/>
      <c r="G1131" s="5"/>
      <c r="H1131" s="5"/>
    </row>
    <row r="1132" spans="1:8" ht="12" customHeight="1">
      <c r="A1132" s="10" t="s">
        <v>2636</v>
      </c>
      <c r="B1132" s="112" t="s">
        <v>426</v>
      </c>
      <c r="C1132" s="82">
        <v>748</v>
      </c>
      <c r="D1132" s="43"/>
      <c r="E1132" s="29" cm="1">
        <f t="array" ref="E1132">_xlfn.IFS(C1132=":",":",C1132&gt;=N$19,1,C1132&gt;=N$20,2,C1132&gt;=N$21,3,C1132&gt;=N$22,4,C1132&gt;=N$23,5,C1132&gt;=N$24,6,C1132&lt;N$24,7)</f>
        <v>3</v>
      </c>
      <c r="F1132" s="30"/>
      <c r="G1132" s="5"/>
      <c r="H1132" s="5"/>
    </row>
    <row r="1133" spans="1:8" ht="12" customHeight="1">
      <c r="A1133" s="10" t="s">
        <v>2637</v>
      </c>
      <c r="B1133" s="112" t="s">
        <v>2638</v>
      </c>
      <c r="C1133" s="82">
        <v>125</v>
      </c>
      <c r="D1133" s="43"/>
      <c r="E1133" s="29" cm="1">
        <f t="array" ref="E1133">_xlfn.IFS(C1133=":",":",C1133&gt;=N$19,1,C1133&gt;=N$20,2,C1133&gt;=N$21,3,C1133&gt;=N$22,4,C1133&gt;=N$23,5,C1133&gt;=N$24,6,C1133&lt;N$24,7)</f>
        <v>5</v>
      </c>
      <c r="F1133" s="30"/>
      <c r="G1133" s="5"/>
      <c r="H1133" s="5"/>
    </row>
    <row r="1134" spans="1:8" ht="12" customHeight="1">
      <c r="A1134" s="10" t="s">
        <v>2639</v>
      </c>
      <c r="B1134" s="112" t="s">
        <v>2640</v>
      </c>
      <c r="C1134" s="82">
        <v>74</v>
      </c>
      <c r="D1134" s="43"/>
      <c r="E1134" s="29" cm="1">
        <f t="array" ref="E1134">_xlfn.IFS(C1134=":",":",C1134&gt;=N$19,1,C1134&gt;=N$20,2,C1134&gt;=N$21,3,C1134&gt;=N$22,4,C1134&gt;=N$23,5,C1134&gt;=N$24,6,C1134&lt;N$24,7)</f>
        <v>6</v>
      </c>
      <c r="F1134" s="30"/>
      <c r="G1134" s="5"/>
      <c r="H1134" s="5"/>
    </row>
    <row r="1135" spans="1:8" ht="12" customHeight="1">
      <c r="A1135" s="10" t="s">
        <v>2643</v>
      </c>
      <c r="B1135" s="112" t="s">
        <v>2644</v>
      </c>
      <c r="C1135" s="82">
        <v>98</v>
      </c>
      <c r="D1135" s="43"/>
      <c r="E1135" s="29" cm="1">
        <f t="array" ref="E1135">_xlfn.IFS(C1135=":",":",C1135&gt;=N$19,1,C1135&gt;=N$20,2,C1135&gt;=N$21,3,C1135&gt;=N$22,4,C1135&gt;=N$23,5,C1135&gt;=N$24,6,C1135&lt;N$24,7)</f>
        <v>5</v>
      </c>
      <c r="F1135" s="60"/>
      <c r="G1135" s="5"/>
      <c r="H1135" s="5"/>
    </row>
    <row r="1136" spans="1:8" ht="12" customHeight="1">
      <c r="A1136" s="16" t="s">
        <v>3071</v>
      </c>
      <c r="B1136" s="11" t="s">
        <v>2641</v>
      </c>
      <c r="C1136" s="82">
        <v>95</v>
      </c>
      <c r="D1136" s="43"/>
      <c r="E1136" s="29" cm="1">
        <f t="array" ref="E1136">_xlfn.IFS(C1136=":",":",C1136&gt;=N$19,1,C1136&gt;=N$20,2,C1136&gt;=N$21,3,C1136&gt;=N$22,4,C1136&gt;=N$23,5,C1136&gt;=N$24,6,C1136&lt;N$24,7)</f>
        <v>5</v>
      </c>
      <c r="F1136" s="60"/>
      <c r="G1136" s="5"/>
      <c r="H1136" s="5"/>
    </row>
    <row r="1137" spans="1:8" ht="12" customHeight="1">
      <c r="A1137" s="16" t="s">
        <v>3072</v>
      </c>
      <c r="B1137" s="11" t="s">
        <v>2642</v>
      </c>
      <c r="C1137" s="82">
        <v>71</v>
      </c>
      <c r="D1137" s="43"/>
      <c r="E1137" s="29" cm="1">
        <f t="array" ref="E1137">_xlfn.IFS(C1137=":",":",C1137&gt;=N$19,1,C1137&gt;=N$20,2,C1137&gt;=N$21,3,C1137&gt;=N$22,4,C1137&gt;=N$23,5,C1137&gt;=N$24,6,C1137&lt;N$24,7)</f>
        <v>6</v>
      </c>
      <c r="F1137" s="60"/>
      <c r="G1137" s="5"/>
      <c r="H1137" s="5"/>
    </row>
    <row r="1138" spans="1:8" ht="12" customHeight="1">
      <c r="A1138" s="10" t="s">
        <v>2648</v>
      </c>
      <c r="B1138" s="112" t="s">
        <v>2649</v>
      </c>
      <c r="C1138" s="82">
        <v>28</v>
      </c>
      <c r="D1138" s="43"/>
      <c r="E1138" s="29" cm="1">
        <f t="array" ref="E1138">_xlfn.IFS(C1138=":",":",C1138&gt;=N$19,1,C1138&gt;=N$20,2,C1138&gt;=N$21,3,C1138&gt;=N$22,4,C1138&gt;=N$23,5,C1138&gt;=N$24,6,C1138&lt;N$24,7)</f>
        <v>6</v>
      </c>
      <c r="F1138" s="30"/>
      <c r="G1138" s="5"/>
      <c r="H1138" s="5"/>
    </row>
    <row r="1139" spans="1:8" ht="12" customHeight="1">
      <c r="A1139" s="10" t="s">
        <v>2650</v>
      </c>
      <c r="B1139" s="112" t="s">
        <v>2651</v>
      </c>
      <c r="C1139" s="82">
        <v>36</v>
      </c>
      <c r="D1139" s="43"/>
      <c r="E1139" s="29" cm="1">
        <f t="array" ref="E1139">_xlfn.IFS(C1139=":",":",C1139&gt;=N$19,1,C1139&gt;=N$20,2,C1139&gt;=N$21,3,C1139&gt;=N$22,4,C1139&gt;=N$23,5,C1139&gt;=N$24,6,C1139&lt;N$24,7)</f>
        <v>6</v>
      </c>
      <c r="F1139" s="30"/>
      <c r="G1139" s="5"/>
      <c r="H1139" s="5"/>
    </row>
    <row r="1140" spans="1:8" ht="12" customHeight="1">
      <c r="A1140" s="10" t="s">
        <v>2652</v>
      </c>
      <c r="B1140" s="112" t="s">
        <v>2653</v>
      </c>
      <c r="C1140" s="82">
        <v>30</v>
      </c>
      <c r="D1140" s="43"/>
      <c r="E1140" s="29" cm="1">
        <f t="array" ref="E1140">_xlfn.IFS(C1140=":",":",C1140&gt;=N$19,1,C1140&gt;=N$20,2,C1140&gt;=N$21,3,C1140&gt;=N$22,4,C1140&gt;=N$23,5,C1140&gt;=N$24,6,C1140&lt;N$24,7)</f>
        <v>6</v>
      </c>
      <c r="F1140" s="30"/>
      <c r="G1140" s="5"/>
      <c r="H1140" s="5"/>
    </row>
    <row r="1141" spans="1:8" ht="12" customHeight="1">
      <c r="A1141" s="10" t="s">
        <v>2654</v>
      </c>
      <c r="B1141" s="112" t="s">
        <v>2655</v>
      </c>
      <c r="C1141" s="82">
        <v>49</v>
      </c>
      <c r="D1141" s="43"/>
      <c r="E1141" s="29" cm="1">
        <f t="array" ref="E1141">_xlfn.IFS(C1141=":",":",C1141&gt;=N$19,1,C1141&gt;=N$20,2,C1141&gt;=N$21,3,C1141&gt;=N$22,4,C1141&gt;=N$23,5,C1141&gt;=N$24,6,C1141&lt;N$24,7)</f>
        <v>6</v>
      </c>
      <c r="F1141" s="30"/>
      <c r="G1141" s="5"/>
      <c r="H1141" s="5"/>
    </row>
    <row r="1142" spans="1:8" ht="12" customHeight="1">
      <c r="A1142" s="16" t="s">
        <v>3073</v>
      </c>
      <c r="B1142" s="11" t="s">
        <v>2645</v>
      </c>
      <c r="C1142" s="82">
        <v>56</v>
      </c>
      <c r="D1142" s="43"/>
      <c r="E1142" s="29" cm="1">
        <f t="array" ref="E1142">_xlfn.IFS(C1142=":",":",C1142&gt;=N$19,1,C1142&gt;=N$20,2,C1142&gt;=N$21,3,C1142&gt;=N$22,4,C1142&gt;=N$23,5,C1142&gt;=N$24,6,C1142&lt;N$24,7)</f>
        <v>6</v>
      </c>
      <c r="F1142" s="30"/>
      <c r="G1142" s="5"/>
      <c r="H1142" s="5"/>
    </row>
    <row r="1143" spans="1:8" ht="12" customHeight="1">
      <c r="A1143" s="16" t="s">
        <v>3074</v>
      </c>
      <c r="B1143" s="11" t="s">
        <v>2646</v>
      </c>
      <c r="C1143" s="82">
        <v>45</v>
      </c>
      <c r="D1143" s="43"/>
      <c r="E1143" s="29" cm="1">
        <f t="array" ref="E1143">_xlfn.IFS(C1143=":",":",C1143&gt;=N$19,1,C1143&gt;=N$20,2,C1143&gt;=N$21,3,C1143&gt;=N$22,4,C1143&gt;=N$23,5,C1143&gt;=N$24,6,C1143&lt;N$24,7)</f>
        <v>6</v>
      </c>
      <c r="F1143" s="30"/>
      <c r="G1143" s="5"/>
      <c r="H1143" s="5"/>
    </row>
    <row r="1144" spans="1:8" ht="12" customHeight="1">
      <c r="A1144" s="16" t="s">
        <v>3075</v>
      </c>
      <c r="B1144" s="11" t="s">
        <v>2647</v>
      </c>
      <c r="C1144" s="82">
        <v>27</v>
      </c>
      <c r="D1144" s="43"/>
      <c r="E1144" s="29" cm="1">
        <f t="array" ref="E1144">_xlfn.IFS(C1144=":",":",C1144&gt;=N$19,1,C1144&gt;=N$20,2,C1144&gt;=N$21,3,C1144&gt;=N$22,4,C1144&gt;=N$23,5,C1144&gt;=N$24,6,C1144&lt;N$24,7)</f>
        <v>6</v>
      </c>
      <c r="F1144" s="30"/>
      <c r="G1144" s="5"/>
      <c r="H1144" s="5"/>
    </row>
    <row r="1145" spans="1:8" ht="12" customHeight="1">
      <c r="A1145" s="10" t="s">
        <v>2656</v>
      </c>
      <c r="B1145" s="112" t="s">
        <v>431</v>
      </c>
      <c r="C1145" s="82">
        <v>270</v>
      </c>
      <c r="D1145" s="43"/>
      <c r="E1145" s="29" cm="1">
        <f t="array" ref="E1145">_xlfn.IFS(C1145=":",":",C1145&gt;=N$19,1,C1145&gt;=N$20,2,C1145&gt;=N$21,3,C1145&gt;=N$22,4,C1145&gt;=N$23,5,C1145&gt;=N$24,6,C1145&lt;N$24,7)</f>
        <v>4</v>
      </c>
      <c r="F1145" s="30"/>
      <c r="G1145" s="5"/>
      <c r="H1145" s="5"/>
    </row>
    <row r="1146" spans="1:8" ht="12" customHeight="1">
      <c r="A1146" s="10" t="s">
        <v>2657</v>
      </c>
      <c r="B1146" s="112" t="s">
        <v>2658</v>
      </c>
      <c r="C1146" s="82">
        <v>2346</v>
      </c>
      <c r="D1146" s="43"/>
      <c r="E1146" s="29" cm="1">
        <f t="array" ref="E1146">_xlfn.IFS(C1146=":",":",C1146&gt;=N$19,1,C1146&gt;=N$20,2,C1146&gt;=N$21,3,C1146&gt;=N$22,4,C1146&gt;=N$23,5,C1146&gt;=N$24,6,C1146&lt;N$24,7)</f>
        <v>2</v>
      </c>
      <c r="F1146" s="30"/>
      <c r="G1146" s="5"/>
      <c r="H1146" s="5"/>
    </row>
    <row r="1147" spans="1:8" ht="12" customHeight="1">
      <c r="A1147" s="10" t="s">
        <v>2659</v>
      </c>
      <c r="B1147" s="112" t="s">
        <v>2660</v>
      </c>
      <c r="C1147" s="82">
        <v>144</v>
      </c>
      <c r="D1147" s="43"/>
      <c r="E1147" s="29" cm="1">
        <f t="array" ref="E1147">_xlfn.IFS(C1147=":",":",C1147&gt;=N$19,1,C1147&gt;=N$20,2,C1147&gt;=N$21,3,C1147&gt;=N$22,4,C1147&gt;=N$23,5,C1147&gt;=N$24,6,C1147&lt;N$24,7)</f>
        <v>5</v>
      </c>
      <c r="F1147" s="30"/>
      <c r="G1147" s="5"/>
      <c r="H1147" s="5"/>
    </row>
    <row r="1148" spans="1:8" ht="12" customHeight="1">
      <c r="A1148" s="10" t="s">
        <v>2661</v>
      </c>
      <c r="B1148" s="112" t="s">
        <v>2662</v>
      </c>
      <c r="C1148" s="82">
        <v>186</v>
      </c>
      <c r="D1148" s="43"/>
      <c r="E1148" s="29" cm="1">
        <f t="array" ref="E1148">_xlfn.IFS(C1148=":",":",C1148&gt;=N$19,1,C1148&gt;=N$20,2,C1148&gt;=N$21,3,C1148&gt;=N$22,4,C1148&gt;=N$23,5,C1148&gt;=N$24,6,C1148&lt;N$24,7)</f>
        <v>5</v>
      </c>
      <c r="F1148" s="30"/>
      <c r="G1148" s="5"/>
      <c r="H1148" s="5"/>
    </row>
    <row r="1149" spans="1:8" ht="12" customHeight="1">
      <c r="A1149" s="10" t="s">
        <v>2663</v>
      </c>
      <c r="B1149" s="112" t="s">
        <v>2664</v>
      </c>
      <c r="C1149" s="82">
        <v>189</v>
      </c>
      <c r="D1149" s="43"/>
      <c r="E1149" s="29" cm="1">
        <f t="array" ref="E1149">_xlfn.IFS(C1149=":",":",C1149&gt;=N$19,1,C1149&gt;=N$20,2,C1149&gt;=N$21,3,C1149&gt;=N$22,4,C1149&gt;=N$23,5,C1149&gt;=N$24,6,C1149&lt;N$24,7)</f>
        <v>5</v>
      </c>
      <c r="F1149" s="30"/>
      <c r="G1149" s="5"/>
      <c r="H1149" s="5"/>
    </row>
    <row r="1150" spans="1:8" ht="12" customHeight="1">
      <c r="A1150" s="10" t="s">
        <v>2665</v>
      </c>
      <c r="B1150" s="112" t="s">
        <v>2666</v>
      </c>
      <c r="C1150" s="82">
        <v>147</v>
      </c>
      <c r="D1150" s="43"/>
      <c r="E1150" s="29" cm="1">
        <f t="array" ref="E1150">_xlfn.IFS(C1150=":",":",C1150&gt;=N$19,1,C1150&gt;=N$20,2,C1150&gt;=N$21,3,C1150&gt;=N$22,4,C1150&gt;=N$23,5,C1150&gt;=N$24,6,C1150&lt;N$24,7)</f>
        <v>5</v>
      </c>
      <c r="F1150" s="30"/>
      <c r="G1150" s="5"/>
      <c r="H1150" s="5"/>
    </row>
    <row r="1151" spans="1:8" ht="12" customHeight="1">
      <c r="A1151" s="10" t="s">
        <v>2667</v>
      </c>
      <c r="B1151" s="112" t="s">
        <v>2668</v>
      </c>
      <c r="C1151" s="82">
        <v>189</v>
      </c>
      <c r="D1151" s="43"/>
      <c r="E1151" s="29" cm="1">
        <f t="array" ref="E1151">_xlfn.IFS(C1151=":",":",C1151&gt;=N$19,1,C1151&gt;=N$20,2,C1151&gt;=N$21,3,C1151&gt;=N$22,4,C1151&gt;=N$23,5,C1151&gt;=N$24,6,C1151&lt;N$24,7)</f>
        <v>5</v>
      </c>
      <c r="F1151" s="30"/>
      <c r="G1151" s="5"/>
      <c r="H1151" s="5"/>
    </row>
    <row r="1152" spans="1:8" ht="12" customHeight="1">
      <c r="A1152" s="10" t="s">
        <v>2669</v>
      </c>
      <c r="B1152" s="112" t="s">
        <v>2670</v>
      </c>
      <c r="C1152" s="82">
        <v>162</v>
      </c>
      <c r="D1152" s="43"/>
      <c r="E1152" s="29" cm="1">
        <f t="array" ref="E1152">_xlfn.IFS(C1152=":",":",C1152&gt;=N$19,1,C1152&gt;=N$20,2,C1152&gt;=N$21,3,C1152&gt;=N$22,4,C1152&gt;=N$23,5,C1152&gt;=N$24,6,C1152&lt;N$24,7)</f>
        <v>5</v>
      </c>
      <c r="F1152" s="30"/>
      <c r="G1152" s="5"/>
      <c r="H1152" s="5"/>
    </row>
    <row r="1153" spans="1:8" ht="12" customHeight="1">
      <c r="A1153" s="10" t="s">
        <v>2671</v>
      </c>
      <c r="B1153" s="112" t="s">
        <v>2672</v>
      </c>
      <c r="C1153" s="82">
        <v>104</v>
      </c>
      <c r="D1153" s="43"/>
      <c r="E1153" s="29" cm="1">
        <f t="array" ref="E1153">_xlfn.IFS(C1153=":",":",C1153&gt;=N$19,1,C1153&gt;=N$20,2,C1153&gt;=N$21,3,C1153&gt;=N$22,4,C1153&gt;=N$23,5,C1153&gt;=N$24,6,C1153&lt;N$24,7)</f>
        <v>5</v>
      </c>
      <c r="F1153" s="30"/>
      <c r="G1153" s="5"/>
      <c r="H1153" s="5"/>
    </row>
    <row r="1154" spans="1:8" ht="12" customHeight="1">
      <c r="A1154" s="10" t="s">
        <v>2673</v>
      </c>
      <c r="B1154" s="112" t="s">
        <v>2674</v>
      </c>
      <c r="C1154" s="82">
        <v>284</v>
      </c>
      <c r="D1154" s="43"/>
      <c r="E1154" s="29" cm="1">
        <f t="array" ref="E1154">_xlfn.IFS(C1154=":",":",C1154&gt;=N$19,1,C1154&gt;=N$20,2,C1154&gt;=N$21,3,C1154&gt;=N$22,4,C1154&gt;=N$23,5,C1154&gt;=N$24,6,C1154&lt;N$24,7)</f>
        <v>4</v>
      </c>
      <c r="F1154" s="30"/>
      <c r="G1154" s="5"/>
      <c r="H1154" s="5"/>
    </row>
    <row r="1155" spans="1:8" ht="12" customHeight="1">
      <c r="A1155" s="10" t="s">
        <v>2675</v>
      </c>
      <c r="B1155" s="112" t="s">
        <v>2676</v>
      </c>
      <c r="C1155" s="82">
        <v>298</v>
      </c>
      <c r="D1155" s="43"/>
      <c r="E1155" s="29" cm="1">
        <f t="array" ref="E1155">_xlfn.IFS(C1155=":",":",C1155&gt;=N$19,1,C1155&gt;=N$20,2,C1155&gt;=N$21,3,C1155&gt;=N$22,4,C1155&gt;=N$23,5,C1155&gt;=N$24,6,C1155&lt;N$24,7)</f>
        <v>4</v>
      </c>
      <c r="F1155" s="30"/>
      <c r="G1155" s="5"/>
      <c r="H1155" s="5"/>
    </row>
    <row r="1156" spans="1:8" ht="12" customHeight="1">
      <c r="A1156" s="10" t="s">
        <v>2677</v>
      </c>
      <c r="B1156" s="112" t="s">
        <v>2678</v>
      </c>
      <c r="C1156" s="82">
        <v>334</v>
      </c>
      <c r="D1156" s="43"/>
      <c r="E1156" s="29" cm="1">
        <f t="array" ref="E1156">_xlfn.IFS(C1156=":",":",C1156&gt;=N$19,1,C1156&gt;=N$20,2,C1156&gt;=N$21,3,C1156&gt;=N$22,4,C1156&gt;=N$23,5,C1156&gt;=N$24,6,C1156&lt;N$24,7)</f>
        <v>4</v>
      </c>
      <c r="F1156" s="30"/>
      <c r="G1156" s="5"/>
      <c r="H1156" s="5"/>
    </row>
    <row r="1157" spans="1:8" ht="12" customHeight="1">
      <c r="A1157" s="10" t="s">
        <v>2679</v>
      </c>
      <c r="B1157" s="112" t="s">
        <v>2680</v>
      </c>
      <c r="C1157" s="82">
        <v>608</v>
      </c>
      <c r="D1157" s="43"/>
      <c r="E1157" s="29" cm="1">
        <f t="array" ref="E1157">_xlfn.IFS(C1157=":",":",C1157&gt;=N$19,1,C1157&gt;=N$20,2,C1157&gt;=N$21,3,C1157&gt;=N$22,4,C1157&gt;=N$23,5,C1157&gt;=N$24,6,C1157&lt;N$24,7)</f>
        <v>3</v>
      </c>
      <c r="F1157" s="30"/>
      <c r="G1157" s="5"/>
      <c r="H1157" s="5"/>
    </row>
    <row r="1158" spans="1:8" ht="12" customHeight="1">
      <c r="A1158" s="10" t="s">
        <v>2681</v>
      </c>
      <c r="B1158" s="112" t="s">
        <v>2682</v>
      </c>
      <c r="C1158" s="82">
        <v>528</v>
      </c>
      <c r="D1158" s="43"/>
      <c r="E1158" s="29" cm="1">
        <f t="array" ref="E1158">_xlfn.IFS(C1158=":",":",C1158&gt;=N$19,1,C1158&gt;=N$20,2,C1158&gt;=N$21,3,C1158&gt;=N$22,4,C1158&gt;=N$23,5,C1158&gt;=N$24,6,C1158&lt;N$24,7)</f>
        <v>3</v>
      </c>
      <c r="F1158" s="30"/>
      <c r="G1158" s="5"/>
      <c r="H1158" s="5"/>
    </row>
    <row r="1159" spans="1:8" ht="12" customHeight="1">
      <c r="A1159" s="10" t="s">
        <v>2683</v>
      </c>
      <c r="B1159" s="112" t="s">
        <v>2684</v>
      </c>
      <c r="C1159" s="82">
        <v>458</v>
      </c>
      <c r="D1159" s="43"/>
      <c r="E1159" s="29" cm="1">
        <f t="array" ref="E1159">_xlfn.IFS(C1159=":",":",C1159&gt;=N$19,1,C1159&gt;=N$20,2,C1159&gt;=N$21,3,C1159&gt;=N$22,4,C1159&gt;=N$23,5,C1159&gt;=N$24,6,C1159&lt;N$24,7)</f>
        <v>4</v>
      </c>
      <c r="F1159" s="30"/>
      <c r="G1159" s="5"/>
      <c r="H1159" s="5"/>
    </row>
    <row r="1160" spans="1:8" ht="12" customHeight="1">
      <c r="A1160" s="10" t="s">
        <v>2685</v>
      </c>
      <c r="B1160" s="112" t="s">
        <v>2686</v>
      </c>
      <c r="C1160" s="82">
        <v>109</v>
      </c>
      <c r="D1160" s="43"/>
      <c r="E1160" s="29" cm="1">
        <f t="array" ref="E1160">_xlfn.IFS(C1160=":",":",C1160&gt;=N$19,1,C1160&gt;=N$20,2,C1160&gt;=N$21,3,C1160&gt;=N$22,4,C1160&gt;=N$23,5,C1160&gt;=N$24,6,C1160&lt;N$24,7)</f>
        <v>5</v>
      </c>
      <c r="F1160" s="30"/>
      <c r="G1160" s="5"/>
      <c r="H1160" s="5"/>
    </row>
    <row r="1161" spans="1:8" ht="12" customHeight="1">
      <c r="A1161" s="10" t="s">
        <v>2687</v>
      </c>
      <c r="B1161" s="112" t="s">
        <v>2688</v>
      </c>
      <c r="C1161" s="82">
        <v>115</v>
      </c>
      <c r="D1161" s="43"/>
      <c r="E1161" s="29" cm="1">
        <f t="array" ref="E1161">_xlfn.IFS(C1161=":",":",C1161&gt;=N$19,1,C1161&gt;=N$20,2,C1161&gt;=N$21,3,C1161&gt;=N$22,4,C1161&gt;=N$23,5,C1161&gt;=N$24,6,C1161&lt;N$24,7)</f>
        <v>5</v>
      </c>
      <c r="F1161" s="30"/>
      <c r="G1161" s="5"/>
      <c r="H1161" s="5"/>
    </row>
    <row r="1162" spans="1:8" ht="12" customHeight="1">
      <c r="A1162" s="10" t="s">
        <v>2689</v>
      </c>
      <c r="B1162" s="112" t="s">
        <v>2690</v>
      </c>
      <c r="C1162" s="82">
        <v>66</v>
      </c>
      <c r="D1162" s="43"/>
      <c r="E1162" s="29" cm="1">
        <f t="array" ref="E1162">_xlfn.IFS(C1162=":",":",C1162&gt;=N$19,1,C1162&gt;=N$20,2,C1162&gt;=N$21,3,C1162&gt;=N$22,4,C1162&gt;=N$23,5,C1162&gt;=N$24,6,C1162&lt;N$24,7)</f>
        <v>6</v>
      </c>
      <c r="F1162" s="30"/>
      <c r="G1162" s="5"/>
      <c r="H1162" s="5"/>
    </row>
    <row r="1163" spans="1:8" ht="12" customHeight="1">
      <c r="A1163" s="10" t="s">
        <v>2691</v>
      </c>
      <c r="B1163" s="112" t="s">
        <v>2692</v>
      </c>
      <c r="C1163" s="82">
        <v>61</v>
      </c>
      <c r="D1163" s="43"/>
      <c r="E1163" s="29" cm="1">
        <f t="array" ref="E1163">_xlfn.IFS(C1163=":",":",C1163&gt;=N$19,1,C1163&gt;=N$20,2,C1163&gt;=N$21,3,C1163&gt;=N$22,4,C1163&gt;=N$23,5,C1163&gt;=N$24,6,C1163&lt;N$24,7)</f>
        <v>6</v>
      </c>
      <c r="F1163" s="30"/>
      <c r="G1163" s="5"/>
      <c r="H1163" s="5"/>
    </row>
    <row r="1164" spans="1:8" ht="12" customHeight="1">
      <c r="A1164" s="10" t="s">
        <v>2693</v>
      </c>
      <c r="B1164" s="112" t="s">
        <v>2694</v>
      </c>
      <c r="C1164" s="82">
        <v>36</v>
      </c>
      <c r="D1164" s="43"/>
      <c r="E1164" s="29" cm="1">
        <f t="array" ref="E1164">_xlfn.IFS(C1164=":",":",C1164&gt;=N$19,1,C1164&gt;=N$20,2,C1164&gt;=N$21,3,C1164&gt;=N$22,4,C1164&gt;=N$23,5,C1164&gt;=N$24,6,C1164&lt;N$24,7)</f>
        <v>6</v>
      </c>
      <c r="F1164" s="30"/>
      <c r="G1164" s="5"/>
      <c r="H1164" s="5"/>
    </row>
    <row r="1165" spans="1:8" ht="12" customHeight="1">
      <c r="A1165" s="10" t="s">
        <v>2695</v>
      </c>
      <c r="B1165" s="112" t="s">
        <v>2696</v>
      </c>
      <c r="C1165" s="82">
        <v>34</v>
      </c>
      <c r="D1165" s="43"/>
      <c r="E1165" s="29" cm="1">
        <f t="array" ref="E1165">_xlfn.IFS(C1165=":",":",C1165&gt;=N$19,1,C1165&gt;=N$20,2,C1165&gt;=N$21,3,C1165&gt;=N$22,4,C1165&gt;=N$23,5,C1165&gt;=N$24,6,C1165&lt;N$24,7)</f>
        <v>6</v>
      </c>
      <c r="F1165" s="30"/>
      <c r="G1165" s="5"/>
      <c r="H1165" s="5"/>
    </row>
    <row r="1166" spans="1:8" ht="12" customHeight="1">
      <c r="A1166" s="10" t="s">
        <v>2697</v>
      </c>
      <c r="B1166" s="112" t="s">
        <v>2698</v>
      </c>
      <c r="C1166" s="82">
        <v>30</v>
      </c>
      <c r="D1166" s="43"/>
      <c r="E1166" s="29" cm="1">
        <f t="array" ref="E1166">_xlfn.IFS(C1166=":",":",C1166&gt;=N$19,1,C1166&gt;=N$20,2,C1166&gt;=N$21,3,C1166&gt;=N$22,4,C1166&gt;=N$23,5,C1166&gt;=N$24,6,C1166&lt;N$24,7)</f>
        <v>6</v>
      </c>
      <c r="F1166" s="30"/>
      <c r="G1166" s="5"/>
      <c r="H1166" s="5"/>
    </row>
    <row r="1167" spans="1:8" ht="12" customHeight="1">
      <c r="A1167" s="16" t="s">
        <v>2699</v>
      </c>
      <c r="B1167" s="11" t="s">
        <v>2970</v>
      </c>
      <c r="C1167" s="82">
        <v>3337</v>
      </c>
      <c r="E1167" s="29" cm="1">
        <f t="array" ref="E1167">_xlfn.IFS(C1167=":",":",C1167&gt;=N$19,1,C1167&gt;=N$20,2,C1167&gt;=N$21,3,C1167&gt;=N$22,4,C1167&gt;=N$23,5,C1167&gt;=N$24,6,C1167&lt;N$24,7)</f>
        <v>2</v>
      </c>
      <c r="F1167" s="43">
        <v>2023</v>
      </c>
      <c r="G1167" s="5"/>
      <c r="H1167" s="5"/>
    </row>
    <row r="1168" spans="1:8" ht="12" customHeight="1">
      <c r="A1168" s="16" t="s">
        <v>2700</v>
      </c>
      <c r="B1168" s="11" t="s">
        <v>2971</v>
      </c>
      <c r="C1168" s="82">
        <v>59</v>
      </c>
      <c r="E1168" s="29" cm="1">
        <f t="array" ref="E1168">_xlfn.IFS(C1168=":",":",C1168&gt;=N$19,1,C1168&gt;=N$20,2,C1168&gt;=N$21,3,C1168&gt;=N$22,4,C1168&gt;=N$23,5,C1168&gt;=N$24,6,C1168&lt;N$24,7)</f>
        <v>6</v>
      </c>
      <c r="F1168" s="43">
        <v>2023</v>
      </c>
      <c r="G1168" s="5"/>
      <c r="H1168" s="5"/>
    </row>
    <row r="1169" spans="1:8" ht="12" customHeight="1">
      <c r="A1169" s="16" t="s">
        <v>2701</v>
      </c>
      <c r="B1169" s="11" t="s">
        <v>453</v>
      </c>
      <c r="C1169" s="82">
        <v>1447</v>
      </c>
      <c r="D1169" s="43"/>
      <c r="E1169" s="29" cm="1">
        <f t="array" ref="E1169">_xlfn.IFS(C1169=":",":",C1169&gt;=N$19,1,C1169&gt;=N$20,2,C1169&gt;=N$21,3,C1169&gt;=N$22,4,C1169&gt;=N$23,5,C1169&gt;=N$24,6,C1169&lt;N$24,7)</f>
        <v>3</v>
      </c>
      <c r="F1169" s="30"/>
      <c r="G1169" s="5"/>
      <c r="H1169" s="5"/>
    </row>
    <row r="1170" spans="1:8" ht="12" customHeight="1">
      <c r="A1170" s="16" t="s">
        <v>2702</v>
      </c>
      <c r="B1170" s="11" t="s">
        <v>456</v>
      </c>
      <c r="C1170" s="82">
        <v>74</v>
      </c>
      <c r="D1170" s="43"/>
      <c r="E1170" s="29" cm="1">
        <f t="array" ref="E1170">_xlfn.IFS(C1170=":",":",C1170&gt;=N$19,1,C1170&gt;=N$20,2,C1170&gt;=N$21,3,C1170&gt;=N$22,4,C1170&gt;=N$23,5,C1170&gt;=N$24,6,C1170&lt;N$24,7)</f>
        <v>6</v>
      </c>
      <c r="F1170" s="30"/>
      <c r="G1170" s="5"/>
      <c r="H1170" s="5"/>
    </row>
    <row r="1171" spans="1:8" ht="12" customHeight="1">
      <c r="A1171" s="17" t="s">
        <v>2703</v>
      </c>
      <c r="B1171" s="80" t="s">
        <v>3026</v>
      </c>
      <c r="C1171" s="82">
        <v>73</v>
      </c>
      <c r="D1171" s="43"/>
      <c r="E1171" s="29" cm="1">
        <f t="array" ref="E1171">_xlfn.IFS(C1171=":",":",C1171&gt;=N$19,1,C1171&gt;=N$20,2,C1171&gt;=N$21,3,C1171&gt;=N$22,4,C1171&gt;=N$23,5,C1171&gt;=N$24,6,C1171&lt;N$24,7)</f>
        <v>6</v>
      </c>
      <c r="F1171" s="30"/>
      <c r="G1171" s="5"/>
      <c r="H1171" s="5"/>
    </row>
    <row r="1172" spans="1:8" ht="12" customHeight="1">
      <c r="A1172" s="17" t="s">
        <v>2704</v>
      </c>
      <c r="B1172" s="80" t="s">
        <v>3027</v>
      </c>
      <c r="C1172" s="82">
        <v>74</v>
      </c>
      <c r="D1172" s="43"/>
      <c r="E1172" s="29" cm="1">
        <f t="array" ref="E1172">_xlfn.IFS(C1172=":",":",C1172&gt;=N$19,1,C1172&gt;=N$20,2,C1172&gt;=N$21,3,C1172&gt;=N$22,4,C1172&gt;=N$23,5,C1172&gt;=N$24,6,C1172&lt;N$24,7)</f>
        <v>6</v>
      </c>
      <c r="F1172" s="30"/>
      <c r="G1172" s="5"/>
      <c r="H1172" s="5"/>
    </row>
    <row r="1173" spans="1:8" ht="12" customHeight="1">
      <c r="A1173" s="17" t="s">
        <v>3096</v>
      </c>
      <c r="B1173" s="80" t="s">
        <v>3097</v>
      </c>
      <c r="C1173" s="82">
        <v>75</v>
      </c>
      <c r="D1173" s="43"/>
      <c r="E1173" s="29" cm="1">
        <f t="array" ref="E1173">_xlfn.IFS(C1173=":",":",C1173&gt;=N$19,1,C1173&gt;=N$20,2,C1173&gt;=N$21,3,C1173&gt;=N$22,4,C1173&gt;=N$23,5,C1173&gt;=N$24,6,C1173&lt;N$24,7)</f>
        <v>5</v>
      </c>
      <c r="F1173" s="30"/>
      <c r="G1173" s="5"/>
      <c r="H1173" s="5"/>
    </row>
    <row r="1174" spans="1:8" ht="12" customHeight="1">
      <c r="A1174" s="17" t="s">
        <v>3098</v>
      </c>
      <c r="B1174" s="80" t="s">
        <v>3099</v>
      </c>
      <c r="C1174" s="82">
        <v>17</v>
      </c>
      <c r="D1174" s="43"/>
      <c r="E1174" s="29" cm="1">
        <f t="array" ref="E1174">_xlfn.IFS(C1174=":",":",C1174&gt;=N$19,1,C1174&gt;=N$20,2,C1174&gt;=N$21,3,C1174&gt;=N$22,4,C1174&gt;=N$23,5,C1174&gt;=N$24,6,C1174&lt;N$24,7)</f>
        <v>6</v>
      </c>
      <c r="F1174" s="30"/>
      <c r="G1174" s="5"/>
      <c r="H1174" s="5"/>
    </row>
    <row r="1175" spans="1:8" ht="12" customHeight="1">
      <c r="A1175" s="17" t="s">
        <v>2705</v>
      </c>
      <c r="B1175" s="80" t="s">
        <v>2706</v>
      </c>
      <c r="C1175" s="82">
        <v>15772</v>
      </c>
      <c r="D1175" s="43"/>
      <c r="E1175" s="29" cm="1">
        <f t="array" ref="E1175">_xlfn.IFS(C1175=":",":",C1175&gt;=N$19,1,C1175&gt;=N$20,2,C1175&gt;=N$21,3,C1175&gt;=N$22,4,C1175&gt;=N$23,5,C1175&gt;=N$24,6,C1175&lt;N$24,7)</f>
        <v>1</v>
      </c>
      <c r="F1175" s="30"/>
      <c r="G1175" s="5"/>
      <c r="H1175" s="5"/>
    </row>
    <row r="1176" spans="1:8" ht="12" customHeight="1">
      <c r="A1176" s="17" t="s">
        <v>3100</v>
      </c>
      <c r="B1176" s="80" t="s">
        <v>3101</v>
      </c>
      <c r="C1176" s="82" t="s">
        <v>546</v>
      </c>
      <c r="D1176" s="43"/>
      <c r="E1176" s="29" t="str" cm="1">
        <f t="array" ref="E1176">_xlfn.IFS(C1176=":",":",C1176&gt;=N$19,1,C1176&gt;=N$20,2,C1176&gt;=N$21,3,C1176&gt;=N$22,4,C1176&gt;=N$23,5,C1176&gt;=N$24,6,C1176&lt;N$24,7)</f>
        <v>:</v>
      </c>
      <c r="F1176" s="30"/>
      <c r="G1176" s="5"/>
      <c r="H1176" s="5"/>
    </row>
    <row r="1177" spans="1:8" ht="12" customHeight="1">
      <c r="A1177" s="17" t="s">
        <v>3102</v>
      </c>
      <c r="B1177" s="80" t="s">
        <v>3103</v>
      </c>
      <c r="C1177" s="82" t="s">
        <v>546</v>
      </c>
      <c r="D1177" s="43"/>
      <c r="E1177" s="29" t="str" cm="1">
        <f t="array" ref="E1177">_xlfn.IFS(C1177=":",":",C1177&gt;=N$19,1,C1177&gt;=N$20,2,C1177&gt;=N$21,3,C1177&gt;=N$22,4,C1177&gt;=N$23,5,C1177&gt;=N$24,6,C1177&lt;N$24,7)</f>
        <v>:</v>
      </c>
      <c r="F1177" s="30"/>
      <c r="G1177" s="5"/>
      <c r="H1177" s="5"/>
    </row>
    <row r="1178" spans="1:8" ht="12" customHeight="1">
      <c r="A1178" s="17" t="s">
        <v>3104</v>
      </c>
      <c r="B1178" s="80" t="s">
        <v>3105</v>
      </c>
      <c r="C1178" s="82" t="s">
        <v>546</v>
      </c>
      <c r="D1178" s="43"/>
      <c r="E1178" s="29" t="str" cm="1">
        <f t="array" ref="E1178">_xlfn.IFS(C1178=":",":",C1178&gt;=N$19,1,C1178&gt;=N$20,2,C1178&gt;=N$21,3,C1178&gt;=N$22,4,C1178&gt;=N$23,5,C1178&gt;=N$24,6,C1178&lt;N$24,7)</f>
        <v>:</v>
      </c>
      <c r="F1178" s="30"/>
      <c r="G1178" s="5"/>
      <c r="H1178" s="5"/>
    </row>
    <row r="1179" spans="1:8" ht="12" customHeight="1">
      <c r="A1179" s="17" t="s">
        <v>2707</v>
      </c>
      <c r="B1179" s="80" t="s">
        <v>2708</v>
      </c>
      <c r="C1179" s="82">
        <v>140</v>
      </c>
      <c r="D1179" s="43"/>
      <c r="E1179" s="29" cm="1">
        <f t="array" ref="E1179">_xlfn.IFS(C1179=":",":",C1179&gt;=N$19,1,C1179&gt;=N$20,2,C1179&gt;=N$21,3,C1179&gt;=N$22,4,C1179&gt;=N$23,5,C1179&gt;=N$24,6,C1179&lt;N$24,7)</f>
        <v>5</v>
      </c>
      <c r="F1179" s="30"/>
      <c r="G1179" s="5"/>
      <c r="H1179" s="5"/>
    </row>
    <row r="1180" spans="1:8" ht="12" customHeight="1">
      <c r="A1180" s="17" t="s">
        <v>3106</v>
      </c>
      <c r="B1180" s="80" t="s">
        <v>3107</v>
      </c>
      <c r="C1180" s="82" t="s">
        <v>546</v>
      </c>
      <c r="D1180" s="43"/>
      <c r="E1180" s="29" t="str" cm="1">
        <f t="array" ref="E1180">_xlfn.IFS(C1180=":",":",C1180&gt;=N$19,1,C1180&gt;=N$20,2,C1180&gt;=N$21,3,C1180&gt;=N$22,4,C1180&gt;=N$23,5,C1180&gt;=N$24,6,C1180&lt;N$24,7)</f>
        <v>:</v>
      </c>
      <c r="F1180" s="30"/>
      <c r="G1180" s="5"/>
      <c r="H1180" s="5"/>
    </row>
    <row r="1181" spans="1:8" ht="12" customHeight="1">
      <c r="A1181" s="17" t="s">
        <v>3108</v>
      </c>
      <c r="B1181" s="80" t="s">
        <v>3109</v>
      </c>
      <c r="C1181" s="82" t="s">
        <v>546</v>
      </c>
      <c r="D1181" s="43"/>
      <c r="E1181" s="29" t="str" cm="1">
        <f t="array" ref="E1181">_xlfn.IFS(C1181=":",":",C1181&gt;=N$19,1,C1181&gt;=N$20,2,C1181&gt;=N$21,3,C1181&gt;=N$22,4,C1181&gt;=N$23,5,C1181&gt;=N$24,6,C1181&lt;N$24,7)</f>
        <v>:</v>
      </c>
      <c r="F1181" s="30"/>
      <c r="G1181" s="5"/>
      <c r="H1181" s="5"/>
    </row>
    <row r="1182" spans="1:8" ht="12" customHeight="1">
      <c r="A1182" s="17" t="s">
        <v>2709</v>
      </c>
      <c r="B1182" s="80" t="s">
        <v>2710</v>
      </c>
      <c r="C1182" s="82">
        <v>281</v>
      </c>
      <c r="D1182" s="43"/>
      <c r="E1182" s="29" cm="1">
        <f t="array" ref="E1182">_xlfn.IFS(C1182=":",":",C1182&gt;=N$19,1,C1182&gt;=N$20,2,C1182&gt;=N$21,3,C1182&gt;=N$22,4,C1182&gt;=N$23,5,C1182&gt;=N$24,6,C1182&lt;N$24,7)</f>
        <v>4</v>
      </c>
      <c r="F1182" s="30"/>
      <c r="G1182" s="5"/>
      <c r="H1182" s="5"/>
    </row>
    <row r="1183" spans="1:8" ht="12" customHeight="1">
      <c r="A1183" s="17" t="s">
        <v>2711</v>
      </c>
      <c r="B1183" s="80" t="s">
        <v>2712</v>
      </c>
      <c r="C1183" s="82">
        <v>182</v>
      </c>
      <c r="D1183" s="43"/>
      <c r="E1183" s="29" cm="1">
        <f t="array" ref="E1183">_xlfn.IFS(C1183=":",":",C1183&gt;=N$19,1,C1183&gt;=N$20,2,C1183&gt;=N$21,3,C1183&gt;=N$22,4,C1183&gt;=N$23,5,C1183&gt;=N$24,6,C1183&lt;N$24,7)</f>
        <v>5</v>
      </c>
      <c r="F1183" s="30"/>
      <c r="G1183" s="5"/>
      <c r="H1183" s="5"/>
    </row>
    <row r="1184" spans="1:8" ht="12" customHeight="1">
      <c r="A1184" s="17" t="s">
        <v>2713</v>
      </c>
      <c r="B1184" s="80" t="s">
        <v>2714</v>
      </c>
      <c r="C1184" s="82">
        <v>132</v>
      </c>
      <c r="D1184" s="43"/>
      <c r="E1184" s="29" cm="1">
        <f t="array" ref="E1184">_xlfn.IFS(C1184=":",":",C1184&gt;=N$19,1,C1184&gt;=N$20,2,C1184&gt;=N$21,3,C1184&gt;=N$22,4,C1184&gt;=N$23,5,C1184&gt;=N$24,6,C1184&lt;N$24,7)</f>
        <v>5</v>
      </c>
      <c r="F1184" s="30"/>
      <c r="G1184" s="5"/>
      <c r="H1184" s="5"/>
    </row>
    <row r="1185" spans="1:8" ht="12" customHeight="1">
      <c r="A1185" s="17" t="s">
        <v>2847</v>
      </c>
      <c r="B1185" s="80" t="s">
        <v>2848</v>
      </c>
      <c r="C1185" s="82">
        <v>0</v>
      </c>
      <c r="D1185" s="43"/>
      <c r="E1185" s="29" cm="1">
        <f t="array" ref="E1185">_xlfn.IFS(C1185=":",":",C1185&gt;=N$19,1,C1185&gt;=N$20,2,C1185&gt;=N$21,3,C1185&gt;=N$22,4,C1185&gt;=N$23,5,C1185&gt;=N$24,6,C1185&lt;N$24,7)</f>
        <v>6</v>
      </c>
      <c r="F1185" s="30"/>
      <c r="G1185" s="5"/>
      <c r="H1185" s="5"/>
    </row>
    <row r="1186" spans="1:8" ht="12" customHeight="1">
      <c r="A1186" s="16" t="s">
        <v>2715</v>
      </c>
      <c r="B1186" s="11" t="s">
        <v>2716</v>
      </c>
      <c r="C1186" s="82">
        <v>3</v>
      </c>
      <c r="D1186" s="43"/>
      <c r="E1186" s="29" cm="1">
        <f t="array" ref="E1186">_xlfn.IFS(C1186=":",":",C1186&gt;=N$19,1,C1186&gt;=N$20,2,C1186&gt;=N$21,3,C1186&gt;=N$22,4,C1186&gt;=N$23,5,C1186&gt;=N$24,6,C1186&lt;N$24,7)</f>
        <v>6</v>
      </c>
      <c r="F1186" s="30"/>
      <c r="G1186" s="5"/>
      <c r="H1186" s="5"/>
    </row>
    <row r="1187" spans="1:8" ht="12" customHeight="1">
      <c r="A1187" s="16" t="s">
        <v>2717</v>
      </c>
      <c r="B1187" s="11" t="s">
        <v>2718</v>
      </c>
      <c r="C1187" s="82">
        <v>1361</v>
      </c>
      <c r="D1187" s="43"/>
      <c r="E1187" s="29" cm="1">
        <f t="array" ref="E1187">_xlfn.IFS(C1187=":",":",C1187&gt;=N$19,1,C1187&gt;=N$20,2,C1187&gt;=N$21,3,C1187&gt;=N$22,4,C1187&gt;=N$23,5,C1187&gt;=N$24,6,C1187&lt;N$24,7)</f>
        <v>3</v>
      </c>
      <c r="F1187" s="30"/>
      <c r="G1187" s="5"/>
      <c r="H1187" s="5"/>
    </row>
    <row r="1188" spans="1:8" ht="12" customHeight="1">
      <c r="A1188" s="16" t="s">
        <v>2719</v>
      </c>
      <c r="B1188" s="11" t="s">
        <v>3013</v>
      </c>
      <c r="C1188" s="82">
        <v>1593</v>
      </c>
      <c r="D1188" s="43"/>
      <c r="E1188" s="29" cm="1">
        <f t="array" ref="E1188">_xlfn.IFS(C1188=":",":",C1188&gt;=N$19,1,C1188&gt;=N$20,2,C1188&gt;=N$21,3,C1188&gt;=N$22,4,C1188&gt;=N$23,5,C1188&gt;=N$24,6,C1188&lt;N$24,7)</f>
        <v>2</v>
      </c>
      <c r="F1188" s="30"/>
      <c r="G1188" s="5"/>
      <c r="H1188" s="5"/>
    </row>
    <row r="1189" spans="1:8" ht="12" customHeight="1">
      <c r="A1189" s="16" t="s">
        <v>2720</v>
      </c>
      <c r="B1189" s="11" t="s">
        <v>2721</v>
      </c>
      <c r="C1189" s="82">
        <v>16204</v>
      </c>
      <c r="D1189" s="43"/>
      <c r="E1189" s="29" cm="1">
        <f t="array" ref="E1189">_xlfn.IFS(C1189=":",":",C1189&gt;=N$19,1,C1189&gt;=N$20,2,C1189&gt;=N$21,3,C1189&gt;=N$22,4,C1189&gt;=N$23,5,C1189&gt;=N$24,6,C1189&lt;N$24,7)</f>
        <v>1</v>
      </c>
      <c r="F1189" s="30"/>
      <c r="G1189" s="5"/>
      <c r="H1189" s="5"/>
    </row>
    <row r="1190" spans="1:8" ht="12" customHeight="1">
      <c r="A1190" s="16" t="s">
        <v>2722</v>
      </c>
      <c r="B1190" s="11" t="s">
        <v>3014</v>
      </c>
      <c r="C1190" s="82">
        <v>1612</v>
      </c>
      <c r="D1190" s="43"/>
      <c r="E1190" s="29" cm="1">
        <f t="array" ref="E1190">_xlfn.IFS(C1190=":",":",C1190&gt;=N$19,1,C1190&gt;=N$20,2,C1190&gt;=N$21,3,C1190&gt;=N$22,4,C1190&gt;=N$23,5,C1190&gt;=N$24,6,C1190&lt;N$24,7)</f>
        <v>2</v>
      </c>
      <c r="F1190" s="30"/>
      <c r="G1190" s="5"/>
      <c r="H1190" s="5"/>
    </row>
    <row r="1191" spans="1:8" ht="12" customHeight="1">
      <c r="A1191" s="16" t="s">
        <v>2723</v>
      </c>
      <c r="B1191" s="11" t="s">
        <v>3015</v>
      </c>
      <c r="C1191" s="82">
        <v>465</v>
      </c>
      <c r="D1191" s="70"/>
      <c r="E1191" s="29" cm="1">
        <f t="array" ref="E1191">_xlfn.IFS(C1191=":",":",C1191&gt;=N$19,1,C1191&gt;=N$20,2,C1191&gt;=N$21,3,C1191&gt;=N$22,4,C1191&gt;=N$23,5,C1191&gt;=N$24,6,C1191&lt;N$24,7)</f>
        <v>4</v>
      </c>
      <c r="F1191" s="60"/>
      <c r="G1191" s="5"/>
      <c r="H1191" s="5"/>
    </row>
    <row r="1192" spans="1:8" ht="12" customHeight="1">
      <c r="A1192" s="16" t="s">
        <v>2724</v>
      </c>
      <c r="B1192" s="11" t="s">
        <v>2725</v>
      </c>
      <c r="C1192" s="82">
        <v>700</v>
      </c>
      <c r="D1192" s="70"/>
      <c r="E1192" s="29" cm="1">
        <f t="array" ref="E1192">_xlfn.IFS(C1192=":",":",C1192&gt;=N$19,1,C1192&gt;=N$20,2,C1192&gt;=N$21,3,C1192&gt;=N$22,4,C1192&gt;=N$23,5,C1192&gt;=N$24,6,C1192&lt;N$24,7)</f>
        <v>3</v>
      </c>
      <c r="F1192" s="60"/>
      <c r="G1192" s="5"/>
      <c r="H1192" s="5"/>
    </row>
    <row r="1193" spans="1:8" ht="12" customHeight="1">
      <c r="A1193" s="16" t="s">
        <v>2726</v>
      </c>
      <c r="B1193" s="11" t="s">
        <v>2727</v>
      </c>
      <c r="C1193" s="82">
        <v>651</v>
      </c>
      <c r="D1193" s="70"/>
      <c r="E1193" s="29" cm="1">
        <f t="array" ref="E1193">_xlfn.IFS(C1193=":",":",C1193&gt;=N$19,1,C1193&gt;=N$20,2,C1193&gt;=N$21,3,C1193&gt;=N$22,4,C1193&gt;=N$23,5,C1193&gt;=N$24,6,C1193&lt;N$24,7)</f>
        <v>3</v>
      </c>
      <c r="F1193" s="60"/>
      <c r="G1193" s="5"/>
      <c r="H1193" s="5"/>
    </row>
    <row r="1194" spans="1:8" ht="12" customHeight="1">
      <c r="A1194" s="16" t="s">
        <v>2728</v>
      </c>
      <c r="B1194" s="11" t="s">
        <v>1818</v>
      </c>
      <c r="C1194" s="82">
        <v>335</v>
      </c>
      <c r="D1194" s="70"/>
      <c r="E1194" s="29" cm="1">
        <f t="array" ref="E1194">_xlfn.IFS(C1194=":",":",C1194&gt;=N$19,1,C1194&gt;=N$20,2,C1194&gt;=N$21,3,C1194&gt;=N$22,4,C1194&gt;=N$23,5,C1194&gt;=N$24,6,C1194&lt;N$24,7)</f>
        <v>4</v>
      </c>
      <c r="F1194" s="60"/>
      <c r="G1194" s="5"/>
      <c r="H1194" s="5"/>
    </row>
    <row r="1195" spans="1:8" ht="12" customHeight="1">
      <c r="A1195" s="16" t="s">
        <v>2729</v>
      </c>
      <c r="B1195" s="11" t="s">
        <v>2730</v>
      </c>
      <c r="C1195" s="82">
        <v>44395</v>
      </c>
      <c r="D1195" s="70"/>
      <c r="E1195" s="29" cm="1">
        <f t="array" ref="E1195">_xlfn.IFS(C1195=":",":",C1195&gt;=N$19,1,C1195&gt;=N$20,2,C1195&gt;=N$21,3,C1195&gt;=N$22,4,C1195&gt;=N$23,5,C1195&gt;=N$24,6,C1195&lt;N$24,7)</f>
        <v>1</v>
      </c>
      <c r="F1195" s="60"/>
      <c r="G1195" s="5"/>
      <c r="H1195" s="5"/>
    </row>
    <row r="1196" spans="1:8" ht="12" customHeight="1">
      <c r="A1196" s="16" t="s">
        <v>2731</v>
      </c>
      <c r="B1196" s="11" t="s">
        <v>2732</v>
      </c>
      <c r="C1196" s="82">
        <v>631</v>
      </c>
      <c r="D1196" s="70"/>
      <c r="E1196" s="29" cm="1">
        <f t="array" ref="E1196">_xlfn.IFS(C1196=":",":",C1196&gt;=N$19,1,C1196&gt;=N$20,2,C1196&gt;=N$21,3,C1196&gt;=N$22,4,C1196&gt;=N$23,5,C1196&gt;=N$24,6,C1196&lt;N$24,7)</f>
        <v>3</v>
      </c>
      <c r="F1196" s="60"/>
      <c r="G1196" s="5"/>
      <c r="H1196" s="5"/>
    </row>
    <row r="1197" spans="1:8" ht="12" customHeight="1">
      <c r="A1197" s="16" t="s">
        <v>2733</v>
      </c>
      <c r="B1197" s="11" t="s">
        <v>2734</v>
      </c>
      <c r="C1197" s="82">
        <v>747</v>
      </c>
      <c r="D1197" s="70"/>
      <c r="E1197" s="29" cm="1">
        <f t="array" ref="E1197">_xlfn.IFS(C1197=":",":",C1197&gt;=N$19,1,C1197&gt;=N$20,2,C1197&gt;=N$21,3,C1197&gt;=N$22,4,C1197&gt;=N$23,5,C1197&gt;=N$24,6,C1197&lt;N$24,7)</f>
        <v>3</v>
      </c>
      <c r="F1197" s="60"/>
      <c r="G1197" s="5"/>
      <c r="H1197" s="5"/>
    </row>
    <row r="1198" spans="1:8" ht="12" customHeight="1">
      <c r="A1198" s="16" t="s">
        <v>2735</v>
      </c>
      <c r="B1198" s="11" t="s">
        <v>467</v>
      </c>
      <c r="C1198" s="82">
        <v>4289</v>
      </c>
      <c r="D1198" s="70"/>
      <c r="E1198" s="29" cm="1">
        <f t="array" ref="E1198">_xlfn.IFS(C1198=":",":",C1198&gt;=N$19,1,C1198&gt;=N$20,2,C1198&gt;=N$21,3,C1198&gt;=N$22,4,C1198&gt;=N$23,5,C1198&gt;=N$24,6,C1198&lt;N$24,7)</f>
        <v>2</v>
      </c>
      <c r="F1198" s="60"/>
      <c r="G1198" s="5"/>
      <c r="H1198" s="5"/>
    </row>
    <row r="1199" spans="1:8" ht="12" customHeight="1">
      <c r="A1199" s="16" t="s">
        <v>2736</v>
      </c>
      <c r="B1199" s="11" t="s">
        <v>2737</v>
      </c>
      <c r="C1199" s="82">
        <v>460</v>
      </c>
      <c r="D1199" s="70"/>
      <c r="E1199" s="29" cm="1">
        <f t="array" ref="E1199">_xlfn.IFS(C1199=":",":",C1199&gt;=N$19,1,C1199&gt;=N$20,2,C1199&gt;=N$21,3,C1199&gt;=N$22,4,C1199&gt;=N$23,5,C1199&gt;=N$24,6,C1199&lt;N$24,7)</f>
        <v>4</v>
      </c>
      <c r="F1199" s="60"/>
      <c r="G1199" s="5"/>
      <c r="H1199" s="5"/>
    </row>
    <row r="1200" spans="1:8" ht="12" customHeight="1">
      <c r="A1200" s="16" t="s">
        <v>2738</v>
      </c>
      <c r="B1200" s="11" t="s">
        <v>2739</v>
      </c>
      <c r="C1200" s="82">
        <v>549</v>
      </c>
      <c r="D1200" s="70"/>
      <c r="E1200" s="29" cm="1">
        <f t="array" ref="E1200">_xlfn.IFS(C1200=":",":",C1200&gt;=N$19,1,C1200&gt;=N$20,2,C1200&gt;=N$21,3,C1200&gt;=N$22,4,C1200&gt;=N$23,5,C1200&gt;=N$24,6,C1200&lt;N$24,7)</f>
        <v>3</v>
      </c>
      <c r="F1200" s="60"/>
      <c r="G1200" s="5"/>
      <c r="H1200" s="5"/>
    </row>
    <row r="1201" spans="1:8" ht="12" customHeight="1">
      <c r="A1201" s="16" t="s">
        <v>2740</v>
      </c>
      <c r="B1201" s="11" t="s">
        <v>2741</v>
      </c>
      <c r="C1201" s="82">
        <v>793</v>
      </c>
      <c r="D1201" s="70"/>
      <c r="E1201" s="29" cm="1">
        <f t="array" ref="E1201">_xlfn.IFS(C1201=":",":",C1201&gt;=N$19,1,C1201&gt;=N$20,2,C1201&gt;=N$21,3,C1201&gt;=N$22,4,C1201&gt;=N$23,5,C1201&gt;=N$24,6,C1201&lt;N$24,7)</f>
        <v>3</v>
      </c>
      <c r="F1201" s="60"/>
      <c r="G1201" s="5"/>
      <c r="H1201" s="5"/>
    </row>
    <row r="1202" spans="1:8" ht="12" customHeight="1">
      <c r="A1202" s="16" t="s">
        <v>2742</v>
      </c>
      <c r="B1202" s="11" t="s">
        <v>2743</v>
      </c>
      <c r="C1202" s="82">
        <v>1777</v>
      </c>
      <c r="D1202" s="70"/>
      <c r="E1202" s="29" cm="1">
        <f t="array" ref="E1202">_xlfn.IFS(C1202=":",":",C1202&gt;=N$19,1,C1202&gt;=N$20,2,C1202&gt;=N$21,3,C1202&gt;=N$22,4,C1202&gt;=N$23,5,C1202&gt;=N$24,6,C1202&lt;N$24,7)</f>
        <v>2</v>
      </c>
      <c r="F1202" s="60"/>
      <c r="G1202" s="5"/>
      <c r="H1202" s="5"/>
    </row>
    <row r="1203" spans="1:8" ht="12" customHeight="1">
      <c r="A1203" s="16" t="s">
        <v>2744</v>
      </c>
      <c r="B1203" s="11" t="s">
        <v>2745</v>
      </c>
      <c r="C1203" s="82">
        <v>832</v>
      </c>
      <c r="D1203" s="70"/>
      <c r="E1203" s="29" cm="1">
        <f t="array" ref="E1203">_xlfn.IFS(C1203=":",":",C1203&gt;=N$19,1,C1203&gt;=N$20,2,C1203&gt;=N$21,3,C1203&gt;=N$22,4,C1203&gt;=N$23,5,C1203&gt;=N$24,6,C1203&lt;N$24,7)</f>
        <v>3</v>
      </c>
      <c r="F1203" s="60"/>
      <c r="G1203" s="5"/>
      <c r="H1203" s="5"/>
    </row>
    <row r="1204" spans="1:8" ht="12" customHeight="1">
      <c r="A1204" s="16" t="s">
        <v>2746</v>
      </c>
      <c r="B1204" s="11" t="s">
        <v>3016</v>
      </c>
      <c r="C1204" s="82">
        <v>1259</v>
      </c>
      <c r="D1204" s="70"/>
      <c r="E1204" s="29" cm="1">
        <f t="array" ref="E1204">_xlfn.IFS(C1204=":",":",C1204&gt;=N$19,1,C1204&gt;=N$20,2,C1204&gt;=N$21,3,C1204&gt;=N$22,4,C1204&gt;=N$23,5,C1204&gt;=N$24,6,C1204&lt;N$24,7)</f>
        <v>3</v>
      </c>
      <c r="F1204" s="60"/>
      <c r="G1204" s="5"/>
      <c r="H1204" s="5"/>
    </row>
    <row r="1205" spans="1:8" ht="12" customHeight="1">
      <c r="A1205" s="16" t="s">
        <v>2747</v>
      </c>
      <c r="B1205" s="11" t="s">
        <v>2748</v>
      </c>
      <c r="C1205" s="82">
        <v>724</v>
      </c>
      <c r="D1205" s="70"/>
      <c r="E1205" s="29" cm="1">
        <f t="array" ref="E1205">_xlfn.IFS(C1205=":",":",C1205&gt;=N$19,1,C1205&gt;=N$20,2,C1205&gt;=N$21,3,C1205&gt;=N$22,4,C1205&gt;=N$23,5,C1205&gt;=N$24,6,C1205&lt;N$24,7)</f>
        <v>3</v>
      </c>
      <c r="F1205" s="60"/>
      <c r="G1205" s="5"/>
      <c r="H1205" s="5"/>
    </row>
    <row r="1206" spans="1:8" ht="12" customHeight="1">
      <c r="A1206" s="16" t="s">
        <v>2749</v>
      </c>
      <c r="B1206" s="11" t="s">
        <v>2750</v>
      </c>
      <c r="C1206" s="82">
        <v>2142</v>
      </c>
      <c r="D1206" s="70"/>
      <c r="E1206" s="29" cm="1">
        <f t="array" ref="E1206">_xlfn.IFS(C1206=":",":",C1206&gt;=N$19,1,C1206&gt;=N$20,2,C1206&gt;=N$21,3,C1206&gt;=N$22,4,C1206&gt;=N$23,5,C1206&gt;=N$24,6,C1206&lt;N$24,7)</f>
        <v>2</v>
      </c>
      <c r="F1206" s="60"/>
      <c r="G1206" s="5"/>
      <c r="H1206" s="5"/>
    </row>
    <row r="1207" spans="1:8" ht="12" customHeight="1">
      <c r="A1207" s="16" t="s">
        <v>2751</v>
      </c>
      <c r="B1207" s="11" t="s">
        <v>2752</v>
      </c>
      <c r="C1207" s="82">
        <v>475</v>
      </c>
      <c r="D1207" s="70"/>
      <c r="E1207" s="29" cm="1">
        <f t="array" ref="E1207">_xlfn.IFS(C1207=":",":",C1207&gt;=N$19,1,C1207&gt;=N$20,2,C1207&gt;=N$21,3,C1207&gt;=N$22,4,C1207&gt;=N$23,5,C1207&gt;=N$24,6,C1207&lt;N$24,7)</f>
        <v>4</v>
      </c>
      <c r="F1207" s="60"/>
      <c r="G1207" s="5"/>
      <c r="H1207" s="5"/>
    </row>
    <row r="1208" spans="1:8" ht="12" customHeight="1">
      <c r="A1208" s="16" t="s">
        <v>2753</v>
      </c>
      <c r="B1208" s="11" t="s">
        <v>2754</v>
      </c>
      <c r="C1208" s="82">
        <v>991</v>
      </c>
      <c r="D1208" s="70"/>
      <c r="E1208" s="29" cm="1">
        <f t="array" ref="E1208">_xlfn.IFS(C1208=":",":",C1208&gt;=N$19,1,C1208&gt;=N$20,2,C1208&gt;=N$21,3,C1208&gt;=N$22,4,C1208&gt;=N$23,5,C1208&gt;=N$24,6,C1208&lt;N$24,7)</f>
        <v>3</v>
      </c>
      <c r="F1208" s="60"/>
      <c r="G1208" s="5"/>
      <c r="H1208" s="5"/>
    </row>
    <row r="1209" spans="1:8" ht="12" customHeight="1">
      <c r="A1209" s="16" t="s">
        <v>2755</v>
      </c>
      <c r="B1209" s="11" t="s">
        <v>2756</v>
      </c>
      <c r="C1209" s="82">
        <v>2086</v>
      </c>
      <c r="D1209" s="70"/>
      <c r="E1209" s="29" cm="1">
        <f t="array" ref="E1209">_xlfn.IFS(C1209=":",":",C1209&gt;=N$19,1,C1209&gt;=N$20,2,C1209&gt;=N$21,3,C1209&gt;=N$22,4,C1209&gt;=N$23,5,C1209&gt;=N$24,6,C1209&lt;N$24,7)</f>
        <v>2</v>
      </c>
      <c r="F1209" s="60"/>
      <c r="G1209" s="5"/>
      <c r="H1209" s="5"/>
    </row>
    <row r="1210" spans="1:8" ht="12" customHeight="1">
      <c r="A1210" s="16" t="s">
        <v>2757</v>
      </c>
      <c r="B1210" s="11" t="s">
        <v>2758</v>
      </c>
      <c r="C1210" s="82">
        <v>1700</v>
      </c>
      <c r="D1210" s="70"/>
      <c r="E1210" s="29" cm="1">
        <f t="array" ref="E1210">_xlfn.IFS(C1210=":",":",C1210&gt;=N$19,1,C1210&gt;=N$20,2,C1210&gt;=N$21,3,C1210&gt;=N$22,4,C1210&gt;=N$23,5,C1210&gt;=N$24,6,C1210&lt;N$24,7)</f>
        <v>2</v>
      </c>
      <c r="F1210" s="60"/>
      <c r="G1210" s="5"/>
      <c r="H1210" s="5"/>
    </row>
    <row r="1211" spans="1:8" ht="12" customHeight="1">
      <c r="A1211" s="16" t="s">
        <v>2759</v>
      </c>
      <c r="B1211" s="11" t="s">
        <v>2760</v>
      </c>
      <c r="C1211" s="82">
        <v>1598</v>
      </c>
      <c r="D1211" s="70"/>
      <c r="E1211" s="29" cm="1">
        <f t="array" ref="E1211">_xlfn.IFS(C1211=":",":",C1211&gt;=N$19,1,C1211&gt;=N$20,2,C1211&gt;=N$21,3,C1211&gt;=N$22,4,C1211&gt;=N$23,5,C1211&gt;=N$24,6,C1211&lt;N$24,7)</f>
        <v>2</v>
      </c>
      <c r="F1211" s="60"/>
      <c r="G1211" s="5"/>
      <c r="H1211" s="5"/>
    </row>
    <row r="1212" spans="1:8" ht="12" customHeight="1">
      <c r="A1212" s="16" t="s">
        <v>2761</v>
      </c>
      <c r="B1212" s="11" t="s">
        <v>473</v>
      </c>
      <c r="C1212" s="82">
        <v>1583</v>
      </c>
      <c r="D1212" s="70"/>
      <c r="E1212" s="29" cm="1">
        <f t="array" ref="E1212">_xlfn.IFS(C1212=":",":",C1212&gt;=N$19,1,C1212&gt;=N$20,2,C1212&gt;=N$21,3,C1212&gt;=N$22,4,C1212&gt;=N$23,5,C1212&gt;=N$24,6,C1212&lt;N$24,7)</f>
        <v>2</v>
      </c>
      <c r="F1212" s="60"/>
      <c r="G1212" s="5"/>
      <c r="H1212" s="5"/>
    </row>
    <row r="1213" spans="1:8" ht="12" customHeight="1">
      <c r="A1213" s="10" t="s">
        <v>2996</v>
      </c>
      <c r="B1213" s="11" t="s">
        <v>2997</v>
      </c>
      <c r="C1213" s="82" t="s">
        <v>546</v>
      </c>
      <c r="D1213" s="70"/>
      <c r="E1213" s="29" t="str" cm="1">
        <f t="array" ref="E1213">_xlfn.IFS(C1213=":",":",C1213&gt;=N$19,1,C1213&gt;=N$20,2,C1213&gt;=N$21,3,C1213&gt;=N$22,4,C1213&gt;=N$23,5,C1213&gt;=N$24,6,C1213&lt;N$24,7)</f>
        <v>:</v>
      </c>
      <c r="F1213" s="60"/>
      <c r="G1213" s="5"/>
      <c r="H1213" s="5"/>
    </row>
    <row r="1214" spans="1:8" ht="12" customHeight="1">
      <c r="A1214" s="16" t="s">
        <v>2972</v>
      </c>
      <c r="B1214" s="11" t="s">
        <v>3110</v>
      </c>
      <c r="C1214" s="82">
        <v>382</v>
      </c>
      <c r="D1214" s="70"/>
      <c r="E1214" s="29" cm="1">
        <f t="array" ref="E1214">_xlfn.IFS(C1214=":",":",C1214&gt;=N$19,1,C1214&gt;=N$20,2,C1214&gt;=N$21,3,C1214&gt;=N$22,4,C1214&gt;=N$23,5,C1214&gt;=N$24,6,C1214&lt;N$24,7)</f>
        <v>4</v>
      </c>
      <c r="F1214" s="60"/>
      <c r="G1214" s="5"/>
      <c r="H1214" s="5"/>
    </row>
    <row r="1215" spans="1:8" ht="12" customHeight="1">
      <c r="A1215" s="16" t="s">
        <v>2990</v>
      </c>
      <c r="B1215" s="11" t="s">
        <v>2991</v>
      </c>
      <c r="C1215" s="82" t="s">
        <v>546</v>
      </c>
      <c r="D1215" s="70"/>
      <c r="E1215" s="29" t="str" cm="1">
        <f t="array" ref="E1215">_xlfn.IFS(C1215=":",":",C1215&gt;=N$19,1,C1215&gt;=N$20,2,C1215&gt;=N$21,3,C1215&gt;=N$22,4,C1215&gt;=N$23,5,C1215&gt;=N$24,6,C1215&lt;N$24,7)</f>
        <v>:</v>
      </c>
      <c r="F1215" s="60"/>
      <c r="G1215" s="5"/>
      <c r="H1215" s="5"/>
    </row>
    <row r="1216" spans="1:8" ht="12" customHeight="1">
      <c r="A1216" s="16" t="s">
        <v>2762</v>
      </c>
      <c r="B1216" s="11" t="s">
        <v>2763</v>
      </c>
      <c r="C1216" s="82">
        <v>11</v>
      </c>
      <c r="D1216" s="43"/>
      <c r="E1216" s="29" cm="1">
        <f t="array" ref="E1216">_xlfn.IFS(C1216=":",":",C1216&gt;=N$19,1,C1216&gt;=N$20,2,C1216&gt;=N$21,3,C1216&gt;=N$22,4,C1216&gt;=N$23,5,C1216&gt;=N$24,6,C1216&lt;N$24,7)</f>
        <v>6</v>
      </c>
      <c r="F1216" s="30"/>
      <c r="G1216" s="5"/>
      <c r="H1216" s="5"/>
    </row>
    <row r="1217" spans="1:8" ht="12" customHeight="1">
      <c r="A1217" s="16" t="s">
        <v>2764</v>
      </c>
      <c r="B1217" s="11" t="s">
        <v>2973</v>
      </c>
      <c r="C1217" s="82">
        <v>23</v>
      </c>
      <c r="D1217" s="70"/>
      <c r="E1217" s="29" cm="1">
        <f t="array" ref="E1217">_xlfn.IFS(C1217=":",":",C1217&gt;=N$19,1,C1217&gt;=N$20,2,C1217&gt;=N$21,3,C1217&gt;=N$22,4,C1217&gt;=N$23,5,C1217&gt;=N$24,6,C1217&lt;N$24,7)</f>
        <v>6</v>
      </c>
      <c r="F1217" s="60"/>
      <c r="G1217" s="5"/>
      <c r="H1217" s="5"/>
    </row>
    <row r="1218" spans="1:8" ht="12" customHeight="1">
      <c r="A1218" s="16" t="s">
        <v>2765</v>
      </c>
      <c r="B1218" s="11" t="s">
        <v>2766</v>
      </c>
      <c r="C1218" s="82">
        <v>272</v>
      </c>
      <c r="D1218" s="43"/>
      <c r="E1218" s="29" cm="1">
        <f t="array" ref="E1218">_xlfn.IFS(C1218=":",":",C1218&gt;=N$19,1,C1218&gt;=N$20,2,C1218&gt;=N$21,3,C1218&gt;=N$22,4,C1218&gt;=N$23,5,C1218&gt;=N$24,6,C1218&lt;N$24,7)</f>
        <v>4</v>
      </c>
      <c r="F1218" s="30"/>
      <c r="G1218" s="5"/>
      <c r="H1218" s="5"/>
    </row>
    <row r="1219" spans="1:8" ht="12" customHeight="1">
      <c r="A1219" s="16" t="s">
        <v>2767</v>
      </c>
      <c r="B1219" s="11" t="s">
        <v>2974</v>
      </c>
      <c r="C1219" s="82">
        <v>51</v>
      </c>
      <c r="D1219" s="43"/>
      <c r="E1219" s="29" cm="1">
        <f t="array" ref="E1219">_xlfn.IFS(C1219=":",":",C1219&gt;=N$19,1,C1219&gt;=N$20,2,C1219&gt;=N$21,3,C1219&gt;=N$22,4,C1219&gt;=N$23,5,C1219&gt;=N$24,6,C1219&lt;N$24,7)</f>
        <v>6</v>
      </c>
      <c r="F1219" s="30"/>
      <c r="G1219" s="5"/>
      <c r="H1219" s="5"/>
    </row>
    <row r="1220" spans="1:8" ht="12" customHeight="1">
      <c r="A1220" s="16" t="s">
        <v>2768</v>
      </c>
      <c r="B1220" s="11" t="s">
        <v>2769</v>
      </c>
      <c r="C1220" s="82">
        <v>21</v>
      </c>
      <c r="D1220" s="43"/>
      <c r="E1220" s="29" cm="1">
        <f t="array" ref="E1220">_xlfn.IFS(C1220=":",":",C1220&gt;=N$19,1,C1220&gt;=N$20,2,C1220&gt;=N$21,3,C1220&gt;=N$22,4,C1220&gt;=N$23,5,C1220&gt;=N$24,6,C1220&lt;N$24,7)</f>
        <v>6</v>
      </c>
      <c r="F1220" s="30"/>
      <c r="G1220" s="5"/>
      <c r="H1220" s="5"/>
    </row>
    <row r="1221" spans="1:8" ht="12" customHeight="1">
      <c r="A1221" s="16" t="s">
        <v>2770</v>
      </c>
      <c r="B1221" s="11" t="s">
        <v>2975</v>
      </c>
      <c r="C1221" s="82">
        <v>31</v>
      </c>
      <c r="D1221" s="43"/>
      <c r="E1221" s="29" cm="1">
        <f t="array" ref="E1221">_xlfn.IFS(C1221=":",":",C1221&gt;=N$19,1,C1221&gt;=N$20,2,C1221&gt;=N$21,3,C1221&gt;=N$22,4,C1221&gt;=N$23,5,C1221&gt;=N$24,6,C1221&lt;N$24,7)</f>
        <v>6</v>
      </c>
      <c r="F1221" s="30"/>
      <c r="G1221" s="5"/>
      <c r="H1221" s="5"/>
    </row>
    <row r="1222" spans="1:8" ht="12" customHeight="1">
      <c r="A1222" s="16" t="s">
        <v>2771</v>
      </c>
      <c r="B1222" s="11" t="s">
        <v>2976</v>
      </c>
      <c r="C1222" s="82">
        <v>27</v>
      </c>
      <c r="D1222" s="43"/>
      <c r="E1222" s="29" cm="1">
        <f t="array" ref="E1222">_xlfn.IFS(C1222=":",":",C1222&gt;=N$19,1,C1222&gt;=N$20,2,C1222&gt;=N$21,3,C1222&gt;=N$22,4,C1222&gt;=N$23,5,C1222&gt;=N$24,6,C1222&lt;N$24,7)</f>
        <v>6</v>
      </c>
      <c r="F1222" s="30"/>
      <c r="G1222" s="5"/>
      <c r="H1222" s="5"/>
    </row>
    <row r="1223" spans="1:8" ht="12" customHeight="1">
      <c r="A1223" s="16" t="s">
        <v>2772</v>
      </c>
      <c r="B1223" s="11" t="s">
        <v>2773</v>
      </c>
      <c r="C1223" s="82">
        <v>427</v>
      </c>
      <c r="D1223" s="43"/>
      <c r="E1223" s="29" cm="1">
        <f t="array" ref="E1223">_xlfn.IFS(C1223=":",":",C1223&gt;=N$19,1,C1223&gt;=N$20,2,C1223&gt;=N$21,3,C1223&gt;=N$22,4,C1223&gt;=N$23,5,C1223&gt;=N$24,6,C1223&lt;N$24,7)</f>
        <v>4</v>
      </c>
      <c r="F1223" s="30"/>
      <c r="G1223" s="5"/>
      <c r="H1223" s="5"/>
    </row>
    <row r="1224" spans="1:8" ht="12" customHeight="1">
      <c r="A1224" s="16" t="s">
        <v>3017</v>
      </c>
      <c r="B1224" s="11" t="s">
        <v>3018</v>
      </c>
      <c r="C1224" s="82" t="s">
        <v>546</v>
      </c>
      <c r="D1224" s="43"/>
      <c r="E1224" s="29" t="str" cm="1">
        <f t="array" ref="E1224">_xlfn.IFS(C1224=":",":",C1224&gt;=N$19,1,C1224&gt;=N$20,2,C1224&gt;=N$21,3,C1224&gt;=N$22,4,C1224&gt;=N$23,5,C1224&gt;=N$24,6,C1224&lt;N$24,7)</f>
        <v>:</v>
      </c>
      <c r="F1224" s="30"/>
      <c r="G1224" s="5"/>
      <c r="H1224" s="5"/>
    </row>
    <row r="1225" spans="1:8" ht="12" customHeight="1">
      <c r="A1225" s="16" t="s">
        <v>3166</v>
      </c>
      <c r="B1225" s="11" t="s">
        <v>3167</v>
      </c>
      <c r="C1225" s="82">
        <v>19</v>
      </c>
      <c r="E1225" s="29" cm="1">
        <f t="array" ref="E1225">_xlfn.IFS(C1225=":",":",C1225&gt;=N$19,1,C1225&gt;=N$20,2,C1225&gt;=N$21,3,C1225&gt;=N$22,4,C1225&gt;=N$23,5,C1225&gt;=N$24,6,C1225&lt;N$24,7)</f>
        <v>6</v>
      </c>
      <c r="G1225" s="5"/>
      <c r="H1225" s="5"/>
    </row>
    <row r="1226" spans="1:8" ht="12" customHeight="1">
      <c r="A1226" s="16" t="s">
        <v>3168</v>
      </c>
      <c r="B1226" s="11" t="s">
        <v>3169</v>
      </c>
      <c r="C1226" s="82">
        <v>225</v>
      </c>
      <c r="D1226" s="43"/>
      <c r="E1226" s="29" cm="1">
        <f t="array" ref="E1226">_xlfn.IFS(C1226=":",":",C1226&gt;=N$19,1,C1226&gt;=N$20,2,C1226&gt;=N$21,3,C1226&gt;=N$22,4,C1226&gt;=N$23,5,C1226&gt;=N$24,6,C1226&lt;N$24,7)</f>
        <v>4</v>
      </c>
      <c r="F1226" s="30"/>
      <c r="G1226" s="5"/>
      <c r="H1226" s="5"/>
    </row>
    <row r="1227" spans="1:8" ht="12" customHeight="1">
      <c r="A1227" s="16" t="s">
        <v>3170</v>
      </c>
      <c r="B1227" s="11" t="s">
        <v>3171</v>
      </c>
      <c r="C1227" s="82">
        <v>6</v>
      </c>
      <c r="E1227" s="29" cm="1">
        <f t="array" ref="E1227">_xlfn.IFS(C1227=":",":",C1227&gt;=N$19,1,C1227&gt;=N$20,2,C1227&gt;=N$21,3,C1227&gt;=N$22,4,C1227&gt;=N$23,5,C1227&gt;=N$24,6,C1227&lt;N$24,7)</f>
        <v>6</v>
      </c>
      <c r="F1227" s="43"/>
      <c r="G1227" s="5"/>
      <c r="H1227" s="5"/>
    </row>
    <row r="1228" spans="1:8" ht="12" customHeight="1">
      <c r="A1228" s="16" t="s">
        <v>3172</v>
      </c>
      <c r="B1228" s="11" t="s">
        <v>3173</v>
      </c>
      <c r="C1228" s="82">
        <v>186</v>
      </c>
      <c r="D1228" s="43"/>
      <c r="E1228" s="29" cm="1">
        <f t="array" ref="E1228">_xlfn.IFS(C1228=":",":",C1228&gt;=N$19,1,C1228&gt;=N$20,2,C1228&gt;=N$21,3,C1228&gt;=N$22,4,C1228&gt;=N$23,5,C1228&gt;=N$24,6,C1228&lt;N$24,7)</f>
        <v>5</v>
      </c>
      <c r="F1228" s="30"/>
      <c r="G1228" s="5"/>
      <c r="H1228" s="5"/>
    </row>
    <row r="1229" spans="1:8" ht="12" customHeight="1">
      <c r="A1229" s="16" t="s">
        <v>3174</v>
      </c>
      <c r="B1229" s="11" t="s">
        <v>3175</v>
      </c>
      <c r="C1229" s="82">
        <v>586</v>
      </c>
      <c r="D1229" s="43"/>
      <c r="E1229" s="29" cm="1">
        <f t="array" ref="E1229">_xlfn.IFS(C1229=":",":",C1229&gt;=N$19,1,C1229&gt;=N$20,2,C1229&gt;=N$21,3,C1229&gt;=N$22,4,C1229&gt;=N$23,5,C1229&gt;=N$24,6,C1229&lt;N$24,7)</f>
        <v>3</v>
      </c>
      <c r="F1229" s="30"/>
      <c r="G1229" s="5"/>
      <c r="H1229" s="5"/>
    </row>
    <row r="1230" spans="1:8" ht="12" customHeight="1">
      <c r="A1230" s="16" t="s">
        <v>3176</v>
      </c>
      <c r="B1230" s="11" t="s">
        <v>3177</v>
      </c>
      <c r="C1230" s="82">
        <v>31</v>
      </c>
      <c r="D1230" s="43"/>
      <c r="E1230" s="29" cm="1">
        <f t="array" ref="E1230">_xlfn.IFS(C1230=":",":",C1230&gt;=N$19,1,C1230&gt;=N$20,2,C1230&gt;=N$21,3,C1230&gt;=N$22,4,C1230&gt;=N$23,5,C1230&gt;=N$24,6,C1230&lt;N$24,7)</f>
        <v>6</v>
      </c>
      <c r="F1230" s="30"/>
      <c r="G1230" s="5"/>
      <c r="H1230" s="5"/>
    </row>
    <row r="1231" spans="1:8" ht="12" customHeight="1">
      <c r="A1231" s="16" t="s">
        <v>3178</v>
      </c>
      <c r="B1231" s="11" t="s">
        <v>3179</v>
      </c>
      <c r="C1231" s="82">
        <v>1856</v>
      </c>
      <c r="D1231" s="43"/>
      <c r="E1231" s="29" cm="1">
        <f t="array" ref="E1231">_xlfn.IFS(C1231=":",":",C1231&gt;=N$19,1,C1231&gt;=N$20,2,C1231&gt;=N$21,3,C1231&gt;=N$22,4,C1231&gt;=N$23,5,C1231&gt;=N$24,6,C1231&lt;N$24,7)</f>
        <v>2</v>
      </c>
      <c r="F1231" s="30"/>
      <c r="G1231" s="5"/>
      <c r="H1231" s="5"/>
    </row>
    <row r="1232" spans="1:8" ht="12" customHeight="1">
      <c r="A1232" s="16" t="s">
        <v>3180</v>
      </c>
      <c r="B1232" s="11" t="s">
        <v>3181</v>
      </c>
      <c r="C1232" s="82">
        <v>49</v>
      </c>
      <c r="D1232" s="43"/>
      <c r="E1232" s="29" cm="1">
        <f t="array" ref="E1232">_xlfn.IFS(C1232=":",":",C1232&gt;=N$19,1,C1232&gt;=N$20,2,C1232&gt;=N$21,3,C1232&gt;=N$22,4,C1232&gt;=N$23,5,C1232&gt;=N$24,6,C1232&lt;N$24,7)</f>
        <v>6</v>
      </c>
      <c r="F1232" s="30"/>
      <c r="G1232" s="5"/>
      <c r="H1232" s="5"/>
    </row>
    <row r="1233" spans="1:6" ht="12" customHeight="1">
      <c r="A1233" s="16" t="s">
        <v>3182</v>
      </c>
      <c r="B1233" s="11" t="s">
        <v>3183</v>
      </c>
      <c r="C1233" s="82">
        <v>18</v>
      </c>
      <c r="E1233" s="29" cm="1">
        <f t="array" ref="E1233">_xlfn.IFS(C1233=":",":",C1233&gt;=N$19,1,C1233&gt;=N$20,2,C1233&gt;=N$21,3,C1233&gt;=N$22,4,C1233&gt;=N$23,5,C1233&gt;=N$24,6,C1233&lt;N$24,7)</f>
        <v>6</v>
      </c>
    </row>
    <row r="1234" spans="1:6" ht="12" customHeight="1">
      <c r="A1234" s="16" t="s">
        <v>3184</v>
      </c>
      <c r="B1234" s="11" t="s">
        <v>3185</v>
      </c>
      <c r="C1234" s="82">
        <v>44</v>
      </c>
      <c r="E1234" s="29" cm="1">
        <f t="array" ref="E1234">_xlfn.IFS(C1234=":",":",C1234&gt;=N$19,1,C1234&gt;=N$20,2,C1234&gt;=N$21,3,C1234&gt;=N$22,4,C1234&gt;=N$23,5,C1234&gt;=N$24,6,C1234&lt;N$24,7)</f>
        <v>6</v>
      </c>
    </row>
    <row r="1235" spans="1:6" ht="12" customHeight="1">
      <c r="A1235" s="16" t="s">
        <v>3186</v>
      </c>
      <c r="B1235" s="11" t="s">
        <v>3187</v>
      </c>
      <c r="C1235" s="82">
        <v>148</v>
      </c>
      <c r="E1235" s="29" cm="1">
        <f t="array" ref="E1235">_xlfn.IFS(C1235=":",":",C1235&gt;=N$19,1,C1235&gt;=N$20,2,C1235&gt;=N$21,3,C1235&gt;=N$22,4,C1235&gt;=N$23,5,C1235&gt;=N$24,6,C1235&lt;N$24,7)</f>
        <v>5</v>
      </c>
    </row>
    <row r="1236" spans="1:6" ht="12" customHeight="1">
      <c r="A1236" s="16" t="s">
        <v>3188</v>
      </c>
      <c r="B1236" s="11" t="s">
        <v>3189</v>
      </c>
      <c r="C1236" s="82">
        <v>589</v>
      </c>
      <c r="E1236" s="29" cm="1">
        <f t="array" ref="E1236">_xlfn.IFS(C1236=":",":",C1236&gt;=N$19,1,C1236&gt;=N$20,2,C1236&gt;=N$21,3,C1236&gt;=N$22,4,C1236&gt;=N$23,5,C1236&gt;=N$24,6,C1236&lt;N$24,7)</f>
        <v>3</v>
      </c>
    </row>
    <row r="1237" spans="1:6" ht="12" customHeight="1">
      <c r="A1237" s="16" t="s">
        <v>476</v>
      </c>
      <c r="B1237" s="11" t="s">
        <v>477</v>
      </c>
      <c r="C1237" s="82" t="s">
        <v>546</v>
      </c>
      <c r="E1237" s="29" t="str" cm="1">
        <f t="array" ref="E1237">_xlfn.IFS(C1237=":",":",C1237&gt;=N$19,1,C1237&gt;=N$20,2,C1237&gt;=N$21,3,C1237&gt;=N$22,4,C1237&gt;=N$23,5,C1237&gt;=N$24,6,C1237&lt;N$24,7)</f>
        <v>:</v>
      </c>
    </row>
    <row r="1238" spans="1:6" ht="12" customHeight="1">
      <c r="A1238" s="16" t="s">
        <v>479</v>
      </c>
      <c r="B1238" s="11" t="s">
        <v>562</v>
      </c>
      <c r="C1238" s="82">
        <v>5022</v>
      </c>
      <c r="D1238" s="28" t="s">
        <v>3215</v>
      </c>
      <c r="E1238" s="29" cm="1">
        <f t="array" ref="E1238">_xlfn.IFS(C1238=":",":",C1238&gt;=N$19,1,C1238&gt;=N$20,2,C1238&gt;=N$21,3,C1238&gt;=N$22,4,C1238&gt;=N$23,5,C1238&gt;=N$24,6,C1238&lt;N$24,7)</f>
        <v>1</v>
      </c>
      <c r="F1238" s="43">
        <v>2021</v>
      </c>
    </row>
    <row r="1239" spans="1:6" ht="12" customHeight="1">
      <c r="A1239" s="16" t="s">
        <v>480</v>
      </c>
      <c r="B1239" s="11" t="s">
        <v>563</v>
      </c>
      <c r="C1239" s="82">
        <v>102</v>
      </c>
      <c r="D1239" s="28" t="s">
        <v>3215</v>
      </c>
      <c r="E1239" s="29" cm="1">
        <f t="array" ref="E1239">_xlfn.IFS(C1239=":",":",C1239&gt;=N$19,1,C1239&gt;=N$20,2,C1239&gt;=N$21,3,C1239&gt;=N$22,4,C1239&gt;=N$23,5,C1239&gt;=N$24,6,C1239&lt;N$24,7)</f>
        <v>5</v>
      </c>
      <c r="F1239" s="43">
        <v>2021</v>
      </c>
    </row>
    <row r="1240" spans="1:6" ht="12" customHeight="1">
      <c r="A1240" s="16" t="s">
        <v>481</v>
      </c>
      <c r="B1240" s="11" t="s">
        <v>564</v>
      </c>
      <c r="C1240" s="82">
        <v>184</v>
      </c>
      <c r="D1240" s="28" t="s">
        <v>3215</v>
      </c>
      <c r="E1240" s="29" cm="1">
        <f t="array" ref="E1240">_xlfn.IFS(C1240=":",":",C1240&gt;=N$19,1,C1240&gt;=N$20,2,C1240&gt;=N$21,3,C1240&gt;=N$22,4,C1240&gt;=N$23,5,C1240&gt;=N$24,6,C1240&lt;N$24,7)</f>
        <v>5</v>
      </c>
      <c r="F1240" s="43">
        <v>2021</v>
      </c>
    </row>
    <row r="1241" spans="1:6" ht="12" customHeight="1">
      <c r="A1241" s="16" t="s">
        <v>482</v>
      </c>
      <c r="B1241" s="11" t="s">
        <v>565</v>
      </c>
      <c r="C1241" s="82">
        <v>503</v>
      </c>
      <c r="D1241" s="28" t="s">
        <v>3215</v>
      </c>
      <c r="E1241" s="29" cm="1">
        <f t="array" ref="E1241">_xlfn.IFS(C1241=":",":",C1241&gt;=N$19,1,C1241&gt;=N$20,2,C1241&gt;=N$21,3,C1241&gt;=N$22,4,C1241&gt;=N$23,5,C1241&gt;=N$24,6,C1241&lt;N$24,7)</f>
        <v>3</v>
      </c>
      <c r="F1241" s="43">
        <v>2021</v>
      </c>
    </row>
    <row r="1242" spans="1:6" ht="12" customHeight="1">
      <c r="A1242" s="16" t="s">
        <v>483</v>
      </c>
      <c r="B1242" s="11" t="s">
        <v>566</v>
      </c>
      <c r="C1242" s="82">
        <v>527</v>
      </c>
      <c r="D1242" s="28" t="s">
        <v>3215</v>
      </c>
      <c r="E1242" s="29" cm="1">
        <f t="array" ref="E1242">_xlfn.IFS(C1242=":",":",C1242&gt;=N$19,1,C1242&gt;=N$20,2,C1242&gt;=N$21,3,C1242&gt;=N$22,4,C1242&gt;=N$23,5,C1242&gt;=N$24,6,C1242&lt;N$24,7)</f>
        <v>3</v>
      </c>
      <c r="F1242" s="43">
        <v>2021</v>
      </c>
    </row>
    <row r="1243" spans="1:6" ht="12" customHeight="1">
      <c r="A1243" s="16" t="s">
        <v>484</v>
      </c>
      <c r="B1243" s="11" t="s">
        <v>567</v>
      </c>
      <c r="C1243" s="82">
        <v>83</v>
      </c>
      <c r="D1243" s="28" t="s">
        <v>3215</v>
      </c>
      <c r="E1243" s="29" cm="1">
        <f t="array" ref="E1243">_xlfn.IFS(C1243=":",":",C1243&gt;=N$19,1,C1243&gt;=N$20,2,C1243&gt;=N$21,3,C1243&gt;=N$22,4,C1243&gt;=N$23,5,C1243&gt;=N$24,6,C1243&lt;N$24,7)</f>
        <v>5</v>
      </c>
      <c r="F1243" s="43">
        <v>2021</v>
      </c>
    </row>
    <row r="1244" spans="1:6" ht="12" customHeight="1">
      <c r="A1244" s="16" t="s">
        <v>485</v>
      </c>
      <c r="B1244" s="11" t="s">
        <v>568</v>
      </c>
      <c r="C1244" s="82">
        <v>127</v>
      </c>
      <c r="D1244" s="28" t="s">
        <v>3215</v>
      </c>
      <c r="E1244" s="29" cm="1">
        <f t="array" ref="E1244">_xlfn.IFS(C1244=":",":",C1244&gt;=N$19,1,C1244&gt;=N$20,2,C1244&gt;=N$21,3,C1244&gt;=N$22,4,C1244&gt;=N$23,5,C1244&gt;=N$24,6,C1244&lt;N$24,7)</f>
        <v>5</v>
      </c>
      <c r="F1244" s="43">
        <v>2021</v>
      </c>
    </row>
    <row r="1245" spans="1:6" ht="12" customHeight="1">
      <c r="A1245" s="16" t="s">
        <v>486</v>
      </c>
      <c r="B1245" s="11" t="s">
        <v>487</v>
      </c>
      <c r="C1245" s="82">
        <v>230</v>
      </c>
      <c r="D1245" s="28" t="s">
        <v>3215</v>
      </c>
      <c r="E1245" s="29" cm="1">
        <f t="array" ref="E1245">_xlfn.IFS(C1245=":",":",C1245&gt;=N$19,1,C1245&gt;=N$20,2,C1245&gt;=N$21,3,C1245&gt;=N$22,4,C1245&gt;=N$23,5,C1245&gt;=N$24,6,C1245&lt;N$24,7)</f>
        <v>4</v>
      </c>
      <c r="F1245" s="43">
        <v>2021</v>
      </c>
    </row>
    <row r="1246" spans="1:6" ht="12" customHeight="1">
      <c r="A1246" s="16" t="s">
        <v>488</v>
      </c>
      <c r="B1246" s="11" t="s">
        <v>489</v>
      </c>
      <c r="C1246" s="82">
        <v>161</v>
      </c>
      <c r="D1246" s="28" t="s">
        <v>3215</v>
      </c>
      <c r="E1246" s="29" cm="1">
        <f t="array" ref="E1246">_xlfn.IFS(C1246=":",":",C1246&gt;=N$19,1,C1246&gt;=N$20,2,C1246&gt;=N$21,3,C1246&gt;=N$22,4,C1246&gt;=N$23,5,C1246&gt;=N$24,6,C1246&lt;N$24,7)</f>
        <v>5</v>
      </c>
      <c r="F1246" s="43">
        <v>2021</v>
      </c>
    </row>
    <row r="1247" spans="1:6" ht="12" customHeight="1">
      <c r="A1247" s="16" t="s">
        <v>490</v>
      </c>
      <c r="B1247" s="11" t="s">
        <v>491</v>
      </c>
      <c r="C1247" s="82">
        <v>35</v>
      </c>
      <c r="D1247" s="28" t="s">
        <v>3215</v>
      </c>
      <c r="E1247" s="29" cm="1">
        <f t="array" ref="E1247">_xlfn.IFS(C1247=":",":",C1247&gt;=N$19,1,C1247&gt;=N$20,2,C1247&gt;=N$21,3,C1247&gt;=N$22,4,C1247&gt;=N$23,5,C1247&gt;=N$24,6,C1247&lt;N$24,7)</f>
        <v>6</v>
      </c>
      <c r="F1247" s="43">
        <v>2021</v>
      </c>
    </row>
    <row r="1248" spans="1:6" ht="12" customHeight="1">
      <c r="A1248" s="16" t="s">
        <v>492</v>
      </c>
      <c r="B1248" s="11" t="s">
        <v>493</v>
      </c>
      <c r="C1248" s="82">
        <v>2011</v>
      </c>
      <c r="D1248" s="28" t="s">
        <v>3215</v>
      </c>
      <c r="E1248" s="29" cm="1">
        <f t="array" ref="E1248">_xlfn.IFS(C1248=":",":",C1248&gt;=N$19,1,C1248&gt;=N$20,2,C1248&gt;=N$21,3,C1248&gt;=N$22,4,C1248&gt;=N$23,5,C1248&gt;=N$24,6,C1248&lt;N$24,7)</f>
        <v>2</v>
      </c>
      <c r="F1248" s="43">
        <v>2021</v>
      </c>
    </row>
    <row r="1249" spans="1:6" ht="12" customHeight="1">
      <c r="A1249" s="16" t="s">
        <v>494</v>
      </c>
      <c r="B1249" s="11" t="s">
        <v>495</v>
      </c>
      <c r="C1249" s="82">
        <v>155</v>
      </c>
      <c r="D1249" s="28" t="s">
        <v>3215</v>
      </c>
      <c r="E1249" s="29" cm="1">
        <f t="array" ref="E1249">_xlfn.IFS(C1249=":",":",C1249&gt;=N$19,1,C1249&gt;=N$20,2,C1249&gt;=N$21,3,C1249&gt;=N$22,4,C1249&gt;=N$23,5,C1249&gt;=N$24,6,C1249&lt;N$24,7)</f>
        <v>5</v>
      </c>
      <c r="F1249" s="43">
        <v>2021</v>
      </c>
    </row>
    <row r="1250" spans="1:6" ht="12" customHeight="1">
      <c r="A1250" s="16" t="s">
        <v>496</v>
      </c>
      <c r="B1250" s="11" t="s">
        <v>569</v>
      </c>
      <c r="C1250" s="82">
        <v>85</v>
      </c>
      <c r="D1250" s="28" t="s">
        <v>3215</v>
      </c>
      <c r="E1250" s="29" cm="1">
        <f t="array" ref="E1250">_xlfn.IFS(C1250=":",":",C1250&gt;=N$19,1,C1250&gt;=N$20,2,C1250&gt;=N$21,3,C1250&gt;=N$22,4,C1250&gt;=N$23,5,C1250&gt;=N$24,6,C1250&lt;N$24,7)</f>
        <v>5</v>
      </c>
      <c r="F1250" s="43">
        <v>2021</v>
      </c>
    </row>
    <row r="1251" spans="1:6" ht="12" customHeight="1">
      <c r="A1251" s="16" t="s">
        <v>497</v>
      </c>
      <c r="B1251" s="11" t="s">
        <v>570</v>
      </c>
      <c r="C1251" s="82">
        <v>112</v>
      </c>
      <c r="D1251" s="28" t="s">
        <v>3215</v>
      </c>
      <c r="E1251" s="29" cm="1">
        <f t="array" ref="E1251">_xlfn.IFS(C1251=":",":",C1251&gt;=N$19,1,C1251&gt;=N$20,2,C1251&gt;=N$21,3,C1251&gt;=N$22,4,C1251&gt;=N$23,5,C1251&gt;=N$24,6,C1251&lt;N$24,7)</f>
        <v>5</v>
      </c>
      <c r="F1251" s="43">
        <v>2021</v>
      </c>
    </row>
    <row r="1252" spans="1:6" ht="12" customHeight="1">
      <c r="A1252" s="16" t="s">
        <v>498</v>
      </c>
      <c r="B1252" s="11" t="s">
        <v>499</v>
      </c>
      <c r="C1252" s="82">
        <v>28</v>
      </c>
      <c r="D1252" s="28" t="s">
        <v>3215</v>
      </c>
      <c r="E1252" s="29" cm="1">
        <f t="array" ref="E1252">_xlfn.IFS(C1252=":",":",C1252&gt;=N$19,1,C1252&gt;=N$20,2,C1252&gt;=N$21,3,C1252&gt;=N$22,4,C1252&gt;=N$23,5,C1252&gt;=N$24,6,C1252&lt;N$24,7)</f>
        <v>6</v>
      </c>
      <c r="F1252" s="43">
        <v>2021</v>
      </c>
    </row>
    <row r="1253" spans="1:6" ht="12" customHeight="1">
      <c r="A1253" s="16" t="s">
        <v>500</v>
      </c>
      <c r="B1253" s="11" t="s">
        <v>571</v>
      </c>
      <c r="C1253" s="82">
        <v>114</v>
      </c>
      <c r="D1253" s="28" t="s">
        <v>3215</v>
      </c>
      <c r="E1253" s="29" cm="1">
        <f t="array" ref="E1253">_xlfn.IFS(C1253=":",":",C1253&gt;=N$19,1,C1253&gt;=N$20,2,C1253&gt;=N$21,3,C1253&gt;=N$22,4,C1253&gt;=N$23,5,C1253&gt;=N$24,6,C1253&lt;N$24,7)</f>
        <v>5</v>
      </c>
      <c r="F1253" s="43">
        <v>2021</v>
      </c>
    </row>
    <row r="1254" spans="1:6" ht="12" customHeight="1">
      <c r="A1254" s="16" t="s">
        <v>501</v>
      </c>
      <c r="B1254" s="11" t="s">
        <v>572</v>
      </c>
      <c r="C1254" s="82">
        <v>35</v>
      </c>
      <c r="D1254" s="28" t="s">
        <v>3215</v>
      </c>
      <c r="E1254" s="29" cm="1">
        <f t="array" ref="E1254">_xlfn.IFS(C1254=":",":",C1254&gt;=N$19,1,C1254&gt;=N$20,2,C1254&gt;=N$21,3,C1254&gt;=N$22,4,C1254&gt;=N$23,5,C1254&gt;=N$24,6,C1254&lt;N$24,7)</f>
        <v>6</v>
      </c>
      <c r="F1254" s="43">
        <v>2021</v>
      </c>
    </row>
    <row r="1255" spans="1:6" ht="12" customHeight="1">
      <c r="A1255" s="16" t="s">
        <v>502</v>
      </c>
      <c r="B1255" s="11" t="s">
        <v>503</v>
      </c>
      <c r="C1255" s="82">
        <v>42</v>
      </c>
      <c r="D1255" s="28" t="s">
        <v>3215</v>
      </c>
      <c r="E1255" s="29" cm="1">
        <f t="array" ref="E1255">_xlfn.IFS(C1255=":",":",C1255&gt;=N$19,1,C1255&gt;=N$20,2,C1255&gt;=N$21,3,C1255&gt;=N$22,4,C1255&gt;=N$23,5,C1255&gt;=N$24,6,C1255&lt;N$24,7)</f>
        <v>6</v>
      </c>
      <c r="F1255" s="43">
        <v>2021</v>
      </c>
    </row>
    <row r="1256" spans="1:6" ht="12" customHeight="1">
      <c r="A1256" s="16" t="s">
        <v>504</v>
      </c>
      <c r="B1256" s="11" t="s">
        <v>573</v>
      </c>
      <c r="C1256" s="82">
        <v>87</v>
      </c>
      <c r="D1256" s="28" t="s">
        <v>3215</v>
      </c>
      <c r="E1256" s="29" cm="1">
        <f t="array" ref="E1256">_xlfn.IFS(C1256=":",":",C1256&gt;=N$19,1,C1256&gt;=N$20,2,C1256&gt;=N$21,3,C1256&gt;=N$22,4,C1256&gt;=N$23,5,C1256&gt;=N$24,6,C1256&lt;N$24,7)</f>
        <v>5</v>
      </c>
      <c r="F1256" s="43">
        <v>2021</v>
      </c>
    </row>
    <row r="1257" spans="1:6" ht="12" customHeight="1">
      <c r="A1257" s="16" t="s">
        <v>505</v>
      </c>
      <c r="B1257" s="11" t="s">
        <v>506</v>
      </c>
      <c r="C1257" s="82">
        <v>31</v>
      </c>
      <c r="D1257" s="28" t="s">
        <v>3215</v>
      </c>
      <c r="E1257" s="29" cm="1">
        <f t="array" ref="E1257">_xlfn.IFS(C1257=":",":",C1257&gt;=N$19,1,C1257&gt;=N$20,2,C1257&gt;=N$21,3,C1257&gt;=N$22,4,C1257&gt;=N$23,5,C1257&gt;=N$24,6,C1257&lt;N$24,7)</f>
        <v>6</v>
      </c>
      <c r="F1257" s="43">
        <v>2021</v>
      </c>
    </row>
    <row r="1258" spans="1:6" ht="12" customHeight="1">
      <c r="A1258" s="16" t="s">
        <v>507</v>
      </c>
      <c r="B1258" s="11" t="s">
        <v>574</v>
      </c>
      <c r="C1258" s="82">
        <v>27</v>
      </c>
      <c r="D1258" s="28" t="s">
        <v>3215</v>
      </c>
      <c r="E1258" s="29" cm="1">
        <f t="array" ref="E1258">_xlfn.IFS(C1258=":",":",C1258&gt;=N$19,1,C1258&gt;=N$20,2,C1258&gt;=N$21,3,C1258&gt;=N$22,4,C1258&gt;=N$23,5,C1258&gt;=N$24,6,C1258&lt;N$24,7)</f>
        <v>6</v>
      </c>
      <c r="F1258" s="43">
        <v>2021</v>
      </c>
    </row>
    <row r="1259" spans="1:6" ht="12" customHeight="1">
      <c r="A1259" s="16" t="s">
        <v>508</v>
      </c>
      <c r="B1259" s="11" t="s">
        <v>575</v>
      </c>
      <c r="C1259" s="82">
        <v>31</v>
      </c>
      <c r="D1259" s="28" t="s">
        <v>3215</v>
      </c>
      <c r="E1259" s="29" cm="1">
        <f t="array" ref="E1259">_xlfn.IFS(C1259=":",":",C1259&gt;=N$19,1,C1259&gt;=N$20,2,C1259&gt;=N$21,3,C1259&gt;=N$22,4,C1259&gt;=N$23,5,C1259&gt;=N$24,6,C1259&lt;N$24,7)</f>
        <v>6</v>
      </c>
      <c r="F1259" s="43">
        <v>2021</v>
      </c>
    </row>
    <row r="1260" spans="1:6" ht="12" customHeight="1">
      <c r="A1260" s="16" t="s">
        <v>509</v>
      </c>
      <c r="B1260" s="11" t="s">
        <v>576</v>
      </c>
      <c r="C1260" s="82">
        <v>33</v>
      </c>
      <c r="D1260" s="28" t="s">
        <v>3215</v>
      </c>
      <c r="E1260" s="29" cm="1">
        <f t="array" ref="E1260">_xlfn.IFS(C1260=":",":",C1260&gt;=N$19,1,C1260&gt;=N$20,2,C1260&gt;=N$21,3,C1260&gt;=N$22,4,C1260&gt;=N$23,5,C1260&gt;=N$24,6,C1260&lt;N$24,7)</f>
        <v>6</v>
      </c>
      <c r="F1260" s="43">
        <v>2021</v>
      </c>
    </row>
    <row r="1261" spans="1:6" ht="12" customHeight="1">
      <c r="A1261" s="16" t="s">
        <v>510</v>
      </c>
      <c r="B1261" s="11" t="s">
        <v>577</v>
      </c>
      <c r="C1261" s="82">
        <v>111</v>
      </c>
      <c r="D1261" s="28" t="s">
        <v>3215</v>
      </c>
      <c r="E1261" s="29" cm="1">
        <f t="array" ref="E1261">_xlfn.IFS(C1261=":",":",C1261&gt;=N$19,1,C1261&gt;=N$20,2,C1261&gt;=N$21,3,C1261&gt;=N$22,4,C1261&gt;=N$23,5,C1261&gt;=N$24,6,C1261&lt;N$24,7)</f>
        <v>5</v>
      </c>
      <c r="F1261" s="43">
        <v>2021</v>
      </c>
    </row>
    <row r="1262" spans="1:6" ht="12" customHeight="1">
      <c r="A1262" s="16" t="s">
        <v>511</v>
      </c>
      <c r="B1262" s="11" t="s">
        <v>578</v>
      </c>
      <c r="C1262" s="82">
        <v>48</v>
      </c>
      <c r="D1262" s="28" t="s">
        <v>3215</v>
      </c>
      <c r="E1262" s="29" cm="1">
        <f t="array" ref="E1262">_xlfn.IFS(C1262=":",":",C1262&gt;=N$19,1,C1262&gt;=N$20,2,C1262&gt;=N$21,3,C1262&gt;=N$22,4,C1262&gt;=N$23,5,C1262&gt;=N$24,6,C1262&lt;N$24,7)</f>
        <v>6</v>
      </c>
      <c r="F1262" s="43">
        <v>2021</v>
      </c>
    </row>
    <row r="1263" spans="1:6" ht="12" customHeight="1">
      <c r="A1263" s="16" t="s">
        <v>512</v>
      </c>
      <c r="B1263" s="11" t="s">
        <v>579</v>
      </c>
      <c r="C1263" s="82">
        <v>46</v>
      </c>
      <c r="D1263" s="28" t="s">
        <v>3215</v>
      </c>
      <c r="E1263" s="29" cm="1">
        <f t="array" ref="E1263">_xlfn.IFS(C1263=":",":",C1263&gt;=N$19,1,C1263&gt;=N$20,2,C1263&gt;=N$21,3,C1263&gt;=N$22,4,C1263&gt;=N$23,5,C1263&gt;=N$24,6,C1263&lt;N$24,7)</f>
        <v>6</v>
      </c>
      <c r="F1263" s="43">
        <v>2021</v>
      </c>
    </row>
    <row r="1264" spans="1:6" ht="12" customHeight="1">
      <c r="A1264" s="16" t="s">
        <v>2992</v>
      </c>
      <c r="B1264" s="11" t="s">
        <v>2993</v>
      </c>
      <c r="C1264" s="82" t="s">
        <v>546</v>
      </c>
      <c r="E1264" s="29" t="str" cm="1">
        <f t="array" ref="E1264">_xlfn.IFS(C1264=":",":",C1264&gt;=N$19,1,C1264&gt;=N$20,2,C1264&gt;=N$21,3,C1264&gt;=N$22,4,C1264&gt;=N$23,5,C1264&gt;=N$24,6,C1264&lt;N$24,7)</f>
        <v>:</v>
      </c>
    </row>
    <row r="1265" ht="12" customHeight="1"/>
    <row r="1266" ht="12" customHeight="1"/>
    <row r="1267" ht="12" customHeight="1"/>
    <row r="1268" ht="12" customHeight="1"/>
    <row r="1269" ht="12" customHeight="1"/>
    <row r="1270" ht="12" customHeight="1"/>
    <row r="1271" ht="12" customHeight="1"/>
    <row r="1272" ht="12" customHeight="1"/>
    <row r="1273" ht="12" customHeight="1"/>
    <row r="1274" ht="12" customHeight="1"/>
    <row r="1275" ht="12" customHeight="1"/>
    <row r="1276" ht="12" customHeight="1"/>
    <row r="1277" ht="12" customHeight="1"/>
    <row r="1278" ht="12" customHeight="1"/>
    <row r="1279" ht="12" customHeight="1"/>
    <row r="1280" ht="12" customHeight="1"/>
    <row r="1281" ht="12" customHeight="1"/>
    <row r="1282" ht="12" customHeight="1"/>
    <row r="1283" ht="12" customHeight="1"/>
    <row r="1284" ht="12" customHeight="1"/>
    <row r="1285" ht="12" customHeight="1"/>
    <row r="1286" ht="12" customHeight="1"/>
    <row r="1287" ht="12" customHeight="1"/>
    <row r="1288" ht="12" customHeight="1"/>
    <row r="1289" ht="12" customHeight="1"/>
    <row r="1290" ht="12" customHeight="1"/>
    <row r="1291" ht="12" customHeight="1"/>
    <row r="1292" ht="12" customHeight="1"/>
    <row r="1293" ht="12" customHeight="1"/>
    <row r="1294" ht="12" customHeight="1"/>
    <row r="1295" ht="12" customHeight="1"/>
    <row r="1296" ht="12" customHeight="1"/>
    <row r="1297" ht="12" customHeight="1"/>
    <row r="1298" ht="12" customHeight="1"/>
    <row r="1299" ht="12" customHeight="1"/>
    <row r="1300" ht="12" customHeight="1"/>
    <row r="1301" ht="12" customHeight="1"/>
    <row r="1302" ht="12" customHeight="1"/>
    <row r="1303" ht="12" customHeight="1"/>
    <row r="1304" ht="12" customHeight="1"/>
    <row r="1305" ht="12" customHeight="1"/>
    <row r="1306" ht="12" customHeight="1"/>
    <row r="1307" ht="12" customHeight="1"/>
    <row r="1308" ht="12" customHeight="1"/>
    <row r="1309" ht="12" customHeight="1"/>
    <row r="1310" ht="12" customHeight="1"/>
    <row r="1311" ht="12" customHeight="1"/>
    <row r="1312" ht="12" customHeight="1"/>
    <row r="1313" ht="12" customHeight="1"/>
    <row r="1314" ht="12" customHeight="1"/>
    <row r="1315" ht="12" customHeight="1"/>
    <row r="1316" ht="12" customHeight="1"/>
    <row r="1317" ht="12" customHeight="1"/>
    <row r="1318" ht="12" customHeight="1"/>
    <row r="1319" ht="12" customHeight="1"/>
    <row r="1320" ht="12" customHeight="1"/>
    <row r="1321" ht="12" customHeight="1"/>
    <row r="1322" ht="12" customHeight="1"/>
    <row r="1323" ht="12" customHeight="1"/>
    <row r="1324" ht="12" customHeight="1"/>
    <row r="1325" ht="12" customHeight="1"/>
    <row r="1326" ht="12" customHeight="1"/>
    <row r="1327" ht="12" customHeight="1"/>
    <row r="1328" ht="12" customHeight="1"/>
    <row r="1329" ht="12" customHeight="1"/>
    <row r="1330" ht="12" customHeight="1"/>
    <row r="1331" ht="12" customHeight="1"/>
    <row r="1332" ht="12" customHeight="1"/>
    <row r="1333" ht="12" customHeight="1"/>
    <row r="1334" ht="12" customHeight="1"/>
    <row r="1335" ht="12" customHeight="1"/>
    <row r="1336" ht="12" customHeight="1"/>
    <row r="1337" ht="12" customHeight="1"/>
    <row r="1338" ht="12" customHeight="1"/>
    <row r="1339" ht="12" customHeight="1"/>
    <row r="1340" ht="12" customHeight="1"/>
    <row r="1341" ht="12" customHeight="1"/>
    <row r="1342" ht="12" customHeight="1"/>
    <row r="1343" ht="12" customHeight="1"/>
    <row r="1344" ht="12" customHeight="1"/>
    <row r="1345" ht="12" customHeight="1"/>
    <row r="1346" ht="12" customHeight="1"/>
    <row r="1347" ht="12" customHeight="1"/>
    <row r="1348" ht="12" customHeight="1"/>
    <row r="1349" ht="12" customHeight="1"/>
    <row r="1350" ht="12" customHeight="1"/>
    <row r="1351" ht="12" customHeight="1"/>
    <row r="1352" ht="12" customHeight="1"/>
    <row r="1353" ht="12" customHeight="1"/>
    <row r="1354" ht="12" customHeight="1"/>
    <row r="1355" ht="12" customHeight="1"/>
    <row r="1356" ht="12" customHeight="1"/>
    <row r="1357" ht="12" customHeight="1"/>
    <row r="1358" ht="12" customHeight="1"/>
    <row r="1359" ht="12" customHeight="1"/>
    <row r="1360" ht="12" customHeight="1"/>
    <row r="1361" ht="12" customHeight="1"/>
    <row r="1362" ht="12" customHeight="1"/>
    <row r="1363" ht="12" customHeight="1"/>
    <row r="1364" ht="12" customHeight="1"/>
    <row r="1365" ht="12" customHeight="1"/>
    <row r="1366" ht="12" customHeight="1"/>
    <row r="1367" ht="12" customHeight="1"/>
    <row r="1368" ht="12" customHeight="1"/>
    <row r="1369" ht="12" customHeight="1"/>
    <row r="1370" ht="12" customHeight="1"/>
    <row r="1371" ht="12" customHeight="1"/>
    <row r="1372" ht="12" customHeight="1"/>
    <row r="1373" ht="12" customHeight="1"/>
    <row r="1374" ht="12" customHeight="1"/>
    <row r="1375" ht="12" customHeight="1"/>
    <row r="1376" ht="12" customHeight="1"/>
    <row r="1377" ht="12" customHeight="1"/>
    <row r="1378" ht="12" customHeight="1"/>
    <row r="1379" ht="12" customHeight="1"/>
    <row r="1380" ht="12" customHeight="1"/>
    <row r="1381" ht="12" customHeight="1"/>
    <row r="1382" ht="12" customHeight="1"/>
    <row r="1383" ht="12" customHeight="1"/>
    <row r="1384" ht="12" customHeight="1"/>
    <row r="1385" ht="12" customHeight="1"/>
    <row r="1386" ht="12" customHeight="1"/>
    <row r="1387" ht="12" customHeight="1"/>
    <row r="1388" ht="12" customHeight="1"/>
    <row r="1389" ht="12" customHeight="1"/>
    <row r="1390" ht="12" customHeight="1"/>
    <row r="1391" ht="12" customHeight="1"/>
    <row r="1392" ht="12" customHeight="1"/>
    <row r="1393" ht="12" customHeight="1"/>
    <row r="1394" ht="12" customHeight="1"/>
    <row r="1395" ht="12" customHeight="1"/>
    <row r="1396" ht="12" customHeight="1"/>
    <row r="1397" ht="12" customHeight="1"/>
    <row r="1398" ht="12" customHeight="1"/>
    <row r="1399" ht="12" customHeight="1"/>
    <row r="1400" ht="12" customHeight="1"/>
    <row r="1401" ht="12" customHeight="1"/>
    <row r="1402" ht="12" customHeight="1"/>
    <row r="1403" ht="12" customHeight="1"/>
    <row r="1404" ht="12" customHeight="1"/>
    <row r="1405" ht="12" customHeight="1"/>
    <row r="1406" ht="12" customHeight="1"/>
    <row r="1407" ht="12" customHeight="1"/>
    <row r="1408" ht="12" customHeight="1"/>
    <row r="1409" ht="12" customHeight="1"/>
    <row r="1410" ht="12" customHeight="1"/>
    <row r="1411" ht="12" customHeight="1"/>
    <row r="1412" ht="12" customHeight="1"/>
    <row r="1413" ht="12" customHeight="1"/>
    <row r="1414" ht="12" customHeight="1"/>
    <row r="1415" ht="12" customHeight="1"/>
    <row r="1416" ht="12" customHeight="1"/>
    <row r="1417" ht="12" customHeight="1"/>
    <row r="1418" ht="12" customHeight="1"/>
    <row r="1419" ht="12" customHeight="1"/>
    <row r="1420" ht="12" customHeight="1"/>
    <row r="1421" ht="12" customHeight="1"/>
    <row r="1422" ht="12" customHeight="1"/>
    <row r="7525" spans="26:26">
      <c r="Z7525" s="25" t="s">
        <v>3001</v>
      </c>
    </row>
  </sheetData>
  <phoneticPr fontId="4" type="noConversion"/>
  <hyperlinks>
    <hyperlink ref="I42" r:id="rId1" xr:uid="{8481F7AC-B8BB-47FF-B855-01CDF27CEBC9}"/>
    <hyperlink ref="I43" r:id="rId2" xr:uid="{1F9344D3-5035-40B7-B132-982FB4233698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A5A9E8-8BC1-42E2-8888-95D632B887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CH10M1</vt:lpstr>
      <vt:lpstr>CH10M2</vt:lpstr>
      <vt:lpstr>CH10M3</vt:lpstr>
      <vt:lpstr>CH10M4</vt:lpstr>
      <vt:lpstr>CH10M5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</dc:creator>
  <cp:lastModifiedBy>HARROP Michael (ESTAT-EXT)</cp:lastModifiedBy>
  <dcterms:created xsi:type="dcterms:W3CDTF">2022-05-02T06:08:01Z</dcterms:created>
  <dcterms:modified xsi:type="dcterms:W3CDTF">2026-03-23T14:08:41Z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2026-03-23T14:05:47Z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60c2ca46-f983-45ae-a7e0-d4acfe9bbd02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</Properties>
</file>